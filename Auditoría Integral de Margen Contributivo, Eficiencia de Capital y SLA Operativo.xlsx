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nderson\Desktop\practices excel\"/>
    </mc:Choice>
  </mc:AlternateContent>
  <xr:revisionPtr revIDLastSave="0" documentId="13_ncr:1_{8D7E1880-0423-48F7-8034-0B31D208C978}" xr6:coauthVersionLast="47" xr6:coauthVersionMax="47" xr10:uidLastSave="{00000000-0000-0000-0000-000000000000}"/>
  <bookViews>
    <workbookView xWindow="-120" yWindow="-120" windowWidth="20640" windowHeight="11760" activeTab="1" xr2:uid="{DD74278B-8BB4-4DDA-8FAD-01512D062229}"/>
  </bookViews>
  <sheets>
    <sheet name="Historial transaccional" sheetId="2" r:id="rId1"/>
    <sheet name="Tablas Dinamicas" sheetId="4" r:id="rId2"/>
    <sheet name="Hoja2" sheetId="3" state="hidden" r:id="rId3"/>
    <sheet name="Hoja1" sheetId="1" state="hidden" r:id="rId4"/>
  </sheets>
  <definedNames>
    <definedName name="DatosExternos_1" localSheetId="0" hidden="1">'Historial transaccional'!$A$1:$M$1077</definedName>
  </definedNames>
  <calcPr calcId="191029"/>
  <pivotCaches>
    <pivotCache cacheId="0" r:id="rId5"/>
    <pivotCache cacheId="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2" i="2" l="1"/>
  <c r="O32" i="2"/>
  <c r="R32" i="2"/>
  <c r="N33" i="2"/>
  <c r="O33" i="2"/>
  <c r="R33" i="2"/>
  <c r="N34" i="2"/>
  <c r="O34" i="2"/>
  <c r="R34" i="2"/>
  <c r="N35" i="2"/>
  <c r="O35" i="2"/>
  <c r="R35" i="2"/>
  <c r="N36" i="2"/>
  <c r="O36" i="2"/>
  <c r="R36" i="2"/>
  <c r="N37" i="2"/>
  <c r="O37" i="2"/>
  <c r="R37" i="2"/>
  <c r="N38" i="2"/>
  <c r="O38" i="2"/>
  <c r="R38" i="2"/>
  <c r="N39" i="2"/>
  <c r="O39" i="2"/>
  <c r="R39" i="2"/>
  <c r="N40" i="2"/>
  <c r="O40" i="2"/>
  <c r="R40" i="2"/>
  <c r="N41" i="2"/>
  <c r="O41" i="2"/>
  <c r="R41" i="2"/>
  <c r="N42" i="2"/>
  <c r="O42" i="2"/>
  <c r="R42" i="2"/>
  <c r="N43" i="2"/>
  <c r="O43" i="2"/>
  <c r="R43" i="2"/>
  <c r="N44" i="2"/>
  <c r="O44" i="2"/>
  <c r="R44" i="2"/>
  <c r="N45" i="2"/>
  <c r="O45" i="2"/>
  <c r="R45" i="2"/>
  <c r="N46" i="2"/>
  <c r="O46" i="2"/>
  <c r="R46" i="2"/>
  <c r="N47" i="2"/>
  <c r="O47" i="2"/>
  <c r="R47" i="2"/>
  <c r="N48" i="2"/>
  <c r="O48" i="2"/>
  <c r="R48" i="2"/>
  <c r="N49" i="2"/>
  <c r="O49" i="2"/>
  <c r="R49" i="2"/>
  <c r="N50" i="2"/>
  <c r="O50" i="2"/>
  <c r="R50" i="2"/>
  <c r="N51" i="2"/>
  <c r="O51" i="2"/>
  <c r="R51" i="2"/>
  <c r="N52" i="2"/>
  <c r="O52" i="2"/>
  <c r="R52" i="2"/>
  <c r="N53" i="2"/>
  <c r="O53" i="2"/>
  <c r="R53" i="2"/>
  <c r="N54" i="2"/>
  <c r="O54" i="2"/>
  <c r="R54" i="2"/>
  <c r="N55" i="2"/>
  <c r="O55" i="2"/>
  <c r="R55" i="2"/>
  <c r="N56" i="2"/>
  <c r="O56" i="2"/>
  <c r="R56" i="2"/>
  <c r="N57" i="2"/>
  <c r="O57" i="2"/>
  <c r="R57" i="2"/>
  <c r="N58" i="2"/>
  <c r="O58" i="2"/>
  <c r="R58" i="2"/>
  <c r="N59" i="2"/>
  <c r="O59" i="2"/>
  <c r="R59" i="2"/>
  <c r="N60" i="2"/>
  <c r="O60" i="2"/>
  <c r="R60" i="2"/>
  <c r="N61" i="2"/>
  <c r="O61" i="2"/>
  <c r="R61" i="2"/>
  <c r="N62" i="2"/>
  <c r="O62" i="2"/>
  <c r="R62" i="2"/>
  <c r="N63" i="2"/>
  <c r="O63" i="2"/>
  <c r="R63" i="2"/>
  <c r="N64" i="2"/>
  <c r="O64" i="2"/>
  <c r="R64" i="2"/>
  <c r="N65" i="2"/>
  <c r="O65" i="2"/>
  <c r="R65" i="2"/>
  <c r="N66" i="2"/>
  <c r="O66" i="2"/>
  <c r="R66" i="2"/>
  <c r="N67" i="2"/>
  <c r="O67" i="2"/>
  <c r="R67" i="2"/>
  <c r="N68" i="2"/>
  <c r="O68" i="2"/>
  <c r="R68" i="2"/>
  <c r="N69" i="2"/>
  <c r="O69" i="2"/>
  <c r="R69" i="2"/>
  <c r="N70" i="2"/>
  <c r="O70" i="2"/>
  <c r="R70" i="2"/>
  <c r="N71" i="2"/>
  <c r="O71" i="2"/>
  <c r="R71" i="2"/>
  <c r="N72" i="2"/>
  <c r="O72" i="2"/>
  <c r="R72" i="2"/>
  <c r="N73" i="2"/>
  <c r="O73" i="2"/>
  <c r="R73" i="2"/>
  <c r="N74" i="2"/>
  <c r="O74" i="2"/>
  <c r="R74" i="2"/>
  <c r="N75" i="2"/>
  <c r="O75" i="2"/>
  <c r="R75" i="2"/>
  <c r="N76" i="2"/>
  <c r="O76" i="2"/>
  <c r="R76" i="2"/>
  <c r="N77" i="2"/>
  <c r="O77" i="2"/>
  <c r="R77" i="2"/>
  <c r="N78" i="2"/>
  <c r="O78" i="2"/>
  <c r="R78" i="2"/>
  <c r="N79" i="2"/>
  <c r="O79" i="2"/>
  <c r="R79" i="2"/>
  <c r="N80" i="2"/>
  <c r="O80" i="2"/>
  <c r="R80" i="2"/>
  <c r="N81" i="2"/>
  <c r="O81" i="2"/>
  <c r="R81" i="2"/>
  <c r="N82" i="2"/>
  <c r="O82" i="2"/>
  <c r="R82" i="2"/>
  <c r="N83" i="2"/>
  <c r="O83" i="2"/>
  <c r="R83" i="2"/>
  <c r="N84" i="2"/>
  <c r="O84" i="2"/>
  <c r="R84" i="2"/>
  <c r="N85" i="2"/>
  <c r="O85" i="2"/>
  <c r="R85" i="2"/>
  <c r="N86" i="2"/>
  <c r="O86" i="2"/>
  <c r="R86" i="2"/>
  <c r="N87" i="2"/>
  <c r="O87" i="2"/>
  <c r="R87" i="2"/>
  <c r="N88" i="2"/>
  <c r="O88" i="2"/>
  <c r="R88" i="2"/>
  <c r="N89" i="2"/>
  <c r="O89" i="2"/>
  <c r="R89" i="2"/>
  <c r="N90" i="2"/>
  <c r="O90" i="2"/>
  <c r="R90" i="2"/>
  <c r="N91" i="2"/>
  <c r="O91" i="2"/>
  <c r="R91" i="2"/>
  <c r="N92" i="2"/>
  <c r="O92" i="2"/>
  <c r="R92" i="2"/>
  <c r="N93" i="2"/>
  <c r="O93" i="2"/>
  <c r="R93" i="2"/>
  <c r="N94" i="2"/>
  <c r="O94" i="2"/>
  <c r="R94" i="2"/>
  <c r="N95" i="2"/>
  <c r="O95" i="2"/>
  <c r="R95" i="2"/>
  <c r="N96" i="2"/>
  <c r="O96" i="2"/>
  <c r="R96" i="2"/>
  <c r="N97" i="2"/>
  <c r="O97" i="2"/>
  <c r="R97" i="2"/>
  <c r="N98" i="2"/>
  <c r="O98" i="2"/>
  <c r="R98" i="2"/>
  <c r="N99" i="2"/>
  <c r="O99" i="2"/>
  <c r="R99" i="2"/>
  <c r="N100" i="2"/>
  <c r="O100" i="2"/>
  <c r="R100" i="2"/>
  <c r="N101" i="2"/>
  <c r="O101" i="2"/>
  <c r="R101" i="2"/>
  <c r="N102" i="2"/>
  <c r="O102" i="2"/>
  <c r="R102" i="2"/>
  <c r="N103" i="2"/>
  <c r="O103" i="2"/>
  <c r="R103" i="2"/>
  <c r="N104" i="2"/>
  <c r="O104" i="2"/>
  <c r="R104" i="2"/>
  <c r="N105" i="2"/>
  <c r="O105" i="2"/>
  <c r="R105" i="2"/>
  <c r="N106" i="2"/>
  <c r="O106" i="2"/>
  <c r="R106" i="2"/>
  <c r="N107" i="2"/>
  <c r="O107" i="2"/>
  <c r="R107" i="2"/>
  <c r="N108" i="2"/>
  <c r="O108" i="2"/>
  <c r="R108" i="2"/>
  <c r="N109" i="2"/>
  <c r="O109" i="2"/>
  <c r="R109" i="2"/>
  <c r="N110" i="2"/>
  <c r="O110" i="2"/>
  <c r="R110" i="2"/>
  <c r="N111" i="2"/>
  <c r="O111" i="2"/>
  <c r="R111" i="2"/>
  <c r="N112" i="2"/>
  <c r="O112" i="2"/>
  <c r="R112" i="2"/>
  <c r="N113" i="2"/>
  <c r="O113" i="2"/>
  <c r="R113" i="2"/>
  <c r="N114" i="2"/>
  <c r="O114" i="2"/>
  <c r="R114" i="2"/>
  <c r="N115" i="2"/>
  <c r="O115" i="2"/>
  <c r="R115" i="2"/>
  <c r="N116" i="2"/>
  <c r="O116" i="2"/>
  <c r="R116" i="2"/>
  <c r="N117" i="2"/>
  <c r="O117" i="2"/>
  <c r="R117" i="2"/>
  <c r="N118" i="2"/>
  <c r="O118" i="2"/>
  <c r="R118" i="2"/>
  <c r="N119" i="2"/>
  <c r="O119" i="2"/>
  <c r="R119" i="2"/>
  <c r="N120" i="2"/>
  <c r="O120" i="2"/>
  <c r="R120" i="2"/>
  <c r="N121" i="2"/>
  <c r="O121" i="2"/>
  <c r="R121" i="2"/>
  <c r="N122" i="2"/>
  <c r="O122" i="2"/>
  <c r="R122" i="2"/>
  <c r="N123" i="2"/>
  <c r="O123" i="2"/>
  <c r="R123" i="2"/>
  <c r="N124" i="2"/>
  <c r="O124" i="2"/>
  <c r="R124" i="2"/>
  <c r="N125" i="2"/>
  <c r="O125" i="2"/>
  <c r="R125" i="2"/>
  <c r="N126" i="2"/>
  <c r="O126" i="2"/>
  <c r="R126" i="2"/>
  <c r="N127" i="2"/>
  <c r="O127" i="2"/>
  <c r="R127" i="2"/>
  <c r="N128" i="2"/>
  <c r="O128" i="2"/>
  <c r="R128" i="2"/>
  <c r="N129" i="2"/>
  <c r="O129" i="2"/>
  <c r="R129" i="2"/>
  <c r="N130" i="2"/>
  <c r="O130" i="2"/>
  <c r="R130" i="2"/>
  <c r="N131" i="2"/>
  <c r="O131" i="2"/>
  <c r="R131" i="2"/>
  <c r="N132" i="2"/>
  <c r="O132" i="2"/>
  <c r="R132" i="2"/>
  <c r="N133" i="2"/>
  <c r="O133" i="2"/>
  <c r="R133" i="2"/>
  <c r="N134" i="2"/>
  <c r="O134" i="2"/>
  <c r="R134" i="2"/>
  <c r="N135" i="2"/>
  <c r="O135" i="2"/>
  <c r="R135" i="2"/>
  <c r="N136" i="2"/>
  <c r="O136" i="2"/>
  <c r="R136" i="2"/>
  <c r="N137" i="2"/>
  <c r="O137" i="2"/>
  <c r="R137" i="2"/>
  <c r="N138" i="2"/>
  <c r="O138" i="2"/>
  <c r="R138" i="2"/>
  <c r="N139" i="2"/>
  <c r="O139" i="2"/>
  <c r="R139" i="2"/>
  <c r="N140" i="2"/>
  <c r="O140" i="2"/>
  <c r="R140" i="2"/>
  <c r="N141" i="2"/>
  <c r="O141" i="2"/>
  <c r="R141" i="2"/>
  <c r="N142" i="2"/>
  <c r="O142" i="2"/>
  <c r="R142" i="2"/>
  <c r="N143" i="2"/>
  <c r="O143" i="2"/>
  <c r="R143" i="2"/>
  <c r="N144" i="2"/>
  <c r="O144" i="2"/>
  <c r="R144" i="2"/>
  <c r="N145" i="2"/>
  <c r="O145" i="2"/>
  <c r="R145" i="2"/>
  <c r="N146" i="2"/>
  <c r="O146" i="2"/>
  <c r="R146" i="2"/>
  <c r="N147" i="2"/>
  <c r="O147" i="2"/>
  <c r="R147" i="2"/>
  <c r="N148" i="2"/>
  <c r="O148" i="2"/>
  <c r="R148" i="2"/>
  <c r="N149" i="2"/>
  <c r="O149" i="2"/>
  <c r="R149" i="2"/>
  <c r="N150" i="2"/>
  <c r="O150" i="2"/>
  <c r="R150" i="2"/>
  <c r="N151" i="2"/>
  <c r="O151" i="2"/>
  <c r="R151" i="2"/>
  <c r="N152" i="2"/>
  <c r="O152" i="2"/>
  <c r="R152" i="2"/>
  <c r="N153" i="2"/>
  <c r="O153" i="2"/>
  <c r="R153" i="2"/>
  <c r="N154" i="2"/>
  <c r="O154" i="2"/>
  <c r="R154" i="2"/>
  <c r="N155" i="2"/>
  <c r="O155" i="2"/>
  <c r="R155" i="2"/>
  <c r="N156" i="2"/>
  <c r="O156" i="2"/>
  <c r="R156" i="2"/>
  <c r="N157" i="2"/>
  <c r="O157" i="2"/>
  <c r="R157" i="2"/>
  <c r="N158" i="2"/>
  <c r="O158" i="2"/>
  <c r="R158" i="2"/>
  <c r="N159" i="2"/>
  <c r="O159" i="2"/>
  <c r="R159" i="2"/>
  <c r="N160" i="2"/>
  <c r="O160" i="2"/>
  <c r="R160" i="2"/>
  <c r="N161" i="2"/>
  <c r="O161" i="2"/>
  <c r="R161" i="2"/>
  <c r="N162" i="2"/>
  <c r="O162" i="2"/>
  <c r="R162" i="2"/>
  <c r="N163" i="2"/>
  <c r="O163" i="2"/>
  <c r="R163" i="2"/>
  <c r="N164" i="2"/>
  <c r="O164" i="2"/>
  <c r="R164" i="2"/>
  <c r="N165" i="2"/>
  <c r="O165" i="2"/>
  <c r="R165" i="2"/>
  <c r="N166" i="2"/>
  <c r="O166" i="2"/>
  <c r="R166" i="2"/>
  <c r="N167" i="2"/>
  <c r="O167" i="2"/>
  <c r="R167" i="2"/>
  <c r="N168" i="2"/>
  <c r="O168" i="2"/>
  <c r="R168" i="2"/>
  <c r="N169" i="2"/>
  <c r="O169" i="2"/>
  <c r="R169" i="2"/>
  <c r="N170" i="2"/>
  <c r="O170" i="2"/>
  <c r="R170" i="2"/>
  <c r="N171" i="2"/>
  <c r="O171" i="2"/>
  <c r="R171" i="2"/>
  <c r="N172" i="2"/>
  <c r="O172" i="2"/>
  <c r="R172" i="2"/>
  <c r="N173" i="2"/>
  <c r="O173" i="2"/>
  <c r="R173" i="2"/>
  <c r="N174" i="2"/>
  <c r="O174" i="2"/>
  <c r="R174" i="2"/>
  <c r="N175" i="2"/>
  <c r="O175" i="2"/>
  <c r="R175" i="2"/>
  <c r="N176" i="2"/>
  <c r="O176" i="2"/>
  <c r="R176" i="2"/>
  <c r="N177" i="2"/>
  <c r="O177" i="2"/>
  <c r="R177" i="2"/>
  <c r="N178" i="2"/>
  <c r="O178" i="2"/>
  <c r="R178" i="2"/>
  <c r="N179" i="2"/>
  <c r="O179" i="2"/>
  <c r="R179" i="2"/>
  <c r="N180" i="2"/>
  <c r="O180" i="2"/>
  <c r="R180" i="2"/>
  <c r="N181" i="2"/>
  <c r="O181" i="2"/>
  <c r="R181" i="2"/>
  <c r="N182" i="2"/>
  <c r="O182" i="2"/>
  <c r="R182" i="2"/>
  <c r="N183" i="2"/>
  <c r="O183" i="2"/>
  <c r="R183" i="2"/>
  <c r="N184" i="2"/>
  <c r="O184" i="2"/>
  <c r="R184" i="2"/>
  <c r="N185" i="2"/>
  <c r="O185" i="2"/>
  <c r="R185" i="2"/>
  <c r="N186" i="2"/>
  <c r="O186" i="2"/>
  <c r="R186" i="2"/>
  <c r="N187" i="2"/>
  <c r="O187" i="2"/>
  <c r="R187" i="2"/>
  <c r="N188" i="2"/>
  <c r="O188" i="2"/>
  <c r="R188" i="2"/>
  <c r="N189" i="2"/>
  <c r="O189" i="2"/>
  <c r="R189" i="2"/>
  <c r="N190" i="2"/>
  <c r="O190" i="2"/>
  <c r="R190" i="2"/>
  <c r="N191" i="2"/>
  <c r="O191" i="2"/>
  <c r="R191" i="2"/>
  <c r="N192" i="2"/>
  <c r="O192" i="2"/>
  <c r="R192" i="2"/>
  <c r="N193" i="2"/>
  <c r="O193" i="2"/>
  <c r="R193" i="2"/>
  <c r="N194" i="2"/>
  <c r="O194" i="2"/>
  <c r="R194" i="2"/>
  <c r="N195" i="2"/>
  <c r="O195" i="2"/>
  <c r="R195" i="2"/>
  <c r="N196" i="2"/>
  <c r="O196" i="2"/>
  <c r="R196" i="2"/>
  <c r="N197" i="2"/>
  <c r="O197" i="2"/>
  <c r="R197" i="2"/>
  <c r="N198" i="2"/>
  <c r="O198" i="2"/>
  <c r="R198" i="2"/>
  <c r="N199" i="2"/>
  <c r="O199" i="2"/>
  <c r="R199" i="2"/>
  <c r="N200" i="2"/>
  <c r="O200" i="2"/>
  <c r="R200" i="2"/>
  <c r="N201" i="2"/>
  <c r="O201" i="2"/>
  <c r="R201" i="2"/>
  <c r="N202" i="2"/>
  <c r="O202" i="2"/>
  <c r="R202" i="2"/>
  <c r="N203" i="2"/>
  <c r="O203" i="2"/>
  <c r="R203" i="2"/>
  <c r="N204" i="2"/>
  <c r="O204" i="2"/>
  <c r="R204" i="2"/>
  <c r="N205" i="2"/>
  <c r="O205" i="2"/>
  <c r="R205" i="2"/>
  <c r="N206" i="2"/>
  <c r="O206" i="2"/>
  <c r="R206" i="2"/>
  <c r="N207" i="2"/>
  <c r="O207" i="2"/>
  <c r="R207" i="2"/>
  <c r="N208" i="2"/>
  <c r="O208" i="2"/>
  <c r="R208" i="2"/>
  <c r="N209" i="2"/>
  <c r="O209" i="2"/>
  <c r="R209" i="2"/>
  <c r="N210" i="2"/>
  <c r="O210" i="2"/>
  <c r="R210" i="2"/>
  <c r="N211" i="2"/>
  <c r="O211" i="2"/>
  <c r="R211" i="2"/>
  <c r="N212" i="2"/>
  <c r="O212" i="2"/>
  <c r="R212" i="2"/>
  <c r="N213" i="2"/>
  <c r="O213" i="2"/>
  <c r="R213" i="2"/>
  <c r="N214" i="2"/>
  <c r="O214" i="2"/>
  <c r="R214" i="2"/>
  <c r="N215" i="2"/>
  <c r="O215" i="2"/>
  <c r="R215" i="2"/>
  <c r="N216" i="2"/>
  <c r="O216" i="2"/>
  <c r="R216" i="2"/>
  <c r="N217" i="2"/>
  <c r="O217" i="2"/>
  <c r="R217" i="2"/>
  <c r="N218" i="2"/>
  <c r="O218" i="2"/>
  <c r="R218" i="2"/>
  <c r="N219" i="2"/>
  <c r="O219" i="2"/>
  <c r="R219" i="2"/>
  <c r="N220" i="2"/>
  <c r="O220" i="2"/>
  <c r="R220" i="2"/>
  <c r="N221" i="2"/>
  <c r="O221" i="2"/>
  <c r="R221" i="2"/>
  <c r="N222" i="2"/>
  <c r="O222" i="2"/>
  <c r="R222" i="2"/>
  <c r="N223" i="2"/>
  <c r="O223" i="2"/>
  <c r="R223" i="2"/>
  <c r="N224" i="2"/>
  <c r="O224" i="2"/>
  <c r="R224" i="2"/>
  <c r="N225" i="2"/>
  <c r="O225" i="2"/>
  <c r="R225" i="2"/>
  <c r="N226" i="2"/>
  <c r="O226" i="2"/>
  <c r="R226" i="2"/>
  <c r="N227" i="2"/>
  <c r="O227" i="2"/>
  <c r="R227" i="2"/>
  <c r="N228" i="2"/>
  <c r="O228" i="2"/>
  <c r="R228" i="2"/>
  <c r="N229" i="2"/>
  <c r="O229" i="2"/>
  <c r="R229" i="2"/>
  <c r="N230" i="2"/>
  <c r="O230" i="2"/>
  <c r="R230" i="2"/>
  <c r="N231" i="2"/>
  <c r="O231" i="2"/>
  <c r="R231" i="2"/>
  <c r="N232" i="2"/>
  <c r="O232" i="2"/>
  <c r="R232" i="2"/>
  <c r="N233" i="2"/>
  <c r="O233" i="2"/>
  <c r="R233" i="2"/>
  <c r="N234" i="2"/>
  <c r="O234" i="2"/>
  <c r="R234" i="2"/>
  <c r="N235" i="2"/>
  <c r="O235" i="2"/>
  <c r="R235" i="2"/>
  <c r="N236" i="2"/>
  <c r="O236" i="2"/>
  <c r="R236" i="2"/>
  <c r="N237" i="2"/>
  <c r="O237" i="2"/>
  <c r="R237" i="2"/>
  <c r="N238" i="2"/>
  <c r="O238" i="2"/>
  <c r="R238" i="2"/>
  <c r="N239" i="2"/>
  <c r="O239" i="2"/>
  <c r="R239" i="2"/>
  <c r="N240" i="2"/>
  <c r="O240" i="2"/>
  <c r="R240" i="2"/>
  <c r="N241" i="2"/>
  <c r="O241" i="2"/>
  <c r="R241" i="2"/>
  <c r="N242" i="2"/>
  <c r="O242" i="2"/>
  <c r="R242" i="2"/>
  <c r="N243" i="2"/>
  <c r="O243" i="2"/>
  <c r="R243" i="2"/>
  <c r="N244" i="2"/>
  <c r="O244" i="2"/>
  <c r="R244" i="2"/>
  <c r="N245" i="2"/>
  <c r="O245" i="2"/>
  <c r="R245" i="2"/>
  <c r="N246" i="2"/>
  <c r="O246" i="2"/>
  <c r="R246" i="2"/>
  <c r="N247" i="2"/>
  <c r="O247" i="2"/>
  <c r="R247" i="2"/>
  <c r="N248" i="2"/>
  <c r="O248" i="2"/>
  <c r="R248" i="2"/>
  <c r="N249" i="2"/>
  <c r="O249" i="2"/>
  <c r="R249" i="2"/>
  <c r="N250" i="2"/>
  <c r="O250" i="2"/>
  <c r="R250" i="2"/>
  <c r="N251" i="2"/>
  <c r="O251" i="2"/>
  <c r="R251" i="2"/>
  <c r="N252" i="2"/>
  <c r="O252" i="2"/>
  <c r="R252" i="2"/>
  <c r="N253" i="2"/>
  <c r="O253" i="2"/>
  <c r="R253" i="2"/>
  <c r="N254" i="2"/>
  <c r="O254" i="2"/>
  <c r="R254" i="2"/>
  <c r="N255" i="2"/>
  <c r="O255" i="2"/>
  <c r="R255" i="2"/>
  <c r="N256" i="2"/>
  <c r="O256" i="2"/>
  <c r="R256" i="2"/>
  <c r="N257" i="2"/>
  <c r="O257" i="2"/>
  <c r="R257" i="2"/>
  <c r="N258" i="2"/>
  <c r="O258" i="2"/>
  <c r="R258" i="2"/>
  <c r="N259" i="2"/>
  <c r="O259" i="2"/>
  <c r="R259" i="2"/>
  <c r="N260" i="2"/>
  <c r="O260" i="2"/>
  <c r="R260" i="2"/>
  <c r="N261" i="2"/>
  <c r="O261" i="2"/>
  <c r="R261" i="2"/>
  <c r="N262" i="2"/>
  <c r="O262" i="2"/>
  <c r="R262" i="2"/>
  <c r="N263" i="2"/>
  <c r="O263" i="2"/>
  <c r="R263" i="2"/>
  <c r="N264" i="2"/>
  <c r="O264" i="2"/>
  <c r="R264" i="2"/>
  <c r="N265" i="2"/>
  <c r="O265" i="2"/>
  <c r="R265" i="2"/>
  <c r="N266" i="2"/>
  <c r="O266" i="2"/>
  <c r="R266" i="2"/>
  <c r="N267" i="2"/>
  <c r="O267" i="2"/>
  <c r="R267" i="2"/>
  <c r="N268" i="2"/>
  <c r="O268" i="2"/>
  <c r="R268" i="2"/>
  <c r="N269" i="2"/>
  <c r="O269" i="2"/>
  <c r="R269" i="2"/>
  <c r="N270" i="2"/>
  <c r="O270" i="2"/>
  <c r="R270" i="2"/>
  <c r="N271" i="2"/>
  <c r="O271" i="2"/>
  <c r="R271" i="2"/>
  <c r="N272" i="2"/>
  <c r="O272" i="2"/>
  <c r="R272" i="2"/>
  <c r="N273" i="2"/>
  <c r="O273" i="2"/>
  <c r="R273" i="2"/>
  <c r="N274" i="2"/>
  <c r="O274" i="2"/>
  <c r="R274" i="2"/>
  <c r="N275" i="2"/>
  <c r="O275" i="2"/>
  <c r="R275" i="2"/>
  <c r="N276" i="2"/>
  <c r="O276" i="2"/>
  <c r="R276" i="2"/>
  <c r="N277" i="2"/>
  <c r="O277" i="2"/>
  <c r="R277" i="2"/>
  <c r="N278" i="2"/>
  <c r="O278" i="2"/>
  <c r="R278" i="2"/>
  <c r="N279" i="2"/>
  <c r="O279" i="2"/>
  <c r="R279" i="2"/>
  <c r="N280" i="2"/>
  <c r="O280" i="2"/>
  <c r="R280" i="2"/>
  <c r="N281" i="2"/>
  <c r="O281" i="2"/>
  <c r="R281" i="2"/>
  <c r="N282" i="2"/>
  <c r="O282" i="2"/>
  <c r="R282" i="2"/>
  <c r="N283" i="2"/>
  <c r="O283" i="2"/>
  <c r="R283" i="2"/>
  <c r="N284" i="2"/>
  <c r="O284" i="2"/>
  <c r="R284" i="2"/>
  <c r="N285" i="2"/>
  <c r="O285" i="2"/>
  <c r="R285" i="2"/>
  <c r="N286" i="2"/>
  <c r="O286" i="2"/>
  <c r="R286" i="2"/>
  <c r="N287" i="2"/>
  <c r="O287" i="2"/>
  <c r="R287" i="2"/>
  <c r="N288" i="2"/>
  <c r="O288" i="2"/>
  <c r="R288" i="2"/>
  <c r="N289" i="2"/>
  <c r="O289" i="2"/>
  <c r="R289" i="2"/>
  <c r="N290" i="2"/>
  <c r="O290" i="2"/>
  <c r="R290" i="2"/>
  <c r="N291" i="2"/>
  <c r="O291" i="2"/>
  <c r="R291" i="2"/>
  <c r="N292" i="2"/>
  <c r="O292" i="2"/>
  <c r="R292" i="2"/>
  <c r="N293" i="2"/>
  <c r="O293" i="2"/>
  <c r="R293" i="2"/>
  <c r="N294" i="2"/>
  <c r="O294" i="2"/>
  <c r="R294" i="2"/>
  <c r="N295" i="2"/>
  <c r="O295" i="2"/>
  <c r="R295" i="2"/>
  <c r="N296" i="2"/>
  <c r="O296" i="2"/>
  <c r="R296" i="2"/>
  <c r="N297" i="2"/>
  <c r="O297" i="2"/>
  <c r="R297" i="2"/>
  <c r="N298" i="2"/>
  <c r="O298" i="2"/>
  <c r="R298" i="2"/>
  <c r="N299" i="2"/>
  <c r="O299" i="2"/>
  <c r="R299" i="2"/>
  <c r="N300" i="2"/>
  <c r="O300" i="2"/>
  <c r="R300" i="2"/>
  <c r="N301" i="2"/>
  <c r="O301" i="2"/>
  <c r="R301" i="2"/>
  <c r="N302" i="2"/>
  <c r="O302" i="2"/>
  <c r="R302" i="2"/>
  <c r="N303" i="2"/>
  <c r="O303" i="2"/>
  <c r="R303" i="2"/>
  <c r="N304" i="2"/>
  <c r="O304" i="2"/>
  <c r="R304" i="2"/>
  <c r="N305" i="2"/>
  <c r="O305" i="2"/>
  <c r="R305" i="2"/>
  <c r="N306" i="2"/>
  <c r="O306" i="2"/>
  <c r="R306" i="2"/>
  <c r="N307" i="2"/>
  <c r="O307" i="2"/>
  <c r="R307" i="2"/>
  <c r="N308" i="2"/>
  <c r="O308" i="2"/>
  <c r="R308" i="2"/>
  <c r="N309" i="2"/>
  <c r="O309" i="2"/>
  <c r="R309" i="2"/>
  <c r="N310" i="2"/>
  <c r="O310" i="2"/>
  <c r="R310" i="2"/>
  <c r="N311" i="2"/>
  <c r="O311" i="2"/>
  <c r="R311" i="2"/>
  <c r="N312" i="2"/>
  <c r="O312" i="2"/>
  <c r="R312" i="2"/>
  <c r="N313" i="2"/>
  <c r="O313" i="2"/>
  <c r="R313" i="2"/>
  <c r="N314" i="2"/>
  <c r="O314" i="2"/>
  <c r="R314" i="2"/>
  <c r="N315" i="2"/>
  <c r="O315" i="2"/>
  <c r="R315" i="2"/>
  <c r="N316" i="2"/>
  <c r="O316" i="2"/>
  <c r="R316" i="2"/>
  <c r="N317" i="2"/>
  <c r="O317" i="2"/>
  <c r="R317" i="2"/>
  <c r="N318" i="2"/>
  <c r="O318" i="2"/>
  <c r="R318" i="2"/>
  <c r="N319" i="2"/>
  <c r="O319" i="2"/>
  <c r="R319" i="2"/>
  <c r="N320" i="2"/>
  <c r="O320" i="2"/>
  <c r="R320" i="2"/>
  <c r="N321" i="2"/>
  <c r="O321" i="2"/>
  <c r="R321" i="2"/>
  <c r="N322" i="2"/>
  <c r="O322" i="2"/>
  <c r="R322" i="2"/>
  <c r="N323" i="2"/>
  <c r="O323" i="2"/>
  <c r="R323" i="2"/>
  <c r="N324" i="2"/>
  <c r="O324" i="2"/>
  <c r="R324" i="2"/>
  <c r="N325" i="2"/>
  <c r="O325" i="2"/>
  <c r="R325" i="2"/>
  <c r="N326" i="2"/>
  <c r="O326" i="2"/>
  <c r="R326" i="2"/>
  <c r="N327" i="2"/>
  <c r="O327" i="2"/>
  <c r="R327" i="2"/>
  <c r="N328" i="2"/>
  <c r="O328" i="2"/>
  <c r="R328" i="2"/>
  <c r="N329" i="2"/>
  <c r="O329" i="2"/>
  <c r="R329" i="2"/>
  <c r="N330" i="2"/>
  <c r="O330" i="2"/>
  <c r="R330" i="2"/>
  <c r="N331" i="2"/>
  <c r="O331" i="2"/>
  <c r="R331" i="2"/>
  <c r="N332" i="2"/>
  <c r="O332" i="2"/>
  <c r="R332" i="2"/>
  <c r="N333" i="2"/>
  <c r="O333" i="2"/>
  <c r="R333" i="2"/>
  <c r="N334" i="2"/>
  <c r="O334" i="2"/>
  <c r="R334" i="2"/>
  <c r="N335" i="2"/>
  <c r="O335" i="2"/>
  <c r="R335" i="2"/>
  <c r="N336" i="2"/>
  <c r="O336" i="2"/>
  <c r="R336" i="2"/>
  <c r="N337" i="2"/>
  <c r="O337" i="2"/>
  <c r="R337" i="2"/>
  <c r="N338" i="2"/>
  <c r="O338" i="2"/>
  <c r="R338" i="2"/>
  <c r="N339" i="2"/>
  <c r="O339" i="2"/>
  <c r="R339" i="2"/>
  <c r="N340" i="2"/>
  <c r="O340" i="2"/>
  <c r="R340" i="2"/>
  <c r="N341" i="2"/>
  <c r="O341" i="2"/>
  <c r="R341" i="2"/>
  <c r="N342" i="2"/>
  <c r="O342" i="2"/>
  <c r="R342" i="2"/>
  <c r="N343" i="2"/>
  <c r="O343" i="2"/>
  <c r="R343" i="2"/>
  <c r="N344" i="2"/>
  <c r="O344" i="2"/>
  <c r="R344" i="2"/>
  <c r="N345" i="2"/>
  <c r="O345" i="2"/>
  <c r="R345" i="2"/>
  <c r="N346" i="2"/>
  <c r="O346" i="2"/>
  <c r="R346" i="2"/>
  <c r="N347" i="2"/>
  <c r="O347" i="2"/>
  <c r="R347" i="2"/>
  <c r="N348" i="2"/>
  <c r="O348" i="2"/>
  <c r="R348" i="2"/>
  <c r="N349" i="2"/>
  <c r="O349" i="2"/>
  <c r="R349" i="2"/>
  <c r="N350" i="2"/>
  <c r="O350" i="2"/>
  <c r="R350" i="2"/>
  <c r="N351" i="2"/>
  <c r="O351" i="2"/>
  <c r="R351" i="2"/>
  <c r="N352" i="2"/>
  <c r="O352" i="2"/>
  <c r="R352" i="2"/>
  <c r="N353" i="2"/>
  <c r="O353" i="2"/>
  <c r="R353" i="2"/>
  <c r="N354" i="2"/>
  <c r="O354" i="2"/>
  <c r="R354" i="2"/>
  <c r="N355" i="2"/>
  <c r="O355" i="2"/>
  <c r="R355" i="2"/>
  <c r="N356" i="2"/>
  <c r="O356" i="2"/>
  <c r="R356" i="2"/>
  <c r="N357" i="2"/>
  <c r="O357" i="2"/>
  <c r="R357" i="2"/>
  <c r="N358" i="2"/>
  <c r="P358" i="2" s="1"/>
  <c r="Q358" i="2" s="1"/>
  <c r="O358" i="2"/>
  <c r="R358" i="2"/>
  <c r="N359" i="2"/>
  <c r="O359" i="2"/>
  <c r="R359" i="2"/>
  <c r="N360" i="2"/>
  <c r="O360" i="2"/>
  <c r="R360" i="2"/>
  <c r="N361" i="2"/>
  <c r="O361" i="2"/>
  <c r="R361" i="2"/>
  <c r="N362" i="2"/>
  <c r="P362" i="2" s="1"/>
  <c r="Q362" i="2" s="1"/>
  <c r="O362" i="2"/>
  <c r="R362" i="2"/>
  <c r="N363" i="2"/>
  <c r="O363" i="2"/>
  <c r="R363" i="2"/>
  <c r="N364" i="2"/>
  <c r="O364" i="2"/>
  <c r="R364" i="2"/>
  <c r="N365" i="2"/>
  <c r="O365" i="2"/>
  <c r="R365" i="2"/>
  <c r="N366" i="2"/>
  <c r="O366" i="2"/>
  <c r="R366" i="2"/>
  <c r="N367" i="2"/>
  <c r="O367" i="2"/>
  <c r="R367" i="2"/>
  <c r="N368" i="2"/>
  <c r="O368" i="2"/>
  <c r="R368" i="2"/>
  <c r="N369" i="2"/>
  <c r="O369" i="2"/>
  <c r="R369" i="2"/>
  <c r="N370" i="2"/>
  <c r="O370" i="2"/>
  <c r="R370" i="2"/>
  <c r="N371" i="2"/>
  <c r="O371" i="2"/>
  <c r="R371" i="2"/>
  <c r="N372" i="2"/>
  <c r="O372" i="2"/>
  <c r="R372" i="2"/>
  <c r="N373" i="2"/>
  <c r="O373" i="2"/>
  <c r="R373" i="2"/>
  <c r="N374" i="2"/>
  <c r="O374" i="2"/>
  <c r="R374" i="2"/>
  <c r="N375" i="2"/>
  <c r="O375" i="2"/>
  <c r="R375" i="2"/>
  <c r="N376" i="2"/>
  <c r="O376" i="2"/>
  <c r="R376" i="2"/>
  <c r="N377" i="2"/>
  <c r="O377" i="2"/>
  <c r="R377" i="2"/>
  <c r="N378" i="2"/>
  <c r="O378" i="2"/>
  <c r="R378" i="2"/>
  <c r="N379" i="2"/>
  <c r="O379" i="2"/>
  <c r="R379" i="2"/>
  <c r="N380" i="2"/>
  <c r="O380" i="2"/>
  <c r="R380" i="2"/>
  <c r="N381" i="2"/>
  <c r="O381" i="2"/>
  <c r="R381" i="2"/>
  <c r="N382" i="2"/>
  <c r="O382" i="2"/>
  <c r="R382" i="2"/>
  <c r="N383" i="2"/>
  <c r="O383" i="2"/>
  <c r="R383" i="2"/>
  <c r="N384" i="2"/>
  <c r="O384" i="2"/>
  <c r="R384" i="2"/>
  <c r="N385" i="2"/>
  <c r="O385" i="2"/>
  <c r="R385" i="2"/>
  <c r="N386" i="2"/>
  <c r="O386" i="2"/>
  <c r="R386" i="2"/>
  <c r="N387" i="2"/>
  <c r="O387" i="2"/>
  <c r="R387" i="2"/>
  <c r="N388" i="2"/>
  <c r="O388" i="2"/>
  <c r="R388" i="2"/>
  <c r="N389" i="2"/>
  <c r="O389" i="2"/>
  <c r="R389" i="2"/>
  <c r="N390" i="2"/>
  <c r="O390" i="2"/>
  <c r="R390" i="2"/>
  <c r="N391" i="2"/>
  <c r="O391" i="2"/>
  <c r="R391" i="2"/>
  <c r="N392" i="2"/>
  <c r="O392" i="2"/>
  <c r="R392" i="2"/>
  <c r="N393" i="2"/>
  <c r="O393" i="2"/>
  <c r="R393" i="2"/>
  <c r="N394" i="2"/>
  <c r="O394" i="2"/>
  <c r="R394" i="2"/>
  <c r="N395" i="2"/>
  <c r="O395" i="2"/>
  <c r="R395" i="2"/>
  <c r="N396" i="2"/>
  <c r="O396" i="2"/>
  <c r="R396" i="2"/>
  <c r="N397" i="2"/>
  <c r="O397" i="2"/>
  <c r="R397" i="2"/>
  <c r="N398" i="2"/>
  <c r="O398" i="2"/>
  <c r="R398" i="2"/>
  <c r="N399" i="2"/>
  <c r="O399" i="2"/>
  <c r="R399" i="2"/>
  <c r="N400" i="2"/>
  <c r="O400" i="2"/>
  <c r="R400" i="2"/>
  <c r="N401" i="2"/>
  <c r="O401" i="2"/>
  <c r="R401" i="2"/>
  <c r="N402" i="2"/>
  <c r="O402" i="2"/>
  <c r="R402" i="2"/>
  <c r="N403" i="2"/>
  <c r="O403" i="2"/>
  <c r="R403" i="2"/>
  <c r="N404" i="2"/>
  <c r="O404" i="2"/>
  <c r="R404" i="2"/>
  <c r="N405" i="2"/>
  <c r="O405" i="2"/>
  <c r="R405" i="2"/>
  <c r="N406" i="2"/>
  <c r="O406" i="2"/>
  <c r="R406" i="2"/>
  <c r="N407" i="2"/>
  <c r="O407" i="2"/>
  <c r="R407" i="2"/>
  <c r="N408" i="2"/>
  <c r="O408" i="2"/>
  <c r="R408" i="2"/>
  <c r="N409" i="2"/>
  <c r="O409" i="2"/>
  <c r="R409" i="2"/>
  <c r="N410" i="2"/>
  <c r="O410" i="2"/>
  <c r="R410" i="2"/>
  <c r="N411" i="2"/>
  <c r="O411" i="2"/>
  <c r="R411" i="2"/>
  <c r="N412" i="2"/>
  <c r="O412" i="2"/>
  <c r="R412" i="2"/>
  <c r="N413" i="2"/>
  <c r="O413" i="2"/>
  <c r="R413" i="2"/>
  <c r="N414" i="2"/>
  <c r="O414" i="2"/>
  <c r="R414" i="2"/>
  <c r="N415" i="2"/>
  <c r="O415" i="2"/>
  <c r="R415" i="2"/>
  <c r="N416" i="2"/>
  <c r="O416" i="2"/>
  <c r="R416" i="2"/>
  <c r="N417" i="2"/>
  <c r="O417" i="2"/>
  <c r="R417" i="2"/>
  <c r="N418" i="2"/>
  <c r="O418" i="2"/>
  <c r="R418" i="2"/>
  <c r="N419" i="2"/>
  <c r="O419" i="2"/>
  <c r="R419" i="2"/>
  <c r="N420" i="2"/>
  <c r="O420" i="2"/>
  <c r="R420" i="2"/>
  <c r="N421" i="2"/>
  <c r="O421" i="2"/>
  <c r="R421" i="2"/>
  <c r="N422" i="2"/>
  <c r="O422" i="2"/>
  <c r="R422" i="2"/>
  <c r="N423" i="2"/>
  <c r="O423" i="2"/>
  <c r="R423" i="2"/>
  <c r="N424" i="2"/>
  <c r="O424" i="2"/>
  <c r="R424" i="2"/>
  <c r="N425" i="2"/>
  <c r="O425" i="2"/>
  <c r="R425" i="2"/>
  <c r="N426" i="2"/>
  <c r="O426" i="2"/>
  <c r="R426" i="2"/>
  <c r="N427" i="2"/>
  <c r="O427" i="2"/>
  <c r="R427" i="2"/>
  <c r="N428" i="2"/>
  <c r="O428" i="2"/>
  <c r="R428" i="2"/>
  <c r="N429" i="2"/>
  <c r="O429" i="2"/>
  <c r="R429" i="2"/>
  <c r="N430" i="2"/>
  <c r="O430" i="2"/>
  <c r="R430" i="2"/>
  <c r="N431" i="2"/>
  <c r="O431" i="2"/>
  <c r="R431" i="2"/>
  <c r="N432" i="2"/>
  <c r="O432" i="2"/>
  <c r="R432" i="2"/>
  <c r="N433" i="2"/>
  <c r="O433" i="2"/>
  <c r="R433" i="2"/>
  <c r="N434" i="2"/>
  <c r="O434" i="2"/>
  <c r="R434" i="2"/>
  <c r="N435" i="2"/>
  <c r="O435" i="2"/>
  <c r="R435" i="2"/>
  <c r="N436" i="2"/>
  <c r="O436" i="2"/>
  <c r="R436" i="2"/>
  <c r="N437" i="2"/>
  <c r="O437" i="2"/>
  <c r="R437" i="2"/>
  <c r="N438" i="2"/>
  <c r="O438" i="2"/>
  <c r="R438" i="2"/>
  <c r="N439" i="2"/>
  <c r="O439" i="2"/>
  <c r="R439" i="2"/>
  <c r="N440" i="2"/>
  <c r="O440" i="2"/>
  <c r="R440" i="2"/>
  <c r="N441" i="2"/>
  <c r="O441" i="2"/>
  <c r="R441" i="2"/>
  <c r="N442" i="2"/>
  <c r="O442" i="2"/>
  <c r="R442" i="2"/>
  <c r="N443" i="2"/>
  <c r="O443" i="2"/>
  <c r="R443" i="2"/>
  <c r="N444" i="2"/>
  <c r="O444" i="2"/>
  <c r="R444" i="2"/>
  <c r="N445" i="2"/>
  <c r="O445" i="2"/>
  <c r="R445" i="2"/>
  <c r="N446" i="2"/>
  <c r="O446" i="2"/>
  <c r="R446" i="2"/>
  <c r="N447" i="2"/>
  <c r="O447" i="2"/>
  <c r="R447" i="2"/>
  <c r="N448" i="2"/>
  <c r="O448" i="2"/>
  <c r="R448" i="2"/>
  <c r="N449" i="2"/>
  <c r="O449" i="2"/>
  <c r="R449" i="2"/>
  <c r="N450" i="2"/>
  <c r="O450" i="2"/>
  <c r="R450" i="2"/>
  <c r="N451" i="2"/>
  <c r="O451" i="2"/>
  <c r="R451" i="2"/>
  <c r="N452" i="2"/>
  <c r="O452" i="2"/>
  <c r="R452" i="2"/>
  <c r="N453" i="2"/>
  <c r="O453" i="2"/>
  <c r="R453" i="2"/>
  <c r="N454" i="2"/>
  <c r="P454" i="2" s="1"/>
  <c r="Q454" i="2" s="1"/>
  <c r="O454" i="2"/>
  <c r="R454" i="2"/>
  <c r="N455" i="2"/>
  <c r="O455" i="2"/>
  <c r="R455" i="2"/>
  <c r="N456" i="2"/>
  <c r="O456" i="2"/>
  <c r="R456" i="2"/>
  <c r="N457" i="2"/>
  <c r="O457" i="2"/>
  <c r="R457" i="2"/>
  <c r="N458" i="2"/>
  <c r="O458" i="2"/>
  <c r="R458" i="2"/>
  <c r="N459" i="2"/>
  <c r="O459" i="2"/>
  <c r="R459" i="2"/>
  <c r="N460" i="2"/>
  <c r="O460" i="2"/>
  <c r="R460" i="2"/>
  <c r="N461" i="2"/>
  <c r="O461" i="2"/>
  <c r="R461" i="2"/>
  <c r="N462" i="2"/>
  <c r="O462" i="2"/>
  <c r="R462" i="2"/>
  <c r="N463" i="2"/>
  <c r="O463" i="2"/>
  <c r="R463" i="2"/>
  <c r="N464" i="2"/>
  <c r="O464" i="2"/>
  <c r="R464" i="2"/>
  <c r="N465" i="2"/>
  <c r="O465" i="2"/>
  <c r="R465" i="2"/>
  <c r="N466" i="2"/>
  <c r="O466" i="2"/>
  <c r="R466" i="2"/>
  <c r="N467" i="2"/>
  <c r="O467" i="2"/>
  <c r="R467" i="2"/>
  <c r="N468" i="2"/>
  <c r="O468" i="2"/>
  <c r="R468" i="2"/>
  <c r="N469" i="2"/>
  <c r="O469" i="2"/>
  <c r="R469" i="2"/>
  <c r="N470" i="2"/>
  <c r="O470" i="2"/>
  <c r="R470" i="2"/>
  <c r="N471" i="2"/>
  <c r="O471" i="2"/>
  <c r="R471" i="2"/>
  <c r="N472" i="2"/>
  <c r="O472" i="2"/>
  <c r="R472" i="2"/>
  <c r="N473" i="2"/>
  <c r="O473" i="2"/>
  <c r="R473" i="2"/>
  <c r="N474" i="2"/>
  <c r="O474" i="2"/>
  <c r="R474" i="2"/>
  <c r="N475" i="2"/>
  <c r="O475" i="2"/>
  <c r="R475" i="2"/>
  <c r="N476" i="2"/>
  <c r="O476" i="2"/>
  <c r="R476" i="2"/>
  <c r="N477" i="2"/>
  <c r="O477" i="2"/>
  <c r="R477" i="2"/>
  <c r="N478" i="2"/>
  <c r="O478" i="2"/>
  <c r="R478" i="2"/>
  <c r="N479" i="2"/>
  <c r="O479" i="2"/>
  <c r="R479" i="2"/>
  <c r="N480" i="2"/>
  <c r="O480" i="2"/>
  <c r="R480" i="2"/>
  <c r="N481" i="2"/>
  <c r="O481" i="2"/>
  <c r="R481" i="2"/>
  <c r="N482" i="2"/>
  <c r="O482" i="2"/>
  <c r="R482" i="2"/>
  <c r="N483" i="2"/>
  <c r="O483" i="2"/>
  <c r="R483" i="2"/>
  <c r="N484" i="2"/>
  <c r="O484" i="2"/>
  <c r="R484" i="2"/>
  <c r="N485" i="2"/>
  <c r="O485" i="2"/>
  <c r="R485" i="2"/>
  <c r="N486" i="2"/>
  <c r="O486" i="2"/>
  <c r="R486" i="2"/>
  <c r="N487" i="2"/>
  <c r="O487" i="2"/>
  <c r="R487" i="2"/>
  <c r="N488" i="2"/>
  <c r="O488" i="2"/>
  <c r="P488" i="2" s="1"/>
  <c r="Q488" i="2" s="1"/>
  <c r="R488" i="2"/>
  <c r="N489" i="2"/>
  <c r="O489" i="2"/>
  <c r="R489" i="2"/>
  <c r="N490" i="2"/>
  <c r="O490" i="2"/>
  <c r="R490" i="2"/>
  <c r="N491" i="2"/>
  <c r="O491" i="2"/>
  <c r="R491" i="2"/>
  <c r="N492" i="2"/>
  <c r="O492" i="2"/>
  <c r="R492" i="2"/>
  <c r="N493" i="2"/>
  <c r="O493" i="2"/>
  <c r="R493" i="2"/>
  <c r="N494" i="2"/>
  <c r="O494" i="2"/>
  <c r="R494" i="2"/>
  <c r="N495" i="2"/>
  <c r="O495" i="2"/>
  <c r="R495" i="2"/>
  <c r="N496" i="2"/>
  <c r="O496" i="2"/>
  <c r="R496" i="2"/>
  <c r="N497" i="2"/>
  <c r="O497" i="2"/>
  <c r="R497" i="2"/>
  <c r="N498" i="2"/>
  <c r="O498" i="2"/>
  <c r="R498" i="2"/>
  <c r="N499" i="2"/>
  <c r="O499" i="2"/>
  <c r="R499" i="2"/>
  <c r="N500" i="2"/>
  <c r="O500" i="2"/>
  <c r="R500" i="2"/>
  <c r="N501" i="2"/>
  <c r="O501" i="2"/>
  <c r="R501" i="2"/>
  <c r="N502" i="2"/>
  <c r="O502" i="2"/>
  <c r="R502" i="2"/>
  <c r="N503" i="2"/>
  <c r="O503" i="2"/>
  <c r="R503" i="2"/>
  <c r="N504" i="2"/>
  <c r="O504" i="2"/>
  <c r="R504" i="2"/>
  <c r="N505" i="2"/>
  <c r="O505" i="2"/>
  <c r="R505" i="2"/>
  <c r="N506" i="2"/>
  <c r="O506" i="2"/>
  <c r="R506" i="2"/>
  <c r="N507" i="2"/>
  <c r="O507" i="2"/>
  <c r="R507" i="2"/>
  <c r="N508" i="2"/>
  <c r="O508" i="2"/>
  <c r="R508" i="2"/>
  <c r="N509" i="2"/>
  <c r="O509" i="2"/>
  <c r="R509" i="2"/>
  <c r="N510" i="2"/>
  <c r="O510" i="2"/>
  <c r="R510" i="2"/>
  <c r="N511" i="2"/>
  <c r="O511" i="2"/>
  <c r="R511" i="2"/>
  <c r="N512" i="2"/>
  <c r="O512" i="2"/>
  <c r="R512" i="2"/>
  <c r="N513" i="2"/>
  <c r="O513" i="2"/>
  <c r="R513" i="2"/>
  <c r="N514" i="2"/>
  <c r="O514" i="2"/>
  <c r="R514" i="2"/>
  <c r="N515" i="2"/>
  <c r="O515" i="2"/>
  <c r="R515" i="2"/>
  <c r="N516" i="2"/>
  <c r="O516" i="2"/>
  <c r="R516" i="2"/>
  <c r="N517" i="2"/>
  <c r="O517" i="2"/>
  <c r="R517" i="2"/>
  <c r="N518" i="2"/>
  <c r="O518" i="2"/>
  <c r="R518" i="2"/>
  <c r="N519" i="2"/>
  <c r="O519" i="2"/>
  <c r="R519" i="2"/>
  <c r="N520" i="2"/>
  <c r="O520" i="2"/>
  <c r="R520" i="2"/>
  <c r="N521" i="2"/>
  <c r="O521" i="2"/>
  <c r="R521" i="2"/>
  <c r="N522" i="2"/>
  <c r="O522" i="2"/>
  <c r="R522" i="2"/>
  <c r="N523" i="2"/>
  <c r="O523" i="2"/>
  <c r="R523" i="2"/>
  <c r="N524" i="2"/>
  <c r="O524" i="2"/>
  <c r="R524" i="2"/>
  <c r="N525" i="2"/>
  <c r="O525" i="2"/>
  <c r="R525" i="2"/>
  <c r="N526" i="2"/>
  <c r="O526" i="2"/>
  <c r="R526" i="2"/>
  <c r="N527" i="2"/>
  <c r="O527" i="2"/>
  <c r="R527" i="2"/>
  <c r="N528" i="2"/>
  <c r="O528" i="2"/>
  <c r="R528" i="2"/>
  <c r="N529" i="2"/>
  <c r="O529" i="2"/>
  <c r="R529" i="2"/>
  <c r="N530" i="2"/>
  <c r="O530" i="2"/>
  <c r="R530" i="2"/>
  <c r="N531" i="2"/>
  <c r="O531" i="2"/>
  <c r="R531" i="2"/>
  <c r="N532" i="2"/>
  <c r="O532" i="2"/>
  <c r="R532" i="2"/>
  <c r="N533" i="2"/>
  <c r="O533" i="2"/>
  <c r="R533" i="2"/>
  <c r="N534" i="2"/>
  <c r="O534" i="2"/>
  <c r="R534" i="2"/>
  <c r="N535" i="2"/>
  <c r="O535" i="2"/>
  <c r="R535" i="2"/>
  <c r="N536" i="2"/>
  <c r="O536" i="2"/>
  <c r="R536" i="2"/>
  <c r="N537" i="2"/>
  <c r="O537" i="2"/>
  <c r="R537" i="2"/>
  <c r="N538" i="2"/>
  <c r="O538" i="2"/>
  <c r="R538" i="2"/>
  <c r="N539" i="2"/>
  <c r="O539" i="2"/>
  <c r="R539" i="2"/>
  <c r="N540" i="2"/>
  <c r="O540" i="2"/>
  <c r="R540" i="2"/>
  <c r="N541" i="2"/>
  <c r="O541" i="2"/>
  <c r="R541" i="2"/>
  <c r="N542" i="2"/>
  <c r="O542" i="2"/>
  <c r="R542" i="2"/>
  <c r="N543" i="2"/>
  <c r="O543" i="2"/>
  <c r="R543" i="2"/>
  <c r="N544" i="2"/>
  <c r="O544" i="2"/>
  <c r="R544" i="2"/>
  <c r="N545" i="2"/>
  <c r="O545" i="2"/>
  <c r="R545" i="2"/>
  <c r="N546" i="2"/>
  <c r="O546" i="2"/>
  <c r="R546" i="2"/>
  <c r="N547" i="2"/>
  <c r="O547" i="2"/>
  <c r="R547" i="2"/>
  <c r="N548" i="2"/>
  <c r="O548" i="2"/>
  <c r="R548" i="2"/>
  <c r="N549" i="2"/>
  <c r="O549" i="2"/>
  <c r="R549" i="2"/>
  <c r="N550" i="2"/>
  <c r="O550" i="2"/>
  <c r="R550" i="2"/>
  <c r="N551" i="2"/>
  <c r="O551" i="2"/>
  <c r="R551" i="2"/>
  <c r="N552" i="2"/>
  <c r="O552" i="2"/>
  <c r="R552" i="2"/>
  <c r="N553" i="2"/>
  <c r="O553" i="2"/>
  <c r="R553" i="2"/>
  <c r="N554" i="2"/>
  <c r="O554" i="2"/>
  <c r="R554" i="2"/>
  <c r="N555" i="2"/>
  <c r="O555" i="2"/>
  <c r="R555" i="2"/>
  <c r="N556" i="2"/>
  <c r="O556" i="2"/>
  <c r="R556" i="2"/>
  <c r="N557" i="2"/>
  <c r="O557" i="2"/>
  <c r="R557" i="2"/>
  <c r="N558" i="2"/>
  <c r="O558" i="2"/>
  <c r="R558" i="2"/>
  <c r="N559" i="2"/>
  <c r="O559" i="2"/>
  <c r="R559" i="2"/>
  <c r="N560" i="2"/>
  <c r="O560" i="2"/>
  <c r="P560" i="2" s="1"/>
  <c r="Q560" i="2" s="1"/>
  <c r="R560" i="2"/>
  <c r="N561" i="2"/>
  <c r="O561" i="2"/>
  <c r="R561" i="2"/>
  <c r="N562" i="2"/>
  <c r="O562" i="2"/>
  <c r="R562" i="2"/>
  <c r="N563" i="2"/>
  <c r="O563" i="2"/>
  <c r="R563" i="2"/>
  <c r="N564" i="2"/>
  <c r="O564" i="2"/>
  <c r="R564" i="2"/>
  <c r="N565" i="2"/>
  <c r="O565" i="2"/>
  <c r="R565" i="2"/>
  <c r="N566" i="2"/>
  <c r="O566" i="2"/>
  <c r="R566" i="2"/>
  <c r="N567" i="2"/>
  <c r="O567" i="2"/>
  <c r="R567" i="2"/>
  <c r="N568" i="2"/>
  <c r="O568" i="2"/>
  <c r="R568" i="2"/>
  <c r="N569" i="2"/>
  <c r="O569" i="2"/>
  <c r="R569" i="2"/>
  <c r="N570" i="2"/>
  <c r="O570" i="2"/>
  <c r="R570" i="2"/>
  <c r="N571" i="2"/>
  <c r="O571" i="2"/>
  <c r="R571" i="2"/>
  <c r="N572" i="2"/>
  <c r="O572" i="2"/>
  <c r="R572" i="2"/>
  <c r="N573" i="2"/>
  <c r="O573" i="2"/>
  <c r="R573" i="2"/>
  <c r="N574" i="2"/>
  <c r="O574" i="2"/>
  <c r="R574" i="2"/>
  <c r="N575" i="2"/>
  <c r="O575" i="2"/>
  <c r="R575" i="2"/>
  <c r="N576" i="2"/>
  <c r="O576" i="2"/>
  <c r="R576" i="2"/>
  <c r="N577" i="2"/>
  <c r="O577" i="2"/>
  <c r="R577" i="2"/>
  <c r="N578" i="2"/>
  <c r="O578" i="2"/>
  <c r="R578" i="2"/>
  <c r="N579" i="2"/>
  <c r="O579" i="2"/>
  <c r="R579" i="2"/>
  <c r="N580" i="2"/>
  <c r="O580" i="2"/>
  <c r="R580" i="2"/>
  <c r="N581" i="2"/>
  <c r="O581" i="2"/>
  <c r="R581" i="2"/>
  <c r="N582" i="2"/>
  <c r="O582" i="2"/>
  <c r="R582" i="2"/>
  <c r="N583" i="2"/>
  <c r="O583" i="2"/>
  <c r="R583" i="2"/>
  <c r="N584" i="2"/>
  <c r="O584" i="2"/>
  <c r="R584" i="2"/>
  <c r="N585" i="2"/>
  <c r="O585" i="2"/>
  <c r="R585" i="2"/>
  <c r="N586" i="2"/>
  <c r="O586" i="2"/>
  <c r="R586" i="2"/>
  <c r="N587" i="2"/>
  <c r="O587" i="2"/>
  <c r="R587" i="2"/>
  <c r="N588" i="2"/>
  <c r="O588" i="2"/>
  <c r="R588" i="2"/>
  <c r="N589" i="2"/>
  <c r="O589" i="2"/>
  <c r="R589" i="2"/>
  <c r="N590" i="2"/>
  <c r="P590" i="2" s="1"/>
  <c r="Q590" i="2" s="1"/>
  <c r="O590" i="2"/>
  <c r="R590" i="2"/>
  <c r="N591" i="2"/>
  <c r="O591" i="2"/>
  <c r="R591" i="2"/>
  <c r="N592" i="2"/>
  <c r="O592" i="2"/>
  <c r="R592" i="2"/>
  <c r="N593" i="2"/>
  <c r="O593" i="2"/>
  <c r="R593" i="2"/>
  <c r="N594" i="2"/>
  <c r="O594" i="2"/>
  <c r="R594" i="2"/>
  <c r="N595" i="2"/>
  <c r="O595" i="2"/>
  <c r="R595" i="2"/>
  <c r="N596" i="2"/>
  <c r="O596" i="2"/>
  <c r="R596" i="2"/>
  <c r="N597" i="2"/>
  <c r="O597" i="2"/>
  <c r="R597" i="2"/>
  <c r="N598" i="2"/>
  <c r="P598" i="2" s="1"/>
  <c r="Q598" i="2" s="1"/>
  <c r="O598" i="2"/>
  <c r="R598" i="2"/>
  <c r="N599" i="2"/>
  <c r="O599" i="2"/>
  <c r="R599" i="2"/>
  <c r="N600" i="2"/>
  <c r="O600" i="2"/>
  <c r="R600" i="2"/>
  <c r="N601" i="2"/>
  <c r="O601" i="2"/>
  <c r="R601" i="2"/>
  <c r="N602" i="2"/>
  <c r="P602" i="2" s="1"/>
  <c r="Q602" i="2" s="1"/>
  <c r="O602" i="2"/>
  <c r="R602" i="2"/>
  <c r="N603" i="2"/>
  <c r="O603" i="2"/>
  <c r="R603" i="2"/>
  <c r="N604" i="2"/>
  <c r="O604" i="2"/>
  <c r="R604" i="2"/>
  <c r="N605" i="2"/>
  <c r="O605" i="2"/>
  <c r="R605" i="2"/>
  <c r="N606" i="2"/>
  <c r="P606" i="2" s="1"/>
  <c r="Q606" i="2" s="1"/>
  <c r="O606" i="2"/>
  <c r="R606" i="2"/>
  <c r="N607" i="2"/>
  <c r="O607" i="2"/>
  <c r="R607" i="2"/>
  <c r="N608" i="2"/>
  <c r="O608" i="2"/>
  <c r="R608" i="2"/>
  <c r="N609" i="2"/>
  <c r="O609" i="2"/>
  <c r="R609" i="2"/>
  <c r="N610" i="2"/>
  <c r="O610" i="2"/>
  <c r="R610" i="2"/>
  <c r="N611" i="2"/>
  <c r="O611" i="2"/>
  <c r="R611" i="2"/>
  <c r="N612" i="2"/>
  <c r="O612" i="2"/>
  <c r="R612" i="2"/>
  <c r="N613" i="2"/>
  <c r="O613" i="2"/>
  <c r="R613" i="2"/>
  <c r="N614" i="2"/>
  <c r="P614" i="2" s="1"/>
  <c r="Q614" i="2" s="1"/>
  <c r="O614" i="2"/>
  <c r="R614" i="2"/>
  <c r="N615" i="2"/>
  <c r="O615" i="2"/>
  <c r="R615" i="2"/>
  <c r="N616" i="2"/>
  <c r="O616" i="2"/>
  <c r="R616" i="2"/>
  <c r="N617" i="2"/>
  <c r="O617" i="2"/>
  <c r="R617" i="2"/>
  <c r="N618" i="2"/>
  <c r="O618" i="2"/>
  <c r="R618" i="2"/>
  <c r="N619" i="2"/>
  <c r="O619" i="2"/>
  <c r="R619" i="2"/>
  <c r="N620" i="2"/>
  <c r="O620" i="2"/>
  <c r="R620" i="2"/>
  <c r="N621" i="2"/>
  <c r="O621" i="2"/>
  <c r="R621" i="2"/>
  <c r="N622" i="2"/>
  <c r="O622" i="2"/>
  <c r="R622" i="2"/>
  <c r="N623" i="2"/>
  <c r="O623" i="2"/>
  <c r="R623" i="2"/>
  <c r="N624" i="2"/>
  <c r="O624" i="2"/>
  <c r="R624" i="2"/>
  <c r="N625" i="2"/>
  <c r="O625" i="2"/>
  <c r="R625" i="2"/>
  <c r="N626" i="2"/>
  <c r="O626" i="2"/>
  <c r="R626" i="2"/>
  <c r="N627" i="2"/>
  <c r="O627" i="2"/>
  <c r="R627" i="2"/>
  <c r="N628" i="2"/>
  <c r="O628" i="2"/>
  <c r="R628" i="2"/>
  <c r="N629" i="2"/>
  <c r="O629" i="2"/>
  <c r="R629" i="2"/>
  <c r="N630" i="2"/>
  <c r="O630" i="2"/>
  <c r="R630" i="2"/>
  <c r="N631" i="2"/>
  <c r="O631" i="2"/>
  <c r="R631" i="2"/>
  <c r="N632" i="2"/>
  <c r="O632" i="2"/>
  <c r="R632" i="2"/>
  <c r="N633" i="2"/>
  <c r="O633" i="2"/>
  <c r="R633" i="2"/>
  <c r="N634" i="2"/>
  <c r="O634" i="2"/>
  <c r="R634" i="2"/>
  <c r="N635" i="2"/>
  <c r="O635" i="2"/>
  <c r="R635" i="2"/>
  <c r="N636" i="2"/>
  <c r="O636" i="2"/>
  <c r="R636" i="2"/>
  <c r="N637" i="2"/>
  <c r="O637" i="2"/>
  <c r="R637" i="2"/>
  <c r="N638" i="2"/>
  <c r="O638" i="2"/>
  <c r="R638" i="2"/>
  <c r="N639" i="2"/>
  <c r="O639" i="2"/>
  <c r="R639" i="2"/>
  <c r="N640" i="2"/>
  <c r="O640" i="2"/>
  <c r="R640" i="2"/>
  <c r="N641" i="2"/>
  <c r="O641" i="2"/>
  <c r="R641" i="2"/>
  <c r="N642" i="2"/>
  <c r="O642" i="2"/>
  <c r="R642" i="2"/>
  <c r="N643" i="2"/>
  <c r="O643" i="2"/>
  <c r="R643" i="2"/>
  <c r="N644" i="2"/>
  <c r="O644" i="2"/>
  <c r="R644" i="2"/>
  <c r="N645" i="2"/>
  <c r="O645" i="2"/>
  <c r="R645" i="2"/>
  <c r="N646" i="2"/>
  <c r="P646" i="2" s="1"/>
  <c r="Q646" i="2" s="1"/>
  <c r="O646" i="2"/>
  <c r="R646" i="2"/>
  <c r="N647" i="2"/>
  <c r="O647" i="2"/>
  <c r="R647" i="2"/>
  <c r="N648" i="2"/>
  <c r="O648" i="2"/>
  <c r="R648" i="2"/>
  <c r="N649" i="2"/>
  <c r="O649" i="2"/>
  <c r="R649" i="2"/>
  <c r="N650" i="2"/>
  <c r="O650" i="2"/>
  <c r="R650" i="2"/>
  <c r="N651" i="2"/>
  <c r="O651" i="2"/>
  <c r="R651" i="2"/>
  <c r="N652" i="2"/>
  <c r="O652" i="2"/>
  <c r="R652" i="2"/>
  <c r="N653" i="2"/>
  <c r="O653" i="2"/>
  <c r="R653" i="2"/>
  <c r="N654" i="2"/>
  <c r="O654" i="2"/>
  <c r="R654" i="2"/>
  <c r="N655" i="2"/>
  <c r="O655" i="2"/>
  <c r="R655" i="2"/>
  <c r="N656" i="2"/>
  <c r="O656" i="2"/>
  <c r="R656" i="2"/>
  <c r="N657" i="2"/>
  <c r="O657" i="2"/>
  <c r="R657" i="2"/>
  <c r="N658" i="2"/>
  <c r="O658" i="2"/>
  <c r="R658" i="2"/>
  <c r="N659" i="2"/>
  <c r="O659" i="2"/>
  <c r="R659" i="2"/>
  <c r="N660" i="2"/>
  <c r="O660" i="2"/>
  <c r="R660" i="2"/>
  <c r="N661" i="2"/>
  <c r="O661" i="2"/>
  <c r="R661" i="2"/>
  <c r="N662" i="2"/>
  <c r="O662" i="2"/>
  <c r="R662" i="2"/>
  <c r="N663" i="2"/>
  <c r="O663" i="2"/>
  <c r="R663" i="2"/>
  <c r="N664" i="2"/>
  <c r="O664" i="2"/>
  <c r="R664" i="2"/>
  <c r="N665" i="2"/>
  <c r="O665" i="2"/>
  <c r="R665" i="2"/>
  <c r="N666" i="2"/>
  <c r="P666" i="2" s="1"/>
  <c r="Q666" i="2" s="1"/>
  <c r="O666" i="2"/>
  <c r="R666" i="2"/>
  <c r="N667" i="2"/>
  <c r="O667" i="2"/>
  <c r="R667" i="2"/>
  <c r="N668" i="2"/>
  <c r="O668" i="2"/>
  <c r="R668" i="2"/>
  <c r="N669" i="2"/>
  <c r="O669" i="2"/>
  <c r="R669" i="2"/>
  <c r="N670" i="2"/>
  <c r="O670" i="2"/>
  <c r="R670" i="2"/>
  <c r="N671" i="2"/>
  <c r="O671" i="2"/>
  <c r="R671" i="2"/>
  <c r="N672" i="2"/>
  <c r="O672" i="2"/>
  <c r="R672" i="2"/>
  <c r="N673" i="2"/>
  <c r="O673" i="2"/>
  <c r="R673" i="2"/>
  <c r="N674" i="2"/>
  <c r="O674" i="2"/>
  <c r="R674" i="2"/>
  <c r="N675" i="2"/>
  <c r="O675" i="2"/>
  <c r="R675" i="2"/>
  <c r="N676" i="2"/>
  <c r="O676" i="2"/>
  <c r="R676" i="2"/>
  <c r="N677" i="2"/>
  <c r="O677" i="2"/>
  <c r="R677" i="2"/>
  <c r="N678" i="2"/>
  <c r="O678" i="2"/>
  <c r="R678" i="2"/>
  <c r="N679" i="2"/>
  <c r="O679" i="2"/>
  <c r="R679" i="2"/>
  <c r="N680" i="2"/>
  <c r="O680" i="2"/>
  <c r="R680" i="2"/>
  <c r="N681" i="2"/>
  <c r="O681" i="2"/>
  <c r="R681" i="2"/>
  <c r="N682" i="2"/>
  <c r="O682" i="2"/>
  <c r="R682" i="2"/>
  <c r="N683" i="2"/>
  <c r="O683" i="2"/>
  <c r="R683" i="2"/>
  <c r="N684" i="2"/>
  <c r="O684" i="2"/>
  <c r="R684" i="2"/>
  <c r="N685" i="2"/>
  <c r="O685" i="2"/>
  <c r="R685" i="2"/>
  <c r="N686" i="2"/>
  <c r="O686" i="2"/>
  <c r="R686" i="2"/>
  <c r="N687" i="2"/>
  <c r="O687" i="2"/>
  <c r="R687" i="2"/>
  <c r="N688" i="2"/>
  <c r="O688" i="2"/>
  <c r="R688" i="2"/>
  <c r="N689" i="2"/>
  <c r="O689" i="2"/>
  <c r="R689" i="2"/>
  <c r="N690" i="2"/>
  <c r="O690" i="2"/>
  <c r="R690" i="2"/>
  <c r="N691" i="2"/>
  <c r="O691" i="2"/>
  <c r="R691" i="2"/>
  <c r="N692" i="2"/>
  <c r="O692" i="2"/>
  <c r="R692" i="2"/>
  <c r="N693" i="2"/>
  <c r="O693" i="2"/>
  <c r="R693" i="2"/>
  <c r="N694" i="2"/>
  <c r="O694" i="2"/>
  <c r="R694" i="2"/>
  <c r="N695" i="2"/>
  <c r="O695" i="2"/>
  <c r="R695" i="2"/>
  <c r="N696" i="2"/>
  <c r="O696" i="2"/>
  <c r="R696" i="2"/>
  <c r="N697" i="2"/>
  <c r="O697" i="2"/>
  <c r="R697" i="2"/>
  <c r="N698" i="2"/>
  <c r="O698" i="2"/>
  <c r="R698" i="2"/>
  <c r="N699" i="2"/>
  <c r="O699" i="2"/>
  <c r="R699" i="2"/>
  <c r="N700" i="2"/>
  <c r="O700" i="2"/>
  <c r="R700" i="2"/>
  <c r="N701" i="2"/>
  <c r="O701" i="2"/>
  <c r="R701" i="2"/>
  <c r="N702" i="2"/>
  <c r="O702" i="2"/>
  <c r="R702" i="2"/>
  <c r="N703" i="2"/>
  <c r="O703" i="2"/>
  <c r="R703" i="2"/>
  <c r="N704" i="2"/>
  <c r="O704" i="2"/>
  <c r="R704" i="2"/>
  <c r="N705" i="2"/>
  <c r="O705" i="2"/>
  <c r="R705" i="2"/>
  <c r="N706" i="2"/>
  <c r="O706" i="2"/>
  <c r="R706" i="2"/>
  <c r="N707" i="2"/>
  <c r="O707" i="2"/>
  <c r="R707" i="2"/>
  <c r="N708" i="2"/>
  <c r="O708" i="2"/>
  <c r="R708" i="2"/>
  <c r="N709" i="2"/>
  <c r="O709" i="2"/>
  <c r="R709" i="2"/>
  <c r="N710" i="2"/>
  <c r="O710" i="2"/>
  <c r="R710" i="2"/>
  <c r="N711" i="2"/>
  <c r="O711" i="2"/>
  <c r="R711" i="2"/>
  <c r="N712" i="2"/>
  <c r="O712" i="2"/>
  <c r="R712" i="2"/>
  <c r="N713" i="2"/>
  <c r="O713" i="2"/>
  <c r="R713" i="2"/>
  <c r="N714" i="2"/>
  <c r="O714" i="2"/>
  <c r="R714" i="2"/>
  <c r="N715" i="2"/>
  <c r="O715" i="2"/>
  <c r="R715" i="2"/>
  <c r="N716" i="2"/>
  <c r="O716" i="2"/>
  <c r="R716" i="2"/>
  <c r="N717" i="2"/>
  <c r="O717" i="2"/>
  <c r="R717" i="2"/>
  <c r="N718" i="2"/>
  <c r="P718" i="2" s="1"/>
  <c r="Q718" i="2" s="1"/>
  <c r="O718" i="2"/>
  <c r="R718" i="2"/>
  <c r="N719" i="2"/>
  <c r="O719" i="2"/>
  <c r="R719" i="2"/>
  <c r="N720" i="2"/>
  <c r="O720" i="2"/>
  <c r="R720" i="2"/>
  <c r="N721" i="2"/>
  <c r="O721" i="2"/>
  <c r="R721" i="2"/>
  <c r="N722" i="2"/>
  <c r="O722" i="2"/>
  <c r="R722" i="2"/>
  <c r="N723" i="2"/>
  <c r="O723" i="2"/>
  <c r="R723" i="2"/>
  <c r="N724" i="2"/>
  <c r="O724" i="2"/>
  <c r="R724" i="2"/>
  <c r="N725" i="2"/>
  <c r="O725" i="2"/>
  <c r="R725" i="2"/>
  <c r="N726" i="2"/>
  <c r="P726" i="2" s="1"/>
  <c r="Q726" i="2" s="1"/>
  <c r="O726" i="2"/>
  <c r="R726" i="2"/>
  <c r="N727" i="2"/>
  <c r="O727" i="2"/>
  <c r="R727" i="2"/>
  <c r="N728" i="2"/>
  <c r="O728" i="2"/>
  <c r="R728" i="2"/>
  <c r="N729" i="2"/>
  <c r="O729" i="2"/>
  <c r="R729" i="2"/>
  <c r="N730" i="2"/>
  <c r="P730" i="2" s="1"/>
  <c r="Q730" i="2" s="1"/>
  <c r="O730" i="2"/>
  <c r="R730" i="2"/>
  <c r="N731" i="2"/>
  <c r="O731" i="2"/>
  <c r="R731" i="2"/>
  <c r="N732" i="2"/>
  <c r="O732" i="2"/>
  <c r="R732" i="2"/>
  <c r="N733" i="2"/>
  <c r="O733" i="2"/>
  <c r="R733" i="2"/>
  <c r="N734" i="2"/>
  <c r="P734" i="2" s="1"/>
  <c r="Q734" i="2" s="1"/>
  <c r="O734" i="2"/>
  <c r="R734" i="2"/>
  <c r="N735" i="2"/>
  <c r="O735" i="2"/>
  <c r="R735" i="2"/>
  <c r="N736" i="2"/>
  <c r="O736" i="2"/>
  <c r="R736" i="2"/>
  <c r="N737" i="2"/>
  <c r="O737" i="2"/>
  <c r="R737" i="2"/>
  <c r="N738" i="2"/>
  <c r="O738" i="2"/>
  <c r="R738" i="2"/>
  <c r="N739" i="2"/>
  <c r="O739" i="2"/>
  <c r="R739" i="2"/>
  <c r="N740" i="2"/>
  <c r="O740" i="2"/>
  <c r="R740" i="2"/>
  <c r="N741" i="2"/>
  <c r="O741" i="2"/>
  <c r="R741" i="2"/>
  <c r="N742" i="2"/>
  <c r="O742" i="2"/>
  <c r="R742" i="2"/>
  <c r="N743" i="2"/>
  <c r="O743" i="2"/>
  <c r="R743" i="2"/>
  <c r="N744" i="2"/>
  <c r="O744" i="2"/>
  <c r="R744" i="2"/>
  <c r="N745" i="2"/>
  <c r="O745" i="2"/>
  <c r="R745" i="2"/>
  <c r="N746" i="2"/>
  <c r="O746" i="2"/>
  <c r="R746" i="2"/>
  <c r="N747" i="2"/>
  <c r="O747" i="2"/>
  <c r="R747" i="2"/>
  <c r="N748" i="2"/>
  <c r="O748" i="2"/>
  <c r="R748" i="2"/>
  <c r="N749" i="2"/>
  <c r="O749" i="2"/>
  <c r="R749" i="2"/>
  <c r="N750" i="2"/>
  <c r="P750" i="2" s="1"/>
  <c r="Q750" i="2" s="1"/>
  <c r="O750" i="2"/>
  <c r="R750" i="2"/>
  <c r="N751" i="2"/>
  <c r="O751" i="2"/>
  <c r="R751" i="2"/>
  <c r="N752" i="2"/>
  <c r="O752" i="2"/>
  <c r="R752" i="2"/>
  <c r="N753" i="2"/>
  <c r="O753" i="2"/>
  <c r="R753" i="2"/>
  <c r="N754" i="2"/>
  <c r="O754" i="2"/>
  <c r="R754" i="2"/>
  <c r="N755" i="2"/>
  <c r="O755" i="2"/>
  <c r="R755" i="2"/>
  <c r="N756" i="2"/>
  <c r="O756" i="2"/>
  <c r="R756" i="2"/>
  <c r="N757" i="2"/>
  <c r="O757" i="2"/>
  <c r="R757" i="2"/>
  <c r="N758" i="2"/>
  <c r="O758" i="2"/>
  <c r="R758" i="2"/>
  <c r="N759" i="2"/>
  <c r="O759" i="2"/>
  <c r="R759" i="2"/>
  <c r="N760" i="2"/>
  <c r="O760" i="2"/>
  <c r="R760" i="2"/>
  <c r="N761" i="2"/>
  <c r="O761" i="2"/>
  <c r="R761" i="2"/>
  <c r="N762" i="2"/>
  <c r="O762" i="2"/>
  <c r="R762" i="2"/>
  <c r="N763" i="2"/>
  <c r="O763" i="2"/>
  <c r="R763" i="2"/>
  <c r="N764" i="2"/>
  <c r="O764" i="2"/>
  <c r="R764" i="2"/>
  <c r="N765" i="2"/>
  <c r="O765" i="2"/>
  <c r="R765" i="2"/>
  <c r="N766" i="2"/>
  <c r="P766" i="2" s="1"/>
  <c r="Q766" i="2" s="1"/>
  <c r="O766" i="2"/>
  <c r="R766" i="2"/>
  <c r="N767" i="2"/>
  <c r="O767" i="2"/>
  <c r="R767" i="2"/>
  <c r="N768" i="2"/>
  <c r="O768" i="2"/>
  <c r="R768" i="2"/>
  <c r="N769" i="2"/>
  <c r="O769" i="2"/>
  <c r="R769" i="2"/>
  <c r="N770" i="2"/>
  <c r="O770" i="2"/>
  <c r="R770" i="2"/>
  <c r="N771" i="2"/>
  <c r="O771" i="2"/>
  <c r="R771" i="2"/>
  <c r="N772" i="2"/>
  <c r="O772" i="2"/>
  <c r="R772" i="2"/>
  <c r="N773" i="2"/>
  <c r="O773" i="2"/>
  <c r="R773" i="2"/>
  <c r="N774" i="2"/>
  <c r="O774" i="2"/>
  <c r="R774" i="2"/>
  <c r="N775" i="2"/>
  <c r="O775" i="2"/>
  <c r="R775" i="2"/>
  <c r="N776" i="2"/>
  <c r="O776" i="2"/>
  <c r="R776" i="2"/>
  <c r="N777" i="2"/>
  <c r="O777" i="2"/>
  <c r="R777" i="2"/>
  <c r="N778" i="2"/>
  <c r="O778" i="2"/>
  <c r="R778" i="2"/>
  <c r="N779" i="2"/>
  <c r="O779" i="2"/>
  <c r="R779" i="2"/>
  <c r="N780" i="2"/>
  <c r="O780" i="2"/>
  <c r="R780" i="2"/>
  <c r="N781" i="2"/>
  <c r="O781" i="2"/>
  <c r="R781" i="2"/>
  <c r="N782" i="2"/>
  <c r="O782" i="2"/>
  <c r="R782" i="2"/>
  <c r="N783" i="2"/>
  <c r="O783" i="2"/>
  <c r="R783" i="2"/>
  <c r="N784" i="2"/>
  <c r="O784" i="2"/>
  <c r="R784" i="2"/>
  <c r="N785" i="2"/>
  <c r="O785" i="2"/>
  <c r="R785" i="2"/>
  <c r="N786" i="2"/>
  <c r="O786" i="2"/>
  <c r="R786" i="2"/>
  <c r="N787" i="2"/>
  <c r="O787" i="2"/>
  <c r="R787" i="2"/>
  <c r="N788" i="2"/>
  <c r="O788" i="2"/>
  <c r="R788" i="2"/>
  <c r="N789" i="2"/>
  <c r="O789" i="2"/>
  <c r="R789" i="2"/>
  <c r="N790" i="2"/>
  <c r="O790" i="2"/>
  <c r="R790" i="2"/>
  <c r="N791" i="2"/>
  <c r="O791" i="2"/>
  <c r="R791" i="2"/>
  <c r="N792" i="2"/>
  <c r="O792" i="2"/>
  <c r="R792" i="2"/>
  <c r="N793" i="2"/>
  <c r="O793" i="2"/>
  <c r="R793" i="2"/>
  <c r="N794" i="2"/>
  <c r="O794" i="2"/>
  <c r="R794" i="2"/>
  <c r="N795" i="2"/>
  <c r="O795" i="2"/>
  <c r="R795" i="2"/>
  <c r="N796" i="2"/>
  <c r="O796" i="2"/>
  <c r="R796" i="2"/>
  <c r="N797" i="2"/>
  <c r="O797" i="2"/>
  <c r="R797" i="2"/>
  <c r="N798" i="2"/>
  <c r="P798" i="2" s="1"/>
  <c r="Q798" i="2" s="1"/>
  <c r="O798" i="2"/>
  <c r="R798" i="2"/>
  <c r="N799" i="2"/>
  <c r="O799" i="2"/>
  <c r="R799" i="2"/>
  <c r="N800" i="2"/>
  <c r="O800" i="2"/>
  <c r="R800" i="2"/>
  <c r="N801" i="2"/>
  <c r="O801" i="2"/>
  <c r="R801" i="2"/>
  <c r="N802" i="2"/>
  <c r="O802" i="2"/>
  <c r="R802" i="2"/>
  <c r="N803" i="2"/>
  <c r="O803" i="2"/>
  <c r="R803" i="2"/>
  <c r="N804" i="2"/>
  <c r="O804" i="2"/>
  <c r="R804" i="2"/>
  <c r="N805" i="2"/>
  <c r="O805" i="2"/>
  <c r="R805" i="2"/>
  <c r="N806" i="2"/>
  <c r="O806" i="2"/>
  <c r="R806" i="2"/>
  <c r="N807" i="2"/>
  <c r="O807" i="2"/>
  <c r="R807" i="2"/>
  <c r="N808" i="2"/>
  <c r="O808" i="2"/>
  <c r="R808" i="2"/>
  <c r="N809" i="2"/>
  <c r="O809" i="2"/>
  <c r="R809" i="2"/>
  <c r="N810" i="2"/>
  <c r="P810" i="2" s="1"/>
  <c r="Q810" i="2" s="1"/>
  <c r="O810" i="2"/>
  <c r="R810" i="2"/>
  <c r="N811" i="2"/>
  <c r="O811" i="2"/>
  <c r="R811" i="2"/>
  <c r="N812" i="2"/>
  <c r="O812" i="2"/>
  <c r="R812" i="2"/>
  <c r="N813" i="2"/>
  <c r="O813" i="2"/>
  <c r="R813" i="2"/>
  <c r="N814" i="2"/>
  <c r="P814" i="2" s="1"/>
  <c r="Q814" i="2" s="1"/>
  <c r="O814" i="2"/>
  <c r="R814" i="2"/>
  <c r="N815" i="2"/>
  <c r="O815" i="2"/>
  <c r="R815" i="2"/>
  <c r="N816" i="2"/>
  <c r="O816" i="2"/>
  <c r="R816" i="2"/>
  <c r="N817" i="2"/>
  <c r="O817" i="2"/>
  <c r="R817" i="2"/>
  <c r="N818" i="2"/>
  <c r="O818" i="2"/>
  <c r="R818" i="2"/>
  <c r="N819" i="2"/>
  <c r="O819" i="2"/>
  <c r="R819" i="2"/>
  <c r="N820" i="2"/>
  <c r="O820" i="2"/>
  <c r="R820" i="2"/>
  <c r="N821" i="2"/>
  <c r="O821" i="2"/>
  <c r="R821" i="2"/>
  <c r="N822" i="2"/>
  <c r="O822" i="2"/>
  <c r="R822" i="2"/>
  <c r="N823" i="2"/>
  <c r="O823" i="2"/>
  <c r="R823" i="2"/>
  <c r="N824" i="2"/>
  <c r="O824" i="2"/>
  <c r="R824" i="2"/>
  <c r="N825" i="2"/>
  <c r="O825" i="2"/>
  <c r="R825" i="2"/>
  <c r="N826" i="2"/>
  <c r="O826" i="2"/>
  <c r="R826" i="2"/>
  <c r="N827" i="2"/>
  <c r="O827" i="2"/>
  <c r="R827" i="2"/>
  <c r="N828" i="2"/>
  <c r="O828" i="2"/>
  <c r="R828" i="2"/>
  <c r="N829" i="2"/>
  <c r="O829" i="2"/>
  <c r="R829" i="2"/>
  <c r="N830" i="2"/>
  <c r="O830" i="2"/>
  <c r="R830" i="2"/>
  <c r="N831" i="2"/>
  <c r="O831" i="2"/>
  <c r="R831" i="2"/>
  <c r="N832" i="2"/>
  <c r="O832" i="2"/>
  <c r="R832" i="2"/>
  <c r="N833" i="2"/>
  <c r="O833" i="2"/>
  <c r="R833" i="2"/>
  <c r="N834" i="2"/>
  <c r="O834" i="2"/>
  <c r="R834" i="2"/>
  <c r="N835" i="2"/>
  <c r="O835" i="2"/>
  <c r="R835" i="2"/>
  <c r="N836" i="2"/>
  <c r="O836" i="2"/>
  <c r="R836" i="2"/>
  <c r="N837" i="2"/>
  <c r="O837" i="2"/>
  <c r="R837" i="2"/>
  <c r="N838" i="2"/>
  <c r="O838" i="2"/>
  <c r="R838" i="2"/>
  <c r="N839" i="2"/>
  <c r="O839" i="2"/>
  <c r="R839" i="2"/>
  <c r="N840" i="2"/>
  <c r="O840" i="2"/>
  <c r="R840" i="2"/>
  <c r="N841" i="2"/>
  <c r="O841" i="2"/>
  <c r="R841" i="2"/>
  <c r="N842" i="2"/>
  <c r="P842" i="2" s="1"/>
  <c r="Q842" i="2" s="1"/>
  <c r="O842" i="2"/>
  <c r="R842" i="2"/>
  <c r="N843" i="2"/>
  <c r="O843" i="2"/>
  <c r="R843" i="2"/>
  <c r="N844" i="2"/>
  <c r="O844" i="2"/>
  <c r="R844" i="2"/>
  <c r="N845" i="2"/>
  <c r="O845" i="2"/>
  <c r="R845" i="2"/>
  <c r="N846" i="2"/>
  <c r="O846" i="2"/>
  <c r="R846" i="2"/>
  <c r="N847" i="2"/>
  <c r="O847" i="2"/>
  <c r="R847" i="2"/>
  <c r="N848" i="2"/>
  <c r="O848" i="2"/>
  <c r="R848" i="2"/>
  <c r="N849" i="2"/>
  <c r="O849" i="2"/>
  <c r="R849" i="2"/>
  <c r="N850" i="2"/>
  <c r="O850" i="2"/>
  <c r="R850" i="2"/>
  <c r="N851" i="2"/>
  <c r="O851" i="2"/>
  <c r="R851" i="2"/>
  <c r="N852" i="2"/>
  <c r="O852" i="2"/>
  <c r="R852" i="2"/>
  <c r="N853" i="2"/>
  <c r="O853" i="2"/>
  <c r="R853" i="2"/>
  <c r="N854" i="2"/>
  <c r="O854" i="2"/>
  <c r="R854" i="2"/>
  <c r="N855" i="2"/>
  <c r="O855" i="2"/>
  <c r="R855" i="2"/>
  <c r="N856" i="2"/>
  <c r="O856" i="2"/>
  <c r="R856" i="2"/>
  <c r="N857" i="2"/>
  <c r="O857" i="2"/>
  <c r="R857" i="2"/>
  <c r="N858" i="2"/>
  <c r="O858" i="2"/>
  <c r="R858" i="2"/>
  <c r="N859" i="2"/>
  <c r="O859" i="2"/>
  <c r="R859" i="2"/>
  <c r="N860" i="2"/>
  <c r="O860" i="2"/>
  <c r="R860" i="2"/>
  <c r="N861" i="2"/>
  <c r="O861" i="2"/>
  <c r="R861" i="2"/>
  <c r="N862" i="2"/>
  <c r="O862" i="2"/>
  <c r="R862" i="2"/>
  <c r="N863" i="2"/>
  <c r="O863" i="2"/>
  <c r="R863" i="2"/>
  <c r="N864" i="2"/>
  <c r="O864" i="2"/>
  <c r="R864" i="2"/>
  <c r="N865" i="2"/>
  <c r="O865" i="2"/>
  <c r="R865" i="2"/>
  <c r="N866" i="2"/>
  <c r="O866" i="2"/>
  <c r="R866" i="2"/>
  <c r="N867" i="2"/>
  <c r="O867" i="2"/>
  <c r="R867" i="2"/>
  <c r="N868" i="2"/>
  <c r="O868" i="2"/>
  <c r="R868" i="2"/>
  <c r="N869" i="2"/>
  <c r="O869" i="2"/>
  <c r="R869" i="2"/>
  <c r="N870" i="2"/>
  <c r="O870" i="2"/>
  <c r="R870" i="2"/>
  <c r="N871" i="2"/>
  <c r="O871" i="2"/>
  <c r="R871" i="2"/>
  <c r="N872" i="2"/>
  <c r="O872" i="2"/>
  <c r="R872" i="2"/>
  <c r="N873" i="2"/>
  <c r="O873" i="2"/>
  <c r="R873" i="2"/>
  <c r="N874" i="2"/>
  <c r="O874" i="2"/>
  <c r="R874" i="2"/>
  <c r="N875" i="2"/>
  <c r="O875" i="2"/>
  <c r="R875" i="2"/>
  <c r="N876" i="2"/>
  <c r="O876" i="2"/>
  <c r="R876" i="2"/>
  <c r="N877" i="2"/>
  <c r="O877" i="2"/>
  <c r="R877" i="2"/>
  <c r="N878" i="2"/>
  <c r="O878" i="2"/>
  <c r="R878" i="2"/>
  <c r="N879" i="2"/>
  <c r="O879" i="2"/>
  <c r="R879" i="2"/>
  <c r="N880" i="2"/>
  <c r="O880" i="2"/>
  <c r="R880" i="2"/>
  <c r="N881" i="2"/>
  <c r="O881" i="2"/>
  <c r="R881" i="2"/>
  <c r="N882" i="2"/>
  <c r="O882" i="2"/>
  <c r="R882" i="2"/>
  <c r="N883" i="2"/>
  <c r="O883" i="2"/>
  <c r="R883" i="2"/>
  <c r="N884" i="2"/>
  <c r="O884" i="2"/>
  <c r="P884" i="2" s="1"/>
  <c r="Q884" i="2" s="1"/>
  <c r="R884" i="2"/>
  <c r="N885" i="2"/>
  <c r="O885" i="2"/>
  <c r="R885" i="2"/>
  <c r="N886" i="2"/>
  <c r="O886" i="2"/>
  <c r="R886" i="2"/>
  <c r="N887" i="2"/>
  <c r="O887" i="2"/>
  <c r="R887" i="2"/>
  <c r="N888" i="2"/>
  <c r="O888" i="2"/>
  <c r="R888" i="2"/>
  <c r="N889" i="2"/>
  <c r="O889" i="2"/>
  <c r="R889" i="2"/>
  <c r="N890" i="2"/>
  <c r="O890" i="2"/>
  <c r="R890" i="2"/>
  <c r="N891" i="2"/>
  <c r="O891" i="2"/>
  <c r="R891" i="2"/>
  <c r="N892" i="2"/>
  <c r="O892" i="2"/>
  <c r="R892" i="2"/>
  <c r="N893" i="2"/>
  <c r="O893" i="2"/>
  <c r="R893" i="2"/>
  <c r="N894" i="2"/>
  <c r="O894" i="2"/>
  <c r="R894" i="2"/>
  <c r="N895" i="2"/>
  <c r="O895" i="2"/>
  <c r="R895" i="2"/>
  <c r="N896" i="2"/>
  <c r="O896" i="2"/>
  <c r="R896" i="2"/>
  <c r="N897" i="2"/>
  <c r="O897" i="2"/>
  <c r="R897" i="2"/>
  <c r="N898" i="2"/>
  <c r="O898" i="2"/>
  <c r="R898" i="2"/>
  <c r="N899" i="2"/>
  <c r="O899" i="2"/>
  <c r="R899" i="2"/>
  <c r="N900" i="2"/>
  <c r="O900" i="2"/>
  <c r="R900" i="2"/>
  <c r="N901" i="2"/>
  <c r="O901" i="2"/>
  <c r="R901" i="2"/>
  <c r="N902" i="2"/>
  <c r="O902" i="2"/>
  <c r="R902" i="2"/>
  <c r="N903" i="2"/>
  <c r="O903" i="2"/>
  <c r="R903" i="2"/>
  <c r="N904" i="2"/>
  <c r="O904" i="2"/>
  <c r="R904" i="2"/>
  <c r="N905" i="2"/>
  <c r="O905" i="2"/>
  <c r="R905" i="2"/>
  <c r="N906" i="2"/>
  <c r="O906" i="2"/>
  <c r="R906" i="2"/>
  <c r="N907" i="2"/>
  <c r="O907" i="2"/>
  <c r="R907" i="2"/>
  <c r="N908" i="2"/>
  <c r="O908" i="2"/>
  <c r="R908" i="2"/>
  <c r="N909" i="2"/>
  <c r="O909" i="2"/>
  <c r="R909" i="2"/>
  <c r="N910" i="2"/>
  <c r="O910" i="2"/>
  <c r="R910" i="2"/>
  <c r="N911" i="2"/>
  <c r="O911" i="2"/>
  <c r="R911" i="2"/>
  <c r="N912" i="2"/>
  <c r="O912" i="2"/>
  <c r="R912" i="2"/>
  <c r="N913" i="2"/>
  <c r="O913" i="2"/>
  <c r="R913" i="2"/>
  <c r="N914" i="2"/>
  <c r="O914" i="2"/>
  <c r="R914" i="2"/>
  <c r="N915" i="2"/>
  <c r="O915" i="2"/>
  <c r="R915" i="2"/>
  <c r="N916" i="2"/>
  <c r="O916" i="2"/>
  <c r="R916" i="2"/>
  <c r="N917" i="2"/>
  <c r="O917" i="2"/>
  <c r="R917" i="2"/>
  <c r="N918" i="2"/>
  <c r="O918" i="2"/>
  <c r="R918" i="2"/>
  <c r="N919" i="2"/>
  <c r="O919" i="2"/>
  <c r="R919" i="2"/>
  <c r="N920" i="2"/>
  <c r="O920" i="2"/>
  <c r="R920" i="2"/>
  <c r="N921" i="2"/>
  <c r="O921" i="2"/>
  <c r="R921" i="2"/>
  <c r="N922" i="2"/>
  <c r="O922" i="2"/>
  <c r="R922" i="2"/>
  <c r="N923" i="2"/>
  <c r="O923" i="2"/>
  <c r="R923" i="2"/>
  <c r="N924" i="2"/>
  <c r="O924" i="2"/>
  <c r="R924" i="2"/>
  <c r="N925" i="2"/>
  <c r="O925" i="2"/>
  <c r="R925" i="2"/>
  <c r="N926" i="2"/>
  <c r="O926" i="2"/>
  <c r="R926" i="2"/>
  <c r="N927" i="2"/>
  <c r="O927" i="2"/>
  <c r="R927" i="2"/>
  <c r="N928" i="2"/>
  <c r="O928" i="2"/>
  <c r="R928" i="2"/>
  <c r="N929" i="2"/>
  <c r="O929" i="2"/>
  <c r="R929" i="2"/>
  <c r="N930" i="2"/>
  <c r="O930" i="2"/>
  <c r="R930" i="2"/>
  <c r="N931" i="2"/>
  <c r="O931" i="2"/>
  <c r="R931" i="2"/>
  <c r="N932" i="2"/>
  <c r="O932" i="2"/>
  <c r="R932" i="2"/>
  <c r="N933" i="2"/>
  <c r="O933" i="2"/>
  <c r="R933" i="2"/>
  <c r="N934" i="2"/>
  <c r="O934" i="2"/>
  <c r="R934" i="2"/>
  <c r="N935" i="2"/>
  <c r="O935" i="2"/>
  <c r="R935" i="2"/>
  <c r="N936" i="2"/>
  <c r="O936" i="2"/>
  <c r="R936" i="2"/>
  <c r="N937" i="2"/>
  <c r="O937" i="2"/>
  <c r="R937" i="2"/>
  <c r="N938" i="2"/>
  <c r="O938" i="2"/>
  <c r="R938" i="2"/>
  <c r="N939" i="2"/>
  <c r="O939" i="2"/>
  <c r="R939" i="2"/>
  <c r="N940" i="2"/>
  <c r="O940" i="2"/>
  <c r="R940" i="2"/>
  <c r="N941" i="2"/>
  <c r="O941" i="2"/>
  <c r="R941" i="2"/>
  <c r="N942" i="2"/>
  <c r="O942" i="2"/>
  <c r="R942" i="2"/>
  <c r="N943" i="2"/>
  <c r="O943" i="2"/>
  <c r="R943" i="2"/>
  <c r="N944" i="2"/>
  <c r="O944" i="2"/>
  <c r="R944" i="2"/>
  <c r="N945" i="2"/>
  <c r="O945" i="2"/>
  <c r="R945" i="2"/>
  <c r="N946" i="2"/>
  <c r="O946" i="2"/>
  <c r="R946" i="2"/>
  <c r="N947" i="2"/>
  <c r="O947" i="2"/>
  <c r="R947" i="2"/>
  <c r="N948" i="2"/>
  <c r="O948" i="2"/>
  <c r="R948" i="2"/>
  <c r="N949" i="2"/>
  <c r="O949" i="2"/>
  <c r="R949" i="2"/>
  <c r="N950" i="2"/>
  <c r="O950" i="2"/>
  <c r="R950" i="2"/>
  <c r="N951" i="2"/>
  <c r="O951" i="2"/>
  <c r="R951" i="2"/>
  <c r="N952" i="2"/>
  <c r="O952" i="2"/>
  <c r="R952" i="2"/>
  <c r="N953" i="2"/>
  <c r="O953" i="2"/>
  <c r="R953" i="2"/>
  <c r="N954" i="2"/>
  <c r="O954" i="2"/>
  <c r="R954" i="2"/>
  <c r="N955" i="2"/>
  <c r="O955" i="2"/>
  <c r="R955" i="2"/>
  <c r="N956" i="2"/>
  <c r="O956" i="2"/>
  <c r="R956" i="2"/>
  <c r="N957" i="2"/>
  <c r="O957" i="2"/>
  <c r="R957" i="2"/>
  <c r="N958" i="2"/>
  <c r="O958" i="2"/>
  <c r="R958" i="2"/>
  <c r="N959" i="2"/>
  <c r="O959" i="2"/>
  <c r="R959" i="2"/>
  <c r="N960" i="2"/>
  <c r="O960" i="2"/>
  <c r="R960" i="2"/>
  <c r="N961" i="2"/>
  <c r="O961" i="2"/>
  <c r="R961" i="2"/>
  <c r="N962" i="2"/>
  <c r="O962" i="2"/>
  <c r="R962" i="2"/>
  <c r="N963" i="2"/>
  <c r="O963" i="2"/>
  <c r="R963" i="2"/>
  <c r="N964" i="2"/>
  <c r="O964" i="2"/>
  <c r="R964" i="2"/>
  <c r="N965" i="2"/>
  <c r="O965" i="2"/>
  <c r="R965" i="2"/>
  <c r="N966" i="2"/>
  <c r="O966" i="2"/>
  <c r="R966" i="2"/>
  <c r="N967" i="2"/>
  <c r="O967" i="2"/>
  <c r="R967" i="2"/>
  <c r="N968" i="2"/>
  <c r="O968" i="2"/>
  <c r="R968" i="2"/>
  <c r="N969" i="2"/>
  <c r="O969" i="2"/>
  <c r="R969" i="2"/>
  <c r="N970" i="2"/>
  <c r="O970" i="2"/>
  <c r="R970" i="2"/>
  <c r="N971" i="2"/>
  <c r="O971" i="2"/>
  <c r="R971" i="2"/>
  <c r="N972" i="2"/>
  <c r="O972" i="2"/>
  <c r="R972" i="2"/>
  <c r="N973" i="2"/>
  <c r="O973" i="2"/>
  <c r="R973" i="2"/>
  <c r="N974" i="2"/>
  <c r="O974" i="2"/>
  <c r="R974" i="2"/>
  <c r="N975" i="2"/>
  <c r="O975" i="2"/>
  <c r="R975" i="2"/>
  <c r="N976" i="2"/>
  <c r="O976" i="2"/>
  <c r="R976" i="2"/>
  <c r="N977" i="2"/>
  <c r="O977" i="2"/>
  <c r="R977" i="2"/>
  <c r="N978" i="2"/>
  <c r="O978" i="2"/>
  <c r="R978" i="2"/>
  <c r="N979" i="2"/>
  <c r="O979" i="2"/>
  <c r="R979" i="2"/>
  <c r="N980" i="2"/>
  <c r="O980" i="2"/>
  <c r="R980" i="2"/>
  <c r="N981" i="2"/>
  <c r="O981" i="2"/>
  <c r="R981" i="2"/>
  <c r="N982" i="2"/>
  <c r="O982" i="2"/>
  <c r="R982" i="2"/>
  <c r="N983" i="2"/>
  <c r="O983" i="2"/>
  <c r="R983" i="2"/>
  <c r="N984" i="2"/>
  <c r="O984" i="2"/>
  <c r="R984" i="2"/>
  <c r="N985" i="2"/>
  <c r="O985" i="2"/>
  <c r="R985" i="2"/>
  <c r="N986" i="2"/>
  <c r="O986" i="2"/>
  <c r="R986" i="2"/>
  <c r="N987" i="2"/>
  <c r="O987" i="2"/>
  <c r="R987" i="2"/>
  <c r="N988" i="2"/>
  <c r="O988" i="2"/>
  <c r="R988" i="2"/>
  <c r="N989" i="2"/>
  <c r="O989" i="2"/>
  <c r="R989" i="2"/>
  <c r="N990" i="2"/>
  <c r="O990" i="2"/>
  <c r="R990" i="2"/>
  <c r="N991" i="2"/>
  <c r="O991" i="2"/>
  <c r="R991" i="2"/>
  <c r="N992" i="2"/>
  <c r="O992" i="2"/>
  <c r="R992" i="2"/>
  <c r="N993" i="2"/>
  <c r="O993" i="2"/>
  <c r="R993" i="2"/>
  <c r="N994" i="2"/>
  <c r="O994" i="2"/>
  <c r="R994" i="2"/>
  <c r="N995" i="2"/>
  <c r="O995" i="2"/>
  <c r="R995" i="2"/>
  <c r="N996" i="2"/>
  <c r="O996" i="2"/>
  <c r="R996" i="2"/>
  <c r="N997" i="2"/>
  <c r="O997" i="2"/>
  <c r="R997" i="2"/>
  <c r="N998" i="2"/>
  <c r="O998" i="2"/>
  <c r="R998" i="2"/>
  <c r="N999" i="2"/>
  <c r="O999" i="2"/>
  <c r="R999" i="2"/>
  <c r="N1000" i="2"/>
  <c r="O1000" i="2"/>
  <c r="R1000" i="2"/>
  <c r="N1001" i="2"/>
  <c r="O1001" i="2"/>
  <c r="R1001" i="2"/>
  <c r="N1002" i="2"/>
  <c r="O1002" i="2"/>
  <c r="R1002" i="2"/>
  <c r="N1003" i="2"/>
  <c r="O1003" i="2"/>
  <c r="R1003" i="2"/>
  <c r="N1004" i="2"/>
  <c r="O1004" i="2"/>
  <c r="R1004" i="2"/>
  <c r="N1005" i="2"/>
  <c r="O1005" i="2"/>
  <c r="R1005" i="2"/>
  <c r="N1006" i="2"/>
  <c r="O1006" i="2"/>
  <c r="R1006" i="2"/>
  <c r="N1007" i="2"/>
  <c r="O1007" i="2"/>
  <c r="R1007" i="2"/>
  <c r="N1008" i="2"/>
  <c r="O1008" i="2"/>
  <c r="R1008" i="2"/>
  <c r="N1009" i="2"/>
  <c r="O1009" i="2"/>
  <c r="R1009" i="2"/>
  <c r="N1010" i="2"/>
  <c r="O1010" i="2"/>
  <c r="R1010" i="2"/>
  <c r="N1011" i="2"/>
  <c r="O1011" i="2"/>
  <c r="R1011" i="2"/>
  <c r="N1012" i="2"/>
  <c r="O1012" i="2"/>
  <c r="R1012" i="2"/>
  <c r="N1013" i="2"/>
  <c r="O1013" i="2"/>
  <c r="R1013" i="2"/>
  <c r="N1014" i="2"/>
  <c r="O1014" i="2"/>
  <c r="R1014" i="2"/>
  <c r="N1015" i="2"/>
  <c r="O1015" i="2"/>
  <c r="R1015" i="2"/>
  <c r="N1016" i="2"/>
  <c r="O1016" i="2"/>
  <c r="R1016" i="2"/>
  <c r="N1017" i="2"/>
  <c r="O1017" i="2"/>
  <c r="R1017" i="2"/>
  <c r="N1018" i="2"/>
  <c r="O1018" i="2"/>
  <c r="R1018" i="2"/>
  <c r="N1019" i="2"/>
  <c r="O1019" i="2"/>
  <c r="R1019" i="2"/>
  <c r="N1020" i="2"/>
  <c r="O1020" i="2"/>
  <c r="R1020" i="2"/>
  <c r="N1021" i="2"/>
  <c r="O1021" i="2"/>
  <c r="R1021" i="2"/>
  <c r="N1022" i="2"/>
  <c r="O1022" i="2"/>
  <c r="R1022" i="2"/>
  <c r="N1023" i="2"/>
  <c r="O1023" i="2"/>
  <c r="R1023" i="2"/>
  <c r="N1024" i="2"/>
  <c r="O1024" i="2"/>
  <c r="R1024" i="2"/>
  <c r="N1025" i="2"/>
  <c r="O1025" i="2"/>
  <c r="R1025" i="2"/>
  <c r="N1026" i="2"/>
  <c r="O1026" i="2"/>
  <c r="R1026" i="2"/>
  <c r="N1027" i="2"/>
  <c r="O1027" i="2"/>
  <c r="R1027" i="2"/>
  <c r="N1028" i="2"/>
  <c r="O1028" i="2"/>
  <c r="R1028" i="2"/>
  <c r="N1029" i="2"/>
  <c r="O1029" i="2"/>
  <c r="R1029" i="2"/>
  <c r="N1030" i="2"/>
  <c r="O1030" i="2"/>
  <c r="R1030" i="2"/>
  <c r="N1031" i="2"/>
  <c r="O1031" i="2"/>
  <c r="R1031" i="2"/>
  <c r="N1032" i="2"/>
  <c r="O1032" i="2"/>
  <c r="R1032" i="2"/>
  <c r="N1033" i="2"/>
  <c r="O1033" i="2"/>
  <c r="R1033" i="2"/>
  <c r="N1034" i="2"/>
  <c r="O1034" i="2"/>
  <c r="R1034" i="2"/>
  <c r="N1035" i="2"/>
  <c r="O1035" i="2"/>
  <c r="R1035" i="2"/>
  <c r="N1036" i="2"/>
  <c r="O1036" i="2"/>
  <c r="R1036" i="2"/>
  <c r="N1037" i="2"/>
  <c r="O1037" i="2"/>
  <c r="R1037" i="2"/>
  <c r="N1038" i="2"/>
  <c r="O1038" i="2"/>
  <c r="R1038" i="2"/>
  <c r="N1039" i="2"/>
  <c r="O1039" i="2"/>
  <c r="R1039" i="2"/>
  <c r="N1040" i="2"/>
  <c r="O1040" i="2"/>
  <c r="R1040" i="2"/>
  <c r="N1041" i="2"/>
  <c r="O1041" i="2"/>
  <c r="R1041" i="2"/>
  <c r="N1042" i="2"/>
  <c r="O1042" i="2"/>
  <c r="R1042" i="2"/>
  <c r="N1043" i="2"/>
  <c r="O1043" i="2"/>
  <c r="R1043" i="2"/>
  <c r="N1044" i="2"/>
  <c r="O1044" i="2"/>
  <c r="R1044" i="2"/>
  <c r="N1045" i="2"/>
  <c r="O1045" i="2"/>
  <c r="R1045" i="2"/>
  <c r="N1046" i="2"/>
  <c r="O1046" i="2"/>
  <c r="R1046" i="2"/>
  <c r="N1047" i="2"/>
  <c r="O1047" i="2"/>
  <c r="R1047" i="2"/>
  <c r="N1048" i="2"/>
  <c r="O1048" i="2"/>
  <c r="R1048" i="2"/>
  <c r="N1049" i="2"/>
  <c r="O1049" i="2"/>
  <c r="R1049" i="2"/>
  <c r="N1050" i="2"/>
  <c r="O1050" i="2"/>
  <c r="R1050" i="2"/>
  <c r="N1051" i="2"/>
  <c r="O1051" i="2"/>
  <c r="R1051" i="2"/>
  <c r="N1052" i="2"/>
  <c r="O1052" i="2"/>
  <c r="R1052" i="2"/>
  <c r="N1053" i="2"/>
  <c r="O1053" i="2"/>
  <c r="R1053" i="2"/>
  <c r="N1054" i="2"/>
  <c r="O1054" i="2"/>
  <c r="R1054" i="2"/>
  <c r="N1055" i="2"/>
  <c r="O1055" i="2"/>
  <c r="R1055" i="2"/>
  <c r="N1056" i="2"/>
  <c r="O1056" i="2"/>
  <c r="R1056" i="2"/>
  <c r="N1057" i="2"/>
  <c r="O1057" i="2"/>
  <c r="R1057" i="2"/>
  <c r="N1058" i="2"/>
  <c r="O1058" i="2"/>
  <c r="R1058" i="2"/>
  <c r="N1059" i="2"/>
  <c r="O1059" i="2"/>
  <c r="R1059" i="2"/>
  <c r="N1060" i="2"/>
  <c r="O1060" i="2"/>
  <c r="R1060" i="2"/>
  <c r="N1061" i="2"/>
  <c r="O1061" i="2"/>
  <c r="R1061" i="2"/>
  <c r="N1062" i="2"/>
  <c r="O1062" i="2"/>
  <c r="R1062" i="2"/>
  <c r="N1063" i="2"/>
  <c r="O1063" i="2"/>
  <c r="R1063" i="2"/>
  <c r="N1064" i="2"/>
  <c r="O1064" i="2"/>
  <c r="R1064" i="2"/>
  <c r="N1065" i="2"/>
  <c r="O1065" i="2"/>
  <c r="R1065" i="2"/>
  <c r="N1066" i="2"/>
  <c r="O1066" i="2"/>
  <c r="R1066" i="2"/>
  <c r="N1067" i="2"/>
  <c r="O1067" i="2"/>
  <c r="R1067" i="2"/>
  <c r="N1068" i="2"/>
  <c r="O1068" i="2"/>
  <c r="R1068" i="2"/>
  <c r="N1069" i="2"/>
  <c r="O1069" i="2"/>
  <c r="R1069" i="2"/>
  <c r="N1070" i="2"/>
  <c r="O1070" i="2"/>
  <c r="R1070" i="2"/>
  <c r="N1071" i="2"/>
  <c r="O1071" i="2"/>
  <c r="R1071" i="2"/>
  <c r="N1072" i="2"/>
  <c r="O1072" i="2"/>
  <c r="R1072" i="2"/>
  <c r="N1073" i="2"/>
  <c r="O1073" i="2"/>
  <c r="R1073" i="2"/>
  <c r="N1074" i="2"/>
  <c r="O1074" i="2"/>
  <c r="R1074" i="2"/>
  <c r="N1075" i="2"/>
  <c r="O1075" i="2"/>
  <c r="R1075" i="2"/>
  <c r="N1076" i="2"/>
  <c r="O1076" i="2"/>
  <c r="R1076" i="2"/>
  <c r="N1077" i="2"/>
  <c r="O1077" i="2"/>
  <c r="R1077" i="2"/>
  <c r="N2" i="2"/>
  <c r="O2" i="2"/>
  <c r="R2" i="2"/>
  <c r="N3" i="2"/>
  <c r="O3" i="2"/>
  <c r="R3" i="2"/>
  <c r="N4" i="2"/>
  <c r="O4" i="2"/>
  <c r="R4" i="2"/>
  <c r="N5" i="2"/>
  <c r="O5" i="2"/>
  <c r="R5" i="2"/>
  <c r="N6" i="2"/>
  <c r="O6" i="2"/>
  <c r="R6" i="2"/>
  <c r="N7" i="2"/>
  <c r="O7" i="2"/>
  <c r="R7" i="2"/>
  <c r="N8" i="2"/>
  <c r="O8" i="2"/>
  <c r="P8" i="2" s="1"/>
  <c r="Q8" i="2" s="1"/>
  <c r="R8" i="2"/>
  <c r="N9" i="2"/>
  <c r="O9" i="2"/>
  <c r="R9" i="2"/>
  <c r="N10" i="2"/>
  <c r="O10" i="2"/>
  <c r="R10" i="2"/>
  <c r="N11" i="2"/>
  <c r="O11" i="2"/>
  <c r="R11" i="2"/>
  <c r="N12" i="2"/>
  <c r="O12" i="2"/>
  <c r="P12" i="2" s="1"/>
  <c r="Q12" i="2" s="1"/>
  <c r="R12" i="2"/>
  <c r="N13" i="2"/>
  <c r="O13" i="2"/>
  <c r="R13" i="2"/>
  <c r="N14" i="2"/>
  <c r="O14" i="2"/>
  <c r="R14" i="2"/>
  <c r="N15" i="2"/>
  <c r="O15" i="2"/>
  <c r="R15" i="2"/>
  <c r="N16" i="2"/>
  <c r="O16" i="2"/>
  <c r="R16" i="2"/>
  <c r="N17" i="2"/>
  <c r="O17" i="2"/>
  <c r="R17" i="2"/>
  <c r="N18" i="2"/>
  <c r="O18" i="2"/>
  <c r="R18" i="2"/>
  <c r="N19" i="2"/>
  <c r="O19" i="2"/>
  <c r="R19" i="2"/>
  <c r="N20" i="2"/>
  <c r="O20" i="2"/>
  <c r="P20" i="2" s="1"/>
  <c r="Q20" i="2" s="1"/>
  <c r="R20" i="2"/>
  <c r="N21" i="2"/>
  <c r="O21" i="2"/>
  <c r="R21" i="2"/>
  <c r="N22" i="2"/>
  <c r="O22" i="2"/>
  <c r="R22" i="2"/>
  <c r="N23" i="2"/>
  <c r="O23" i="2"/>
  <c r="R23" i="2"/>
  <c r="N24" i="2"/>
  <c r="O24" i="2"/>
  <c r="R24" i="2"/>
  <c r="N25" i="2"/>
  <c r="O25" i="2"/>
  <c r="R25" i="2"/>
  <c r="N26" i="2"/>
  <c r="O26" i="2"/>
  <c r="R26" i="2"/>
  <c r="N27" i="2"/>
  <c r="O27" i="2"/>
  <c r="R27" i="2"/>
  <c r="N28" i="2"/>
  <c r="O28" i="2"/>
  <c r="R28" i="2"/>
  <c r="N29" i="2"/>
  <c r="O29" i="2"/>
  <c r="R29" i="2"/>
  <c r="N30" i="2"/>
  <c r="O30" i="2"/>
  <c r="R30" i="2"/>
  <c r="N31" i="2"/>
  <c r="O31" i="2"/>
  <c r="R31" i="2"/>
  <c r="P121" i="2" l="1"/>
  <c r="Q121" i="2" s="1"/>
  <c r="P37" i="2"/>
  <c r="Q37" i="2" s="1"/>
  <c r="P778" i="2"/>
  <c r="Q778" i="2" s="1"/>
  <c r="P7" i="2"/>
  <c r="Q7" i="2" s="1"/>
  <c r="P919" i="2"/>
  <c r="Q919" i="2" s="1"/>
  <c r="P915" i="2"/>
  <c r="Q915" i="2" s="1"/>
  <c r="P911" i="2"/>
  <c r="Q911" i="2" s="1"/>
  <c r="P907" i="2"/>
  <c r="Q907" i="2" s="1"/>
  <c r="P903" i="2"/>
  <c r="Q903" i="2" s="1"/>
  <c r="P899" i="2"/>
  <c r="Q899" i="2" s="1"/>
  <c r="P879" i="2"/>
  <c r="Q879" i="2" s="1"/>
  <c r="P1067" i="2"/>
  <c r="Q1067" i="2" s="1"/>
  <c r="P1051" i="2"/>
  <c r="Q1051" i="2" s="1"/>
  <c r="P923" i="2"/>
  <c r="Q923" i="2" s="1"/>
  <c r="P887" i="2"/>
  <c r="Q887" i="2" s="1"/>
  <c r="P863" i="2"/>
  <c r="Q863" i="2" s="1"/>
  <c r="P687" i="2"/>
  <c r="Q687" i="2" s="1"/>
  <c r="P961" i="2"/>
  <c r="Q961" i="2" s="1"/>
  <c r="P825" i="2"/>
  <c r="Q825" i="2" s="1"/>
  <c r="P709" i="2"/>
  <c r="Q709" i="2" s="1"/>
  <c r="P693" i="2"/>
  <c r="Q693" i="2" s="1"/>
  <c r="P649" i="2"/>
  <c r="Q649" i="2" s="1"/>
  <c r="P645" i="2"/>
  <c r="Q645" i="2" s="1"/>
  <c r="P629" i="2"/>
  <c r="Q629" i="2" s="1"/>
  <c r="P581" i="2"/>
  <c r="Q581" i="2" s="1"/>
  <c r="P561" i="2"/>
  <c r="Q561" i="2" s="1"/>
  <c r="P465" i="2"/>
  <c r="Q465" i="2" s="1"/>
  <c r="P461" i="2"/>
  <c r="Q461" i="2" s="1"/>
  <c r="P457" i="2"/>
  <c r="Q457" i="2" s="1"/>
  <c r="P297" i="2"/>
  <c r="Q297" i="2" s="1"/>
  <c r="P700" i="2"/>
  <c r="Q700" i="2" s="1"/>
  <c r="P572" i="2"/>
  <c r="Q572" i="2" s="1"/>
  <c r="P568" i="2"/>
  <c r="Q568" i="2" s="1"/>
  <c r="P47" i="2"/>
  <c r="Q47" i="2" s="1"/>
  <c r="P43" i="2"/>
  <c r="Q43" i="2" s="1"/>
  <c r="P921" i="2"/>
  <c r="Q921" i="2" s="1"/>
  <c r="P865" i="2"/>
  <c r="Q865" i="2" s="1"/>
  <c r="P857" i="2"/>
  <c r="Q857" i="2" s="1"/>
  <c r="P853" i="2"/>
  <c r="Q853" i="2" s="1"/>
  <c r="P846" i="2"/>
  <c r="Q846" i="2" s="1"/>
  <c r="P793" i="2"/>
  <c r="Q793" i="2" s="1"/>
  <c r="P654" i="2"/>
  <c r="Q654" i="2" s="1"/>
  <c r="P329" i="2"/>
  <c r="Q329" i="2" s="1"/>
  <c r="P321" i="2"/>
  <c r="Q321" i="2" s="1"/>
  <c r="P233" i="2"/>
  <c r="Q233" i="2" s="1"/>
  <c r="P225" i="2"/>
  <c r="Q225" i="2" s="1"/>
  <c r="P158" i="2"/>
  <c r="Q158" i="2" s="1"/>
  <c r="P142" i="2"/>
  <c r="Q142" i="2" s="1"/>
  <c r="P138" i="2"/>
  <c r="Q138" i="2" s="1"/>
  <c r="P134" i="2"/>
  <c r="Q134" i="2" s="1"/>
  <c r="P73" i="2"/>
  <c r="Q73" i="2" s="1"/>
  <c r="P41" i="2"/>
  <c r="Q41" i="2" s="1"/>
  <c r="P1040" i="2"/>
  <c r="Q1040" i="2" s="1"/>
  <c r="P789" i="2"/>
  <c r="Q789" i="2" s="1"/>
  <c r="P762" i="2"/>
  <c r="Q762" i="2" s="1"/>
  <c r="P761" i="2"/>
  <c r="Q761" i="2" s="1"/>
  <c r="P746" i="2"/>
  <c r="Q746" i="2" s="1"/>
  <c r="P689" i="2"/>
  <c r="Q689" i="2" s="1"/>
  <c r="P677" i="2"/>
  <c r="Q677" i="2" s="1"/>
  <c r="P656" i="2"/>
  <c r="Q656" i="2" s="1"/>
  <c r="P503" i="2"/>
  <c r="Q503" i="2" s="1"/>
  <c r="P491" i="2"/>
  <c r="Q491" i="2" s="1"/>
  <c r="P415" i="2"/>
  <c r="Q415" i="2" s="1"/>
  <c r="P407" i="2"/>
  <c r="Q407" i="2" s="1"/>
  <c r="P399" i="2"/>
  <c r="Q399" i="2" s="1"/>
  <c r="P391" i="2"/>
  <c r="Q391" i="2" s="1"/>
  <c r="P383" i="2"/>
  <c r="Q383" i="2" s="1"/>
  <c r="P375" i="2"/>
  <c r="Q375" i="2" s="1"/>
  <c r="P367" i="2"/>
  <c r="Q367" i="2" s="1"/>
  <c r="P181" i="2"/>
  <c r="Q181" i="2" s="1"/>
  <c r="P161" i="2"/>
  <c r="Q161" i="2" s="1"/>
  <c r="P153" i="2"/>
  <c r="Q153" i="2" s="1"/>
  <c r="P129" i="2"/>
  <c r="Q129" i="2" s="1"/>
  <c r="P650" i="2"/>
  <c r="Q650" i="2" s="1"/>
  <c r="P476" i="2"/>
  <c r="Q476" i="2" s="1"/>
  <c r="P444" i="2"/>
  <c r="Q444" i="2" s="1"/>
  <c r="P268" i="2"/>
  <c r="Q268" i="2" s="1"/>
  <c r="P248" i="2"/>
  <c r="Q248" i="2" s="1"/>
  <c r="P244" i="2"/>
  <c r="Q244" i="2" s="1"/>
  <c r="P94" i="2"/>
  <c r="Q94" i="2" s="1"/>
  <c r="P90" i="2"/>
  <c r="Q90" i="2" s="1"/>
  <c r="P62" i="2"/>
  <c r="Q62" i="2" s="1"/>
  <c r="P58" i="2"/>
  <c r="Q58" i="2" s="1"/>
  <c r="P46" i="2"/>
  <c r="Q46" i="2" s="1"/>
  <c r="P42" i="2"/>
  <c r="Q42" i="2" s="1"/>
  <c r="P1052" i="2"/>
  <c r="Q1052" i="2" s="1"/>
  <c r="P991" i="2"/>
  <c r="Q991" i="2" s="1"/>
  <c r="P926" i="2"/>
  <c r="Q926" i="2" s="1"/>
  <c r="P862" i="2"/>
  <c r="Q862" i="2" s="1"/>
  <c r="P830" i="2"/>
  <c r="Q830" i="2" s="1"/>
  <c r="P566" i="2"/>
  <c r="Q566" i="2" s="1"/>
  <c r="P414" i="2"/>
  <c r="Q414" i="2" s="1"/>
  <c r="P410" i="2"/>
  <c r="Q410" i="2" s="1"/>
  <c r="P406" i="2"/>
  <c r="Q406" i="2" s="1"/>
  <c r="P402" i="2"/>
  <c r="Q402" i="2" s="1"/>
  <c r="P398" i="2"/>
  <c r="Q398" i="2" s="1"/>
  <c r="P394" i="2"/>
  <c r="Q394" i="2" s="1"/>
  <c r="P390" i="2"/>
  <c r="Q390" i="2" s="1"/>
  <c r="P386" i="2"/>
  <c r="Q386" i="2" s="1"/>
  <c r="P382" i="2"/>
  <c r="Q382" i="2" s="1"/>
  <c r="P378" i="2"/>
  <c r="Q378" i="2" s="1"/>
  <c r="P374" i="2"/>
  <c r="Q374" i="2" s="1"/>
  <c r="P370" i="2"/>
  <c r="Q370" i="2" s="1"/>
  <c r="P366" i="2"/>
  <c r="Q366" i="2" s="1"/>
  <c r="P270" i="2"/>
  <c r="Q270" i="2" s="1"/>
  <c r="P266" i="2"/>
  <c r="Q266" i="2" s="1"/>
  <c r="P238" i="2"/>
  <c r="Q238" i="2" s="1"/>
  <c r="P234" i="2"/>
  <c r="Q234" i="2" s="1"/>
  <c r="P1029" i="2"/>
  <c r="Q1029" i="2" s="1"/>
  <c r="P989" i="2"/>
  <c r="Q989" i="2" s="1"/>
  <c r="P985" i="2"/>
  <c r="Q985" i="2" s="1"/>
  <c r="P929" i="2"/>
  <c r="Q929" i="2" s="1"/>
  <c r="P858" i="2"/>
  <c r="Q858" i="2" s="1"/>
  <c r="P850" i="2"/>
  <c r="Q850" i="2" s="1"/>
  <c r="P757" i="2"/>
  <c r="Q757" i="2" s="1"/>
  <c r="P695" i="2"/>
  <c r="Q695" i="2" s="1"/>
  <c r="P691" i="2"/>
  <c r="Q691" i="2" s="1"/>
  <c r="P686" i="2"/>
  <c r="Q686" i="2" s="1"/>
  <c r="P678" i="2"/>
  <c r="Q678" i="2" s="1"/>
  <c r="P670" i="2"/>
  <c r="Q670" i="2" s="1"/>
  <c r="P586" i="2"/>
  <c r="Q586" i="2" s="1"/>
  <c r="P585" i="2"/>
  <c r="Q585" i="2" s="1"/>
  <c r="P565" i="2"/>
  <c r="Q565" i="2" s="1"/>
  <c r="P432" i="2"/>
  <c r="Q432" i="2" s="1"/>
  <c r="P424" i="2"/>
  <c r="Q424" i="2" s="1"/>
  <c r="P420" i="2"/>
  <c r="Q420" i="2" s="1"/>
  <c r="P417" i="2"/>
  <c r="Q417" i="2" s="1"/>
  <c r="P331" i="2"/>
  <c r="Q331" i="2" s="1"/>
  <c r="P317" i="2"/>
  <c r="Q317" i="2" s="1"/>
  <c r="P293" i="2"/>
  <c r="Q293" i="2" s="1"/>
  <c r="P289" i="2"/>
  <c r="Q289" i="2" s="1"/>
  <c r="P277" i="2"/>
  <c r="Q277" i="2" s="1"/>
  <c r="P273" i="2"/>
  <c r="Q273" i="2" s="1"/>
  <c r="P261" i="2"/>
  <c r="Q261" i="2" s="1"/>
  <c r="P183" i="2"/>
  <c r="Q183" i="2" s="1"/>
  <c r="P1076" i="2"/>
  <c r="Q1076" i="2" s="1"/>
  <c r="P1063" i="2"/>
  <c r="Q1063" i="2" s="1"/>
  <c r="P1059" i="2"/>
  <c r="Q1059" i="2" s="1"/>
  <c r="P1002" i="2"/>
  <c r="Q1002" i="2" s="1"/>
  <c r="P113" i="2"/>
  <c r="Q113" i="2" s="1"/>
  <c r="P101" i="2"/>
  <c r="Q101" i="2" s="1"/>
  <c r="P81" i="2"/>
  <c r="Q81" i="2" s="1"/>
  <c r="P1072" i="2"/>
  <c r="Q1072" i="2" s="1"/>
  <c r="P1068" i="2"/>
  <c r="Q1068" i="2" s="1"/>
  <c r="P1026" i="2"/>
  <c r="Q1026" i="2" s="1"/>
  <c r="P1022" i="2"/>
  <c r="Q1022" i="2" s="1"/>
  <c r="P1018" i="2"/>
  <c r="Q1018" i="2" s="1"/>
  <c r="P1014" i="2"/>
  <c r="Q1014" i="2" s="1"/>
  <c r="P10" i="2"/>
  <c r="Q10" i="2" s="1"/>
  <c r="P5" i="2"/>
  <c r="Q5" i="2" s="1"/>
  <c r="P1064" i="2"/>
  <c r="Q1064" i="2" s="1"/>
  <c r="P1060" i="2"/>
  <c r="Q1060" i="2" s="1"/>
  <c r="P1056" i="2"/>
  <c r="Q1056" i="2" s="1"/>
  <c r="P1047" i="2"/>
  <c r="Q1047" i="2" s="1"/>
  <c r="P1043" i="2"/>
  <c r="Q1043" i="2" s="1"/>
  <c r="P1036" i="2"/>
  <c r="Q1036" i="2" s="1"/>
  <c r="P1035" i="2"/>
  <c r="Q1035" i="2" s="1"/>
  <c r="P1031" i="2"/>
  <c r="Q1031" i="2" s="1"/>
  <c r="P983" i="2"/>
  <c r="Q983" i="2" s="1"/>
  <c r="P979" i="2"/>
  <c r="Q979" i="2" s="1"/>
  <c r="P955" i="2"/>
  <c r="Q955" i="2" s="1"/>
  <c r="P951" i="2"/>
  <c r="Q951" i="2" s="1"/>
  <c r="P947" i="2"/>
  <c r="Q947" i="2" s="1"/>
  <c r="P939" i="2"/>
  <c r="Q939" i="2" s="1"/>
  <c r="P931" i="2"/>
  <c r="Q931" i="2" s="1"/>
  <c r="P928" i="2"/>
  <c r="Q928" i="2" s="1"/>
  <c r="P924" i="2"/>
  <c r="Q924" i="2" s="1"/>
  <c r="P848" i="2"/>
  <c r="Q848" i="2" s="1"/>
  <c r="P821" i="2"/>
  <c r="Q821" i="2" s="1"/>
  <c r="P782" i="2"/>
  <c r="Q782" i="2" s="1"/>
  <c r="P714" i="2"/>
  <c r="Q714" i="2" s="1"/>
  <c r="P713" i="2"/>
  <c r="Q713" i="2" s="1"/>
  <c r="P698" i="2"/>
  <c r="Q698" i="2" s="1"/>
  <c r="P625" i="2"/>
  <c r="Q625" i="2" s="1"/>
  <c r="P552" i="2"/>
  <c r="Q552" i="2" s="1"/>
  <c r="P548" i="2"/>
  <c r="Q548" i="2" s="1"/>
  <c r="P544" i="2"/>
  <c r="Q544" i="2" s="1"/>
  <c r="P540" i="2"/>
  <c r="Q540" i="2" s="1"/>
  <c r="P536" i="2"/>
  <c r="Q536" i="2" s="1"/>
  <c r="P528" i="2"/>
  <c r="Q528" i="2" s="1"/>
  <c r="P520" i="2"/>
  <c r="Q520" i="2" s="1"/>
  <c r="P501" i="2"/>
  <c r="Q501" i="2" s="1"/>
  <c r="P497" i="2"/>
  <c r="Q497" i="2" s="1"/>
  <c r="P489" i="2"/>
  <c r="Q489" i="2" s="1"/>
  <c r="P481" i="2"/>
  <c r="Q481" i="2" s="1"/>
  <c r="P456" i="2"/>
  <c r="Q456" i="2" s="1"/>
  <c r="P357" i="2"/>
  <c r="Q357" i="2" s="1"/>
  <c r="P342" i="2"/>
  <c r="Q342" i="2" s="1"/>
  <c r="P338" i="2"/>
  <c r="Q338" i="2" s="1"/>
  <c r="P330" i="2"/>
  <c r="Q330" i="2" s="1"/>
  <c r="P239" i="2"/>
  <c r="Q239" i="2" s="1"/>
  <c r="P235" i="2"/>
  <c r="Q235" i="2" s="1"/>
  <c r="P221" i="2"/>
  <c r="Q221" i="2" s="1"/>
  <c r="P217" i="2"/>
  <c r="Q217" i="2" s="1"/>
  <c r="P201" i="2"/>
  <c r="Q201" i="2" s="1"/>
  <c r="P198" i="2"/>
  <c r="Q198" i="2" s="1"/>
  <c r="P194" i="2"/>
  <c r="Q194" i="2" s="1"/>
  <c r="P190" i="2"/>
  <c r="Q190" i="2" s="1"/>
  <c r="P186" i="2"/>
  <c r="Q186" i="2" s="1"/>
  <c r="P185" i="2"/>
  <c r="Q185" i="2" s="1"/>
  <c r="P136" i="2"/>
  <c r="Q136" i="2" s="1"/>
  <c r="P123" i="2"/>
  <c r="Q123" i="2" s="1"/>
  <c r="P31" i="2"/>
  <c r="Q31" i="2" s="1"/>
  <c r="P19" i="2"/>
  <c r="Q19" i="2" s="1"/>
  <c r="P23" i="2"/>
  <c r="Q23" i="2" s="1"/>
  <c r="P1071" i="2"/>
  <c r="Q1071" i="2" s="1"/>
  <c r="P1042" i="2"/>
  <c r="Q1042" i="2" s="1"/>
  <c r="P1016" i="2"/>
  <c r="Q1016" i="2" s="1"/>
  <c r="P998" i="2"/>
  <c r="Q998" i="2" s="1"/>
  <c r="P994" i="2"/>
  <c r="Q994" i="2" s="1"/>
  <c r="P990" i="2"/>
  <c r="Q990" i="2" s="1"/>
  <c r="P987" i="2"/>
  <c r="Q987" i="2" s="1"/>
  <c r="P986" i="2"/>
  <c r="Q986" i="2" s="1"/>
  <c r="P875" i="2"/>
  <c r="Q875" i="2" s="1"/>
  <c r="P871" i="2"/>
  <c r="Q871" i="2" s="1"/>
  <c r="P867" i="2"/>
  <c r="Q867" i="2" s="1"/>
  <c r="P841" i="2"/>
  <c r="Q841" i="2" s="1"/>
  <c r="P809" i="2"/>
  <c r="Q809" i="2" s="1"/>
  <c r="P777" i="2"/>
  <c r="Q777" i="2" s="1"/>
  <c r="P745" i="2"/>
  <c r="Q745" i="2" s="1"/>
  <c r="P737" i="2"/>
  <c r="Q737" i="2" s="1"/>
  <c r="P732" i="2"/>
  <c r="Q732" i="2" s="1"/>
  <c r="P705" i="2"/>
  <c r="Q705" i="2" s="1"/>
  <c r="P701" i="2"/>
  <c r="Q701" i="2" s="1"/>
  <c r="P697" i="2"/>
  <c r="Q697" i="2" s="1"/>
  <c r="P631" i="2"/>
  <c r="Q631" i="2" s="1"/>
  <c r="P627" i="2"/>
  <c r="Q627" i="2" s="1"/>
  <c r="P622" i="2"/>
  <c r="Q622" i="2" s="1"/>
  <c r="P613" i="2"/>
  <c r="Q613" i="2" s="1"/>
  <c r="P609" i="2"/>
  <c r="Q609" i="2" s="1"/>
  <c r="P604" i="2"/>
  <c r="Q604" i="2" s="1"/>
  <c r="P577" i="2"/>
  <c r="Q577" i="2" s="1"/>
  <c r="P573" i="2"/>
  <c r="Q573" i="2" s="1"/>
  <c r="P564" i="2"/>
  <c r="Q564" i="2" s="1"/>
  <c r="P542" i="2"/>
  <c r="Q542" i="2" s="1"/>
  <c r="P530" i="2"/>
  <c r="Q530" i="2" s="1"/>
  <c r="P516" i="2"/>
  <c r="Q516" i="2" s="1"/>
  <c r="P508" i="2"/>
  <c r="Q508" i="2" s="1"/>
  <c r="P504" i="2"/>
  <c r="Q504" i="2" s="1"/>
  <c r="P496" i="2"/>
  <c r="Q496" i="2" s="1"/>
  <c r="P459" i="2"/>
  <c r="Q459" i="2" s="1"/>
  <c r="P434" i="2"/>
  <c r="Q434" i="2" s="1"/>
  <c r="P349" i="2"/>
  <c r="Q349" i="2" s="1"/>
  <c r="P345" i="2"/>
  <c r="Q345" i="2" s="1"/>
  <c r="P341" i="2"/>
  <c r="Q341" i="2" s="1"/>
  <c r="P299" i="2"/>
  <c r="Q299" i="2" s="1"/>
  <c r="P257" i="2"/>
  <c r="Q257" i="2" s="1"/>
  <c r="P253" i="2"/>
  <c r="Q253" i="2" s="1"/>
  <c r="P245" i="2"/>
  <c r="Q245" i="2" s="1"/>
  <c r="P203" i="2"/>
  <c r="Q203" i="2" s="1"/>
  <c r="P149" i="2"/>
  <c r="Q149" i="2" s="1"/>
  <c r="P145" i="2"/>
  <c r="Q145" i="2" s="1"/>
  <c r="P65" i="2"/>
  <c r="Q65" i="2" s="1"/>
  <c r="P53" i="2"/>
  <c r="Q53" i="2" s="1"/>
  <c r="P36" i="2"/>
  <c r="Q36" i="2" s="1"/>
  <c r="P1021" i="2"/>
  <c r="Q1021" i="2" s="1"/>
  <c r="P971" i="2"/>
  <c r="Q971" i="2" s="1"/>
  <c r="P963" i="2"/>
  <c r="Q963" i="2" s="1"/>
  <c r="P958" i="2"/>
  <c r="Q958" i="2" s="1"/>
  <c r="P953" i="2"/>
  <c r="Q953" i="2" s="1"/>
  <c r="P890" i="2"/>
  <c r="Q890" i="2" s="1"/>
  <c r="P885" i="2"/>
  <c r="Q885" i="2" s="1"/>
  <c r="P826" i="2"/>
  <c r="Q826" i="2" s="1"/>
  <c r="P794" i="2"/>
  <c r="Q794" i="2" s="1"/>
  <c r="P720" i="2"/>
  <c r="Q720" i="2" s="1"/>
  <c r="P710" i="2"/>
  <c r="Q710" i="2" s="1"/>
  <c r="P662" i="2"/>
  <c r="Q662" i="2" s="1"/>
  <c r="P636" i="2"/>
  <c r="Q636" i="2" s="1"/>
  <c r="P623" i="2"/>
  <c r="Q623" i="2" s="1"/>
  <c r="P592" i="2"/>
  <c r="Q592" i="2" s="1"/>
  <c r="P582" i="2"/>
  <c r="Q582" i="2" s="1"/>
  <c r="P535" i="2"/>
  <c r="Q535" i="2" s="1"/>
  <c r="P472" i="2"/>
  <c r="Q472" i="2" s="1"/>
  <c r="P468" i="2"/>
  <c r="Q468" i="2" s="1"/>
  <c r="P445" i="2"/>
  <c r="Q445" i="2" s="1"/>
  <c r="P436" i="2"/>
  <c r="Q436" i="2" s="1"/>
  <c r="P361" i="2"/>
  <c r="Q361" i="2" s="1"/>
  <c r="P312" i="2"/>
  <c r="Q312" i="2" s="1"/>
  <c r="P296" i="2"/>
  <c r="Q296" i="2" s="1"/>
  <c r="P263" i="2"/>
  <c r="Q263" i="2" s="1"/>
  <c r="P226" i="2"/>
  <c r="Q226" i="2" s="1"/>
  <c r="P216" i="2"/>
  <c r="Q216" i="2" s="1"/>
  <c r="P199" i="2"/>
  <c r="Q199" i="2" s="1"/>
  <c r="P187" i="2"/>
  <c r="Q187" i="2" s="1"/>
  <c r="P180" i="2"/>
  <c r="Q180" i="2" s="1"/>
  <c r="P168" i="2"/>
  <c r="Q168" i="2" s="1"/>
  <c r="P164" i="2"/>
  <c r="Q164" i="2" s="1"/>
  <c r="P159" i="2"/>
  <c r="Q159" i="2" s="1"/>
  <c r="P155" i="2"/>
  <c r="Q155" i="2" s="1"/>
  <c r="P122" i="2"/>
  <c r="Q122" i="2" s="1"/>
  <c r="P104" i="2"/>
  <c r="Q104" i="2" s="1"/>
  <c r="P91" i="2"/>
  <c r="Q91" i="2" s="1"/>
  <c r="P33" i="2"/>
  <c r="Q33" i="2" s="1"/>
  <c r="P1077" i="2"/>
  <c r="Q1077" i="2" s="1"/>
  <c r="P1055" i="2"/>
  <c r="Q1055" i="2" s="1"/>
  <c r="P1048" i="2"/>
  <c r="Q1048" i="2" s="1"/>
  <c r="P1023" i="2"/>
  <c r="Q1023" i="2" s="1"/>
  <c r="P1019" i="2"/>
  <c r="Q1019" i="2" s="1"/>
  <c r="P1015" i="2"/>
  <c r="Q1015" i="2" s="1"/>
  <c r="P960" i="2"/>
  <c r="Q960" i="2" s="1"/>
  <c r="P956" i="2"/>
  <c r="Q956" i="2" s="1"/>
  <c r="P900" i="2"/>
  <c r="Q900" i="2" s="1"/>
  <c r="P896" i="2"/>
  <c r="Q896" i="2" s="1"/>
  <c r="P895" i="2"/>
  <c r="Q895" i="2" s="1"/>
  <c r="P866" i="2"/>
  <c r="Q866" i="2" s="1"/>
  <c r="P673" i="2"/>
  <c r="Q673" i="2" s="1"/>
  <c r="P668" i="2"/>
  <c r="Q668" i="2" s="1"/>
  <c r="P641" i="2"/>
  <c r="Q641" i="2" s="1"/>
  <c r="P637" i="2"/>
  <c r="Q637" i="2" s="1"/>
  <c r="P634" i="2"/>
  <c r="Q634" i="2" s="1"/>
  <c r="P633" i="2"/>
  <c r="Q633" i="2" s="1"/>
  <c r="P533" i="2"/>
  <c r="Q533" i="2" s="1"/>
  <c r="P529" i="2"/>
  <c r="Q529" i="2" s="1"/>
  <c r="P478" i="2"/>
  <c r="Q478" i="2" s="1"/>
  <c r="P437" i="2"/>
  <c r="Q437" i="2" s="1"/>
  <c r="P314" i="2"/>
  <c r="Q314" i="2" s="1"/>
  <c r="P310" i="2"/>
  <c r="Q310" i="2" s="1"/>
  <c r="P302" i="2"/>
  <c r="Q302" i="2" s="1"/>
  <c r="P298" i="2"/>
  <c r="Q298" i="2" s="1"/>
  <c r="P218" i="2"/>
  <c r="Q218" i="2" s="1"/>
  <c r="P214" i="2"/>
  <c r="Q214" i="2" s="1"/>
  <c r="P202" i="2"/>
  <c r="Q202" i="2" s="1"/>
  <c r="P188" i="2"/>
  <c r="Q188" i="2" s="1"/>
  <c r="P178" i="2"/>
  <c r="Q178" i="2" s="1"/>
  <c r="P174" i="2"/>
  <c r="Q174" i="2" s="1"/>
  <c r="P110" i="2"/>
  <c r="Q110" i="2" s="1"/>
  <c r="P106" i="2"/>
  <c r="Q106" i="2" s="1"/>
  <c r="P102" i="2"/>
  <c r="Q102" i="2" s="1"/>
  <c r="P15" i="2"/>
  <c r="Q15" i="2" s="1"/>
  <c r="P11" i="2"/>
  <c r="Q11" i="2" s="1"/>
  <c r="P1061" i="2"/>
  <c r="Q1061" i="2" s="1"/>
  <c r="P1039" i="2"/>
  <c r="Q1039" i="2" s="1"/>
  <c r="P1032" i="2"/>
  <c r="Q1032" i="2" s="1"/>
  <c r="P1000" i="2"/>
  <c r="Q1000" i="2" s="1"/>
  <c r="P977" i="2"/>
  <c r="Q977" i="2" s="1"/>
  <c r="P937" i="2"/>
  <c r="Q937" i="2" s="1"/>
  <c r="P891" i="2"/>
  <c r="Q891" i="2" s="1"/>
  <c r="P882" i="2"/>
  <c r="Q882" i="2" s="1"/>
  <c r="P877" i="2"/>
  <c r="Q877" i="2" s="1"/>
  <c r="P861" i="2"/>
  <c r="Q861" i="2" s="1"/>
  <c r="P823" i="2"/>
  <c r="Q823" i="2" s="1"/>
  <c r="P813" i="2"/>
  <c r="Q813" i="2" s="1"/>
  <c r="P802" i="2"/>
  <c r="Q802" i="2" s="1"/>
  <c r="P791" i="2"/>
  <c r="Q791" i="2" s="1"/>
  <c r="P786" i="2"/>
  <c r="Q786" i="2" s="1"/>
  <c r="P781" i="2"/>
  <c r="Q781" i="2" s="1"/>
  <c r="P749" i="2"/>
  <c r="Q749" i="2" s="1"/>
  <c r="P738" i="2"/>
  <c r="Q738" i="2" s="1"/>
  <c r="P702" i="2"/>
  <c r="Q702" i="2" s="1"/>
  <c r="P638" i="2"/>
  <c r="Q638" i="2" s="1"/>
  <c r="P610" i="2"/>
  <c r="Q610" i="2" s="1"/>
  <c r="P574" i="2"/>
  <c r="Q574" i="2" s="1"/>
  <c r="P209" i="2"/>
  <c r="Q209" i="2" s="1"/>
  <c r="P173" i="2"/>
  <c r="Q173" i="2" s="1"/>
  <c r="P109" i="2"/>
  <c r="Q109" i="2" s="1"/>
  <c r="P26" i="2"/>
  <c r="Q26" i="2" s="1"/>
  <c r="P21" i="2"/>
  <c r="Q21" i="2" s="1"/>
  <c r="P4" i="2"/>
  <c r="Q4" i="2" s="1"/>
  <c r="P1075" i="2"/>
  <c r="Q1075" i="2" s="1"/>
  <c r="P1058" i="2"/>
  <c r="Q1058" i="2" s="1"/>
  <c r="P1045" i="2"/>
  <c r="Q1045" i="2" s="1"/>
  <c r="P1028" i="2"/>
  <c r="Q1028" i="2" s="1"/>
  <c r="P1010" i="2"/>
  <c r="Q1010" i="2" s="1"/>
  <c r="P1007" i="2"/>
  <c r="Q1007" i="2" s="1"/>
  <c r="P1006" i="2"/>
  <c r="Q1006" i="2" s="1"/>
  <c r="P1003" i="2"/>
  <c r="Q1003" i="2" s="1"/>
  <c r="P970" i="2"/>
  <c r="Q970" i="2" s="1"/>
  <c r="P938" i="2"/>
  <c r="Q938" i="2" s="1"/>
  <c r="P920" i="2"/>
  <c r="Q920" i="2" s="1"/>
  <c r="P910" i="2"/>
  <c r="Q910" i="2" s="1"/>
  <c r="P897" i="2"/>
  <c r="Q897" i="2" s="1"/>
  <c r="P880" i="2"/>
  <c r="Q880" i="2" s="1"/>
  <c r="P851" i="2"/>
  <c r="Q851" i="2" s="1"/>
  <c r="P835" i="2"/>
  <c r="Q835" i="2" s="1"/>
  <c r="P829" i="2"/>
  <c r="Q829" i="2" s="1"/>
  <c r="P819" i="2"/>
  <c r="Q819" i="2" s="1"/>
  <c r="P803" i="2"/>
  <c r="Q803" i="2" s="1"/>
  <c r="P797" i="2"/>
  <c r="Q797" i="2" s="1"/>
  <c r="P787" i="2"/>
  <c r="Q787" i="2" s="1"/>
  <c r="P771" i="2"/>
  <c r="Q771" i="2" s="1"/>
  <c r="P765" i="2"/>
  <c r="Q765" i="2" s="1"/>
  <c r="P755" i="2"/>
  <c r="Q755" i="2" s="1"/>
  <c r="P725" i="2"/>
  <c r="Q725" i="2" s="1"/>
  <c r="P716" i="2"/>
  <c r="Q716" i="2" s="1"/>
  <c r="P711" i="2"/>
  <c r="Q711" i="2" s="1"/>
  <c r="P681" i="2"/>
  <c r="Q681" i="2" s="1"/>
  <c r="P661" i="2"/>
  <c r="Q661" i="2" s="1"/>
  <c r="P652" i="2"/>
  <c r="Q652" i="2" s="1"/>
  <c r="P647" i="2"/>
  <c r="Q647" i="2" s="1"/>
  <c r="P617" i="2"/>
  <c r="Q617" i="2" s="1"/>
  <c r="P597" i="2"/>
  <c r="Q597" i="2" s="1"/>
  <c r="P588" i="2"/>
  <c r="Q588" i="2" s="1"/>
  <c r="P583" i="2"/>
  <c r="Q583" i="2" s="1"/>
  <c r="P532" i="2"/>
  <c r="Q532" i="2" s="1"/>
  <c r="P523" i="2"/>
  <c r="Q523" i="2" s="1"/>
  <c r="P510" i="2"/>
  <c r="Q510" i="2" s="1"/>
  <c r="P464" i="2"/>
  <c r="Q464" i="2" s="1"/>
  <c r="P193" i="2"/>
  <c r="Q193" i="2" s="1"/>
  <c r="P1074" i="2"/>
  <c r="Q1074" i="2" s="1"/>
  <c r="P1044" i="2"/>
  <c r="Q1044" i="2" s="1"/>
  <c r="P1027" i="2"/>
  <c r="Q1027" i="2" s="1"/>
  <c r="P1005" i="2"/>
  <c r="Q1005" i="2" s="1"/>
  <c r="P969" i="2"/>
  <c r="Q969" i="2" s="1"/>
  <c r="P965" i="2"/>
  <c r="Q965" i="2" s="1"/>
  <c r="P945" i="2"/>
  <c r="Q945" i="2" s="1"/>
  <c r="P933" i="2"/>
  <c r="Q933" i="2" s="1"/>
  <c r="P845" i="2"/>
  <c r="Q845" i="2" s="1"/>
  <c r="P834" i="2"/>
  <c r="Q834" i="2" s="1"/>
  <c r="P818" i="2"/>
  <c r="Q818" i="2" s="1"/>
  <c r="P770" i="2"/>
  <c r="Q770" i="2" s="1"/>
  <c r="P759" i="2"/>
  <c r="Q759" i="2" s="1"/>
  <c r="P754" i="2"/>
  <c r="Q754" i="2" s="1"/>
  <c r="P674" i="2"/>
  <c r="Q674" i="2" s="1"/>
  <c r="P337" i="2"/>
  <c r="Q337" i="2" s="1"/>
  <c r="P265" i="2"/>
  <c r="Q265" i="2" s="1"/>
  <c r="P28" i="2"/>
  <c r="Q28" i="2" s="1"/>
  <c r="P27" i="2"/>
  <c r="Q27" i="2" s="1"/>
  <c r="P24" i="2"/>
  <c r="Q24" i="2" s="1"/>
  <c r="P999" i="2"/>
  <c r="Q999" i="2" s="1"/>
  <c r="P984" i="2"/>
  <c r="Q984" i="2" s="1"/>
  <c r="P980" i="2"/>
  <c r="Q980" i="2" s="1"/>
  <c r="P968" i="2"/>
  <c r="Q968" i="2" s="1"/>
  <c r="P964" i="2"/>
  <c r="Q964" i="2" s="1"/>
  <c r="P952" i="2"/>
  <c r="Q952" i="2" s="1"/>
  <c r="P948" i="2"/>
  <c r="Q948" i="2" s="1"/>
  <c r="P936" i="2"/>
  <c r="Q936" i="2" s="1"/>
  <c r="P932" i="2"/>
  <c r="Q932" i="2" s="1"/>
  <c r="P912" i="2"/>
  <c r="Q912" i="2" s="1"/>
  <c r="P908" i="2"/>
  <c r="Q908" i="2" s="1"/>
  <c r="P876" i="2"/>
  <c r="Q876" i="2" s="1"/>
  <c r="P852" i="2"/>
  <c r="Q852" i="2" s="1"/>
  <c r="P837" i="2"/>
  <c r="Q837" i="2" s="1"/>
  <c r="P836" i="2"/>
  <c r="Q836" i="2" s="1"/>
  <c r="P832" i="2"/>
  <c r="Q832" i="2" s="1"/>
  <c r="P816" i="2"/>
  <c r="Q816" i="2" s="1"/>
  <c r="P805" i="2"/>
  <c r="Q805" i="2" s="1"/>
  <c r="P804" i="2"/>
  <c r="Q804" i="2" s="1"/>
  <c r="P800" i="2"/>
  <c r="Q800" i="2" s="1"/>
  <c r="P784" i="2"/>
  <c r="Q784" i="2" s="1"/>
  <c r="P773" i="2"/>
  <c r="Q773" i="2" s="1"/>
  <c r="P772" i="2"/>
  <c r="Q772" i="2" s="1"/>
  <c r="P768" i="2"/>
  <c r="Q768" i="2" s="1"/>
  <c r="P752" i="2"/>
  <c r="Q752" i="2" s="1"/>
  <c r="P682" i="2"/>
  <c r="Q682" i="2" s="1"/>
  <c r="P618" i="2"/>
  <c r="Q618" i="2" s="1"/>
  <c r="P309" i="2"/>
  <c r="Q309" i="2" s="1"/>
  <c r="P241" i="2"/>
  <c r="Q241" i="2" s="1"/>
  <c r="P141" i="2"/>
  <c r="Q141" i="2" s="1"/>
  <c r="P479" i="2"/>
  <c r="Q479" i="2" s="1"/>
  <c r="P474" i="2"/>
  <c r="Q474" i="2" s="1"/>
  <c r="P460" i="2"/>
  <c r="Q460" i="2" s="1"/>
  <c r="P452" i="2"/>
  <c r="Q452" i="2" s="1"/>
  <c r="P439" i="2"/>
  <c r="Q439" i="2" s="1"/>
  <c r="P435" i="2"/>
  <c r="Q435" i="2" s="1"/>
  <c r="P413" i="2"/>
  <c r="Q413" i="2" s="1"/>
  <c r="P405" i="2"/>
  <c r="Q405" i="2" s="1"/>
  <c r="P397" i="2"/>
  <c r="Q397" i="2" s="1"/>
  <c r="P389" i="2"/>
  <c r="Q389" i="2" s="1"/>
  <c r="P381" i="2"/>
  <c r="Q381" i="2" s="1"/>
  <c r="P373" i="2"/>
  <c r="Q373" i="2" s="1"/>
  <c r="P365" i="2"/>
  <c r="Q365" i="2" s="1"/>
  <c r="P324" i="2"/>
  <c r="Q324" i="2" s="1"/>
  <c r="P319" i="2"/>
  <c r="Q319" i="2" s="1"/>
  <c r="P305" i="2"/>
  <c r="Q305" i="2" s="1"/>
  <c r="P301" i="2"/>
  <c r="Q301" i="2" s="1"/>
  <c r="P287" i="2"/>
  <c r="Q287" i="2" s="1"/>
  <c r="P283" i="2"/>
  <c r="Q283" i="2" s="1"/>
  <c r="P255" i="2"/>
  <c r="Q255" i="2" s="1"/>
  <c r="P228" i="2"/>
  <c r="Q228" i="2" s="1"/>
  <c r="P223" i="2"/>
  <c r="Q223" i="2" s="1"/>
  <c r="P165" i="2"/>
  <c r="Q165" i="2" s="1"/>
  <c r="P137" i="2"/>
  <c r="Q137" i="2" s="1"/>
  <c r="P133" i="2"/>
  <c r="Q133" i="2" s="1"/>
  <c r="P88" i="2"/>
  <c r="Q88" i="2" s="1"/>
  <c r="P84" i="2"/>
  <c r="Q84" i="2" s="1"/>
  <c r="P79" i="2"/>
  <c r="Q79" i="2" s="1"/>
  <c r="P75" i="2"/>
  <c r="Q75" i="2" s="1"/>
  <c r="P52" i="2"/>
  <c r="Q52" i="2" s="1"/>
  <c r="P40" i="2"/>
  <c r="Q40" i="2" s="1"/>
  <c r="P739" i="2"/>
  <c r="Q739" i="2" s="1"/>
  <c r="P735" i="2"/>
  <c r="Q735" i="2" s="1"/>
  <c r="P729" i="2"/>
  <c r="Q729" i="2" s="1"/>
  <c r="P722" i="2"/>
  <c r="Q722" i="2" s="1"/>
  <c r="P708" i="2"/>
  <c r="Q708" i="2" s="1"/>
  <c r="P703" i="2"/>
  <c r="Q703" i="2" s="1"/>
  <c r="P684" i="2"/>
  <c r="Q684" i="2" s="1"/>
  <c r="P671" i="2"/>
  <c r="Q671" i="2" s="1"/>
  <c r="P665" i="2"/>
  <c r="Q665" i="2" s="1"/>
  <c r="P658" i="2"/>
  <c r="Q658" i="2" s="1"/>
  <c r="P644" i="2"/>
  <c r="Q644" i="2" s="1"/>
  <c r="P639" i="2"/>
  <c r="Q639" i="2" s="1"/>
  <c r="P620" i="2"/>
  <c r="Q620" i="2" s="1"/>
  <c r="P607" i="2"/>
  <c r="Q607" i="2" s="1"/>
  <c r="P601" i="2"/>
  <c r="Q601" i="2" s="1"/>
  <c r="P594" i="2"/>
  <c r="Q594" i="2" s="1"/>
  <c r="P580" i="2"/>
  <c r="Q580" i="2" s="1"/>
  <c r="P575" i="2"/>
  <c r="Q575" i="2" s="1"/>
  <c r="P555" i="2"/>
  <c r="Q555" i="2" s="1"/>
  <c r="P551" i="2"/>
  <c r="Q551" i="2" s="1"/>
  <c r="P543" i="2"/>
  <c r="Q543" i="2" s="1"/>
  <c r="P538" i="2"/>
  <c r="Q538" i="2" s="1"/>
  <c r="P525" i="2"/>
  <c r="Q525" i="2" s="1"/>
  <c r="P521" i="2"/>
  <c r="Q521" i="2" s="1"/>
  <c r="P498" i="2"/>
  <c r="Q498" i="2" s="1"/>
  <c r="P484" i="2"/>
  <c r="Q484" i="2" s="1"/>
  <c r="P477" i="2"/>
  <c r="Q477" i="2" s="1"/>
  <c r="P471" i="2"/>
  <c r="Q471" i="2" s="1"/>
  <c r="P466" i="2"/>
  <c r="Q466" i="2" s="1"/>
  <c r="P440" i="2"/>
  <c r="Q440" i="2" s="1"/>
  <c r="P433" i="2"/>
  <c r="Q433" i="2" s="1"/>
  <c r="P427" i="2"/>
  <c r="Q427" i="2" s="1"/>
  <c r="P352" i="2"/>
  <c r="Q352" i="2" s="1"/>
  <c r="P339" i="2"/>
  <c r="Q339" i="2" s="1"/>
  <c r="P325" i="2"/>
  <c r="Q325" i="2" s="1"/>
  <c r="P322" i="2"/>
  <c r="Q322" i="2" s="1"/>
  <c r="P292" i="2"/>
  <c r="Q292" i="2" s="1"/>
  <c r="P285" i="2"/>
  <c r="Q285" i="2" s="1"/>
  <c r="P280" i="2"/>
  <c r="Q280" i="2" s="1"/>
  <c r="P267" i="2"/>
  <c r="Q267" i="2" s="1"/>
  <c r="P260" i="2"/>
  <c r="Q260" i="2" s="1"/>
  <c r="P256" i="2"/>
  <c r="Q256" i="2" s="1"/>
  <c r="P229" i="2"/>
  <c r="Q229" i="2" s="1"/>
  <c r="P211" i="2"/>
  <c r="Q211" i="2" s="1"/>
  <c r="P195" i="2"/>
  <c r="Q195" i="2" s="1"/>
  <c r="P175" i="2"/>
  <c r="Q175" i="2" s="1"/>
  <c r="P154" i="2"/>
  <c r="Q154" i="2" s="1"/>
  <c r="P148" i="2"/>
  <c r="Q148" i="2" s="1"/>
  <c r="P143" i="2"/>
  <c r="Q143" i="2" s="1"/>
  <c r="P116" i="2"/>
  <c r="Q116" i="2" s="1"/>
  <c r="P111" i="2"/>
  <c r="Q111" i="2" s="1"/>
  <c r="P97" i="2"/>
  <c r="Q97" i="2" s="1"/>
  <c r="P93" i="2"/>
  <c r="Q93" i="2" s="1"/>
  <c r="P89" i="2"/>
  <c r="Q89" i="2" s="1"/>
  <c r="P85" i="2"/>
  <c r="Q85" i="2" s="1"/>
  <c r="P72" i="2"/>
  <c r="Q72" i="2" s="1"/>
  <c r="P68" i="2"/>
  <c r="Q68" i="2" s="1"/>
  <c r="P63" i="2"/>
  <c r="Q63" i="2" s="1"/>
  <c r="P59" i="2"/>
  <c r="Q59" i="2" s="1"/>
  <c r="P49" i="2"/>
  <c r="Q49" i="2" s="1"/>
  <c r="P741" i="2"/>
  <c r="Q741" i="2" s="1"/>
  <c r="P740" i="2"/>
  <c r="Q740" i="2" s="1"/>
  <c r="P719" i="2"/>
  <c r="Q719" i="2" s="1"/>
  <c r="P685" i="2"/>
  <c r="Q685" i="2" s="1"/>
  <c r="P655" i="2"/>
  <c r="Q655" i="2" s="1"/>
  <c r="P621" i="2"/>
  <c r="Q621" i="2" s="1"/>
  <c r="P591" i="2"/>
  <c r="Q591" i="2" s="1"/>
  <c r="P545" i="2"/>
  <c r="Q545" i="2" s="1"/>
  <c r="P541" i="2"/>
  <c r="Q541" i="2" s="1"/>
  <c r="P509" i="2"/>
  <c r="Q509" i="2" s="1"/>
  <c r="P500" i="2"/>
  <c r="Q500" i="2" s="1"/>
  <c r="P499" i="2"/>
  <c r="Q499" i="2" s="1"/>
  <c r="P469" i="2"/>
  <c r="Q469" i="2" s="1"/>
  <c r="P446" i="2"/>
  <c r="Q446" i="2" s="1"/>
  <c r="P425" i="2"/>
  <c r="Q425" i="2" s="1"/>
  <c r="P354" i="2"/>
  <c r="Q354" i="2" s="1"/>
  <c r="P350" i="2"/>
  <c r="Q350" i="2" s="1"/>
  <c r="P318" i="2"/>
  <c r="Q318" i="2" s="1"/>
  <c r="P286" i="2"/>
  <c r="Q286" i="2" s="1"/>
  <c r="P282" i="2"/>
  <c r="Q282" i="2" s="1"/>
  <c r="P278" i="2"/>
  <c r="Q278" i="2" s="1"/>
  <c r="P258" i="2"/>
  <c r="Q258" i="2" s="1"/>
  <c r="P254" i="2"/>
  <c r="Q254" i="2" s="1"/>
  <c r="P222" i="2"/>
  <c r="Q222" i="2" s="1"/>
  <c r="P176" i="2"/>
  <c r="Q176" i="2" s="1"/>
  <c r="P146" i="2"/>
  <c r="Q146" i="2" s="1"/>
  <c r="P131" i="2"/>
  <c r="Q131" i="2" s="1"/>
  <c r="P117" i="2"/>
  <c r="Q117" i="2" s="1"/>
  <c r="P114" i="2"/>
  <c r="Q114" i="2" s="1"/>
  <c r="P78" i="2"/>
  <c r="Q78" i="2" s="1"/>
  <c r="P74" i="2"/>
  <c r="Q74" i="2" s="1"/>
  <c r="P69" i="2"/>
  <c r="Q69" i="2" s="1"/>
  <c r="P61" i="2"/>
  <c r="Q61" i="2" s="1"/>
  <c r="P56" i="2"/>
  <c r="Q56" i="2" s="1"/>
  <c r="P22" i="2"/>
  <c r="Q22" i="2" s="1"/>
  <c r="P1065" i="2"/>
  <c r="Q1065" i="2" s="1"/>
  <c r="P1062" i="2"/>
  <c r="Q1062" i="2" s="1"/>
  <c r="P1049" i="2"/>
  <c r="Q1049" i="2" s="1"/>
  <c r="P1046" i="2"/>
  <c r="Q1046" i="2" s="1"/>
  <c r="P996" i="2"/>
  <c r="Q996" i="2" s="1"/>
  <c r="P973" i="2"/>
  <c r="Q973" i="2" s="1"/>
  <c r="P966" i="2"/>
  <c r="Q966" i="2" s="1"/>
  <c r="P941" i="2"/>
  <c r="Q941" i="2" s="1"/>
  <c r="P917" i="2"/>
  <c r="Q917" i="2" s="1"/>
  <c r="P898" i="2"/>
  <c r="Q898" i="2" s="1"/>
  <c r="P854" i="2"/>
  <c r="P838" i="2"/>
  <c r="Q838" i="2" s="1"/>
  <c r="P480" i="2"/>
  <c r="Q480" i="2" s="1"/>
  <c r="P3" i="2"/>
  <c r="Q3" i="2" s="1"/>
  <c r="P1069" i="2"/>
  <c r="Q1069" i="2" s="1"/>
  <c r="P1066" i="2"/>
  <c r="Q1066" i="2" s="1"/>
  <c r="P1053" i="2"/>
  <c r="Q1053" i="2" s="1"/>
  <c r="P1050" i="2"/>
  <c r="Q1050" i="2" s="1"/>
  <c r="P1037" i="2"/>
  <c r="Q1037" i="2" s="1"/>
  <c r="P1034" i="2"/>
  <c r="Q1034" i="2" s="1"/>
  <c r="P1024" i="2"/>
  <c r="Q1024" i="2" s="1"/>
  <c r="P1013" i="2"/>
  <c r="Q1013" i="2" s="1"/>
  <c r="P1008" i="2"/>
  <c r="Q1008" i="2" s="1"/>
  <c r="P997" i="2"/>
  <c r="Q997" i="2" s="1"/>
  <c r="P992" i="2"/>
  <c r="Q992" i="2" s="1"/>
  <c r="P981" i="2"/>
  <c r="Q981" i="2" s="1"/>
  <c r="P974" i="2"/>
  <c r="Q974" i="2" s="1"/>
  <c r="P967" i="2"/>
  <c r="Q967" i="2" s="1"/>
  <c r="P954" i="2"/>
  <c r="Q954" i="2" s="1"/>
  <c r="P949" i="2"/>
  <c r="Q949" i="2" s="1"/>
  <c r="P942" i="2"/>
  <c r="Q942" i="2" s="1"/>
  <c r="P935" i="2"/>
  <c r="Q935" i="2" s="1"/>
  <c r="P918" i="2"/>
  <c r="Q918" i="2" s="1"/>
  <c r="P913" i="2"/>
  <c r="Q913" i="2" s="1"/>
  <c r="P906" i="2"/>
  <c r="Q906" i="2" s="1"/>
  <c r="P901" i="2"/>
  <c r="Q901" i="2" s="1"/>
  <c r="P894" i="2"/>
  <c r="Q894" i="2" s="1"/>
  <c r="P883" i="2"/>
  <c r="Q883" i="2" s="1"/>
  <c r="P878" i="2"/>
  <c r="Q878" i="2" s="1"/>
  <c r="P873" i="2"/>
  <c r="Q873" i="2" s="1"/>
  <c r="P868" i="2"/>
  <c r="Q868" i="2" s="1"/>
  <c r="P855" i="2"/>
  <c r="Q855" i="2" s="1"/>
  <c r="P839" i="2"/>
  <c r="Q839" i="2" s="1"/>
  <c r="P820" i="2"/>
  <c r="Q820" i="2" s="1"/>
  <c r="P807" i="2"/>
  <c r="Q807" i="2" s="1"/>
  <c r="P788" i="2"/>
  <c r="Q788" i="2" s="1"/>
  <c r="P775" i="2"/>
  <c r="Q775" i="2" s="1"/>
  <c r="P756" i="2"/>
  <c r="Q756" i="2" s="1"/>
  <c r="P743" i="2"/>
  <c r="Q743" i="2" s="1"/>
  <c r="P704" i="2"/>
  <c r="Q704" i="2" s="1"/>
  <c r="P692" i="2"/>
  <c r="Q692" i="2" s="1"/>
  <c r="P640" i="2"/>
  <c r="Q640" i="2" s="1"/>
  <c r="P628" i="2"/>
  <c r="Q628" i="2" s="1"/>
  <c r="P576" i="2"/>
  <c r="Q576" i="2" s="1"/>
  <c r="P558" i="2"/>
  <c r="Q558" i="2" s="1"/>
  <c r="P416" i="2"/>
  <c r="Q416" i="2" s="1"/>
  <c r="P408" i="2"/>
  <c r="Q408" i="2" s="1"/>
  <c r="P400" i="2"/>
  <c r="Q400" i="2" s="1"/>
  <c r="P392" i="2"/>
  <c r="Q392" i="2" s="1"/>
  <c r="P384" i="2"/>
  <c r="Q384" i="2" s="1"/>
  <c r="P376" i="2"/>
  <c r="Q376" i="2" s="1"/>
  <c r="P368" i="2"/>
  <c r="Q368" i="2" s="1"/>
  <c r="P17" i="2"/>
  <c r="Q17" i="2" s="1"/>
  <c r="P6" i="2"/>
  <c r="Q6" i="2" s="1"/>
  <c r="P2" i="2"/>
  <c r="P1033" i="2"/>
  <c r="Q1033" i="2" s="1"/>
  <c r="P1030" i="2"/>
  <c r="Q1030" i="2" s="1"/>
  <c r="P1017" i="2"/>
  <c r="Q1017" i="2" s="1"/>
  <c r="P1012" i="2"/>
  <c r="Q1012" i="2" s="1"/>
  <c r="P1001" i="2"/>
  <c r="Q1001" i="2" s="1"/>
  <c r="P978" i="2"/>
  <c r="Q978" i="2" s="1"/>
  <c r="P959" i="2"/>
  <c r="Q959" i="2" s="1"/>
  <c r="P946" i="2"/>
  <c r="Q946" i="2" s="1"/>
  <c r="P934" i="2"/>
  <c r="Q934" i="2" s="1"/>
  <c r="P927" i="2"/>
  <c r="Q927" i="2" s="1"/>
  <c r="P922" i="2"/>
  <c r="Q922" i="2" s="1"/>
  <c r="P905" i="2"/>
  <c r="Q905" i="2" s="1"/>
  <c r="P893" i="2"/>
  <c r="Q893" i="2" s="1"/>
  <c r="P833" i="2"/>
  <c r="Q833" i="2" s="1"/>
  <c r="P806" i="2"/>
  <c r="Q806" i="2" s="1"/>
  <c r="P801" i="2"/>
  <c r="Q801" i="2" s="1"/>
  <c r="P774" i="2"/>
  <c r="Q774" i="2" s="1"/>
  <c r="P769" i="2"/>
  <c r="Q769" i="2" s="1"/>
  <c r="P742" i="2"/>
  <c r="Q742" i="2" s="1"/>
  <c r="P29" i="2"/>
  <c r="Q29" i="2" s="1"/>
  <c r="P18" i="2"/>
  <c r="Q18" i="2" s="1"/>
  <c r="P13" i="2"/>
  <c r="Q13" i="2" s="1"/>
  <c r="P30" i="2"/>
  <c r="Q30" i="2" s="1"/>
  <c r="P25" i="2"/>
  <c r="Q25" i="2" s="1"/>
  <c r="P16" i="2"/>
  <c r="Q16" i="2" s="1"/>
  <c r="P14" i="2"/>
  <c r="Q14" i="2" s="1"/>
  <c r="P9" i="2"/>
  <c r="Q9" i="2" s="1"/>
  <c r="P1073" i="2"/>
  <c r="Q1073" i="2" s="1"/>
  <c r="P1070" i="2"/>
  <c r="Q1070" i="2" s="1"/>
  <c r="P1057" i="2"/>
  <c r="Q1057" i="2" s="1"/>
  <c r="P1054" i="2"/>
  <c r="Q1054" i="2" s="1"/>
  <c r="P1041" i="2"/>
  <c r="Q1041" i="2" s="1"/>
  <c r="P1038" i="2"/>
  <c r="Q1038" i="2" s="1"/>
  <c r="P1025" i="2"/>
  <c r="Q1025" i="2" s="1"/>
  <c r="P1020" i="2"/>
  <c r="Q1020" i="2" s="1"/>
  <c r="P1011" i="2"/>
  <c r="Q1011" i="2" s="1"/>
  <c r="P1009" i="2"/>
  <c r="Q1009" i="2" s="1"/>
  <c r="P1004" i="2"/>
  <c r="Q1004" i="2" s="1"/>
  <c r="P995" i="2"/>
  <c r="Q995" i="2" s="1"/>
  <c r="P993" i="2"/>
  <c r="Q993" i="2" s="1"/>
  <c r="P988" i="2"/>
  <c r="Q988" i="2" s="1"/>
  <c r="P982" i="2"/>
  <c r="Q982" i="2" s="1"/>
  <c r="P976" i="2"/>
  <c r="Q976" i="2" s="1"/>
  <c r="P975" i="2"/>
  <c r="Q975" i="2" s="1"/>
  <c r="P972" i="2"/>
  <c r="Q972" i="2" s="1"/>
  <c r="P962" i="2"/>
  <c r="Q962" i="2" s="1"/>
  <c r="P957" i="2"/>
  <c r="Q957" i="2" s="1"/>
  <c r="P950" i="2"/>
  <c r="Q950" i="2" s="1"/>
  <c r="P944" i="2"/>
  <c r="Q944" i="2" s="1"/>
  <c r="P943" i="2"/>
  <c r="Q943" i="2" s="1"/>
  <c r="P940" i="2"/>
  <c r="Q940" i="2" s="1"/>
  <c r="P930" i="2"/>
  <c r="Q930" i="2" s="1"/>
  <c r="P925" i="2"/>
  <c r="Q925" i="2" s="1"/>
  <c r="P916" i="2"/>
  <c r="Q916" i="2" s="1"/>
  <c r="P914" i="2"/>
  <c r="Q914" i="2" s="1"/>
  <c r="P909" i="2"/>
  <c r="Q909" i="2" s="1"/>
  <c r="P904" i="2"/>
  <c r="Q904" i="2" s="1"/>
  <c r="P902" i="2"/>
  <c r="Q902" i="2" s="1"/>
  <c r="P892" i="2"/>
  <c r="Q892" i="2" s="1"/>
  <c r="P889" i="2"/>
  <c r="Q889" i="2" s="1"/>
  <c r="P874" i="2"/>
  <c r="Q874" i="2" s="1"/>
  <c r="P869" i="2"/>
  <c r="Q869" i="2" s="1"/>
  <c r="P859" i="2"/>
  <c r="Q859" i="2" s="1"/>
  <c r="P856" i="2"/>
  <c r="Q856" i="2" s="1"/>
  <c r="P849" i="2"/>
  <c r="Q849" i="2" s="1"/>
  <c r="P822" i="2"/>
  <c r="Q822" i="2" s="1"/>
  <c r="P817" i="2"/>
  <c r="Q817" i="2" s="1"/>
  <c r="P790" i="2"/>
  <c r="Q790" i="2" s="1"/>
  <c r="P785" i="2"/>
  <c r="Q785" i="2" s="1"/>
  <c r="P758" i="2"/>
  <c r="Q758" i="2" s="1"/>
  <c r="P753" i="2"/>
  <c r="Q753" i="2" s="1"/>
  <c r="P721" i="2"/>
  <c r="Q721" i="2" s="1"/>
  <c r="P694" i="2"/>
  <c r="Q694" i="2" s="1"/>
  <c r="P675" i="2"/>
  <c r="Q675" i="2" s="1"/>
  <c r="P657" i="2"/>
  <c r="Q657" i="2" s="1"/>
  <c r="P630" i="2"/>
  <c r="Q630" i="2" s="1"/>
  <c r="P611" i="2"/>
  <c r="Q611" i="2" s="1"/>
  <c r="P593" i="2"/>
  <c r="Q593" i="2" s="1"/>
  <c r="P569" i="2"/>
  <c r="Q569" i="2" s="1"/>
  <c r="P524" i="2"/>
  <c r="Q524" i="2" s="1"/>
  <c r="P518" i="2"/>
  <c r="Q518" i="2" s="1"/>
  <c r="P843" i="2"/>
  <c r="Q843" i="2" s="1"/>
  <c r="P840" i="2"/>
  <c r="Q840" i="2" s="1"/>
  <c r="P824" i="2"/>
  <c r="Q824" i="2" s="1"/>
  <c r="P808" i="2"/>
  <c r="Q808" i="2" s="1"/>
  <c r="P792" i="2"/>
  <c r="Q792" i="2" s="1"/>
  <c r="P776" i="2"/>
  <c r="Q776" i="2" s="1"/>
  <c r="P760" i="2"/>
  <c r="Q760" i="2" s="1"/>
  <c r="P744" i="2"/>
  <c r="Q744" i="2" s="1"/>
  <c r="P733" i="2"/>
  <c r="Q733" i="2" s="1"/>
  <c r="P723" i="2"/>
  <c r="Q723" i="2" s="1"/>
  <c r="P706" i="2"/>
  <c r="Q706" i="2" s="1"/>
  <c r="P688" i="2"/>
  <c r="Q688" i="2" s="1"/>
  <c r="P679" i="2"/>
  <c r="Q679" i="2" s="1"/>
  <c r="P676" i="2"/>
  <c r="Q676" i="2" s="1"/>
  <c r="P669" i="2"/>
  <c r="Q669" i="2" s="1"/>
  <c r="P659" i="2"/>
  <c r="Q659" i="2" s="1"/>
  <c r="P642" i="2"/>
  <c r="Q642" i="2" s="1"/>
  <c r="P624" i="2"/>
  <c r="Q624" i="2" s="1"/>
  <c r="P615" i="2"/>
  <c r="Q615" i="2" s="1"/>
  <c r="P612" i="2"/>
  <c r="Q612" i="2" s="1"/>
  <c r="P605" i="2"/>
  <c r="Q605" i="2" s="1"/>
  <c r="P595" i="2"/>
  <c r="Q595" i="2" s="1"/>
  <c r="P578" i="2"/>
  <c r="Q578" i="2" s="1"/>
  <c r="P531" i="2"/>
  <c r="Q531" i="2" s="1"/>
  <c r="P511" i="2"/>
  <c r="Q511" i="2" s="1"/>
  <c r="P506" i="2"/>
  <c r="Q506" i="2" s="1"/>
  <c r="P467" i="2"/>
  <c r="Q467" i="2" s="1"/>
  <c r="P447" i="2"/>
  <c r="Q447" i="2" s="1"/>
  <c r="P442" i="2"/>
  <c r="Q442" i="2" s="1"/>
  <c r="P409" i="2"/>
  <c r="Q409" i="2" s="1"/>
  <c r="P401" i="2"/>
  <c r="Q401" i="2" s="1"/>
  <c r="P393" i="2"/>
  <c r="Q393" i="2" s="1"/>
  <c r="P385" i="2"/>
  <c r="Q385" i="2" s="1"/>
  <c r="P377" i="2"/>
  <c r="Q377" i="2" s="1"/>
  <c r="P369" i="2"/>
  <c r="Q369" i="2" s="1"/>
  <c r="P353" i="2"/>
  <c r="Q353" i="2" s="1"/>
  <c r="P347" i="2"/>
  <c r="Q347" i="2" s="1"/>
  <c r="P213" i="2"/>
  <c r="Q213" i="2" s="1"/>
  <c r="P177" i="2"/>
  <c r="Q177" i="2" s="1"/>
  <c r="P888" i="2"/>
  <c r="Q888" i="2" s="1"/>
  <c r="P886" i="2"/>
  <c r="Q886" i="2" s="1"/>
  <c r="P881" i="2"/>
  <c r="Q881" i="2" s="1"/>
  <c r="P872" i="2"/>
  <c r="Q872" i="2" s="1"/>
  <c r="P870" i="2"/>
  <c r="Q870" i="2" s="1"/>
  <c r="P864" i="2"/>
  <c r="Q864" i="2" s="1"/>
  <c r="P860" i="2"/>
  <c r="Q860" i="2" s="1"/>
  <c r="P847" i="2"/>
  <c r="Q847" i="2" s="1"/>
  <c r="P844" i="2"/>
  <c r="Q844" i="2" s="1"/>
  <c r="P831" i="2"/>
  <c r="Q831" i="2" s="1"/>
  <c r="P828" i="2"/>
  <c r="Q828" i="2" s="1"/>
  <c r="P815" i="2"/>
  <c r="Q815" i="2" s="1"/>
  <c r="P812" i="2"/>
  <c r="Q812" i="2" s="1"/>
  <c r="P799" i="2"/>
  <c r="Q799" i="2" s="1"/>
  <c r="P796" i="2"/>
  <c r="Q796" i="2" s="1"/>
  <c r="P783" i="2"/>
  <c r="Q783" i="2" s="1"/>
  <c r="P780" i="2"/>
  <c r="Q780" i="2" s="1"/>
  <c r="P767" i="2"/>
  <c r="Q767" i="2" s="1"/>
  <c r="P764" i="2"/>
  <c r="Q764" i="2" s="1"/>
  <c r="P751" i="2"/>
  <c r="Q751" i="2" s="1"/>
  <c r="P748" i="2"/>
  <c r="Q748" i="2" s="1"/>
  <c r="P736" i="2"/>
  <c r="Q736" i="2" s="1"/>
  <c r="P727" i="2"/>
  <c r="Q727" i="2" s="1"/>
  <c r="P724" i="2"/>
  <c r="Q724" i="2" s="1"/>
  <c r="P717" i="2"/>
  <c r="Q717" i="2" s="1"/>
  <c r="P707" i="2"/>
  <c r="Q707" i="2" s="1"/>
  <c r="P690" i="2"/>
  <c r="Q690" i="2" s="1"/>
  <c r="P672" i="2"/>
  <c r="Q672" i="2" s="1"/>
  <c r="P663" i="2"/>
  <c r="Q663" i="2" s="1"/>
  <c r="P660" i="2"/>
  <c r="Q660" i="2" s="1"/>
  <c r="P653" i="2"/>
  <c r="Q653" i="2" s="1"/>
  <c r="P643" i="2"/>
  <c r="Q643" i="2" s="1"/>
  <c r="P626" i="2"/>
  <c r="Q626" i="2" s="1"/>
  <c r="P608" i="2"/>
  <c r="Q608" i="2" s="1"/>
  <c r="P599" i="2"/>
  <c r="Q599" i="2" s="1"/>
  <c r="P596" i="2"/>
  <c r="Q596" i="2" s="1"/>
  <c r="P589" i="2"/>
  <c r="Q589" i="2" s="1"/>
  <c r="P579" i="2"/>
  <c r="Q579" i="2" s="1"/>
  <c r="P557" i="2"/>
  <c r="Q557" i="2" s="1"/>
  <c r="P556" i="2"/>
  <c r="Q556" i="2" s="1"/>
  <c r="P553" i="2"/>
  <c r="Q553" i="2" s="1"/>
  <c r="P550" i="2"/>
  <c r="Q550" i="2" s="1"/>
  <c r="P513" i="2"/>
  <c r="Q513" i="2" s="1"/>
  <c r="P512" i="2"/>
  <c r="Q512" i="2" s="1"/>
  <c r="P493" i="2"/>
  <c r="Q493" i="2" s="1"/>
  <c r="P492" i="2"/>
  <c r="Q492" i="2" s="1"/>
  <c r="P486" i="2"/>
  <c r="Q486" i="2" s="1"/>
  <c r="P449" i="2"/>
  <c r="Q449" i="2" s="1"/>
  <c r="P448" i="2"/>
  <c r="Q448" i="2" s="1"/>
  <c r="P429" i="2"/>
  <c r="Q429" i="2" s="1"/>
  <c r="P428" i="2"/>
  <c r="Q428" i="2" s="1"/>
  <c r="P422" i="2"/>
  <c r="Q422" i="2" s="1"/>
  <c r="P340" i="2"/>
  <c r="Q340" i="2" s="1"/>
  <c r="P335" i="2"/>
  <c r="Q335" i="2" s="1"/>
  <c r="P313" i="2"/>
  <c r="Q313" i="2" s="1"/>
  <c r="P307" i="2"/>
  <c r="Q307" i="2" s="1"/>
  <c r="P269" i="2"/>
  <c r="Q269" i="2" s="1"/>
  <c r="P264" i="2"/>
  <c r="Q264" i="2" s="1"/>
  <c r="P251" i="2"/>
  <c r="Q251" i="2" s="1"/>
  <c r="P236" i="2"/>
  <c r="Q236" i="2" s="1"/>
  <c r="P231" i="2"/>
  <c r="Q231" i="2" s="1"/>
  <c r="P224" i="2"/>
  <c r="Q224" i="2" s="1"/>
  <c r="P212" i="2"/>
  <c r="Q212" i="2" s="1"/>
  <c r="P207" i="2"/>
  <c r="Q207" i="2" s="1"/>
  <c r="P189" i="2"/>
  <c r="Q189" i="2" s="1"/>
  <c r="P184" i="2"/>
  <c r="Q184" i="2" s="1"/>
  <c r="P171" i="2"/>
  <c r="Q171" i="2" s="1"/>
  <c r="P156" i="2"/>
  <c r="Q156" i="2" s="1"/>
  <c r="P151" i="2"/>
  <c r="Q151" i="2" s="1"/>
  <c r="P144" i="2"/>
  <c r="Q144" i="2" s="1"/>
  <c r="P132" i="2"/>
  <c r="Q132" i="2" s="1"/>
  <c r="P127" i="2"/>
  <c r="Q127" i="2" s="1"/>
  <c r="P105" i="2"/>
  <c r="Q105" i="2" s="1"/>
  <c r="P99" i="2"/>
  <c r="Q99" i="2" s="1"/>
  <c r="P45" i="2"/>
  <c r="Q45" i="2" s="1"/>
  <c r="P546" i="2"/>
  <c r="Q546" i="2" s="1"/>
  <c r="P539" i="2"/>
  <c r="Q539" i="2" s="1"/>
  <c r="P526" i="2"/>
  <c r="Q526" i="2" s="1"/>
  <c r="P519" i="2"/>
  <c r="Q519" i="2" s="1"/>
  <c r="P514" i="2"/>
  <c r="Q514" i="2" s="1"/>
  <c r="P507" i="2"/>
  <c r="Q507" i="2" s="1"/>
  <c r="P494" i="2"/>
  <c r="Q494" i="2" s="1"/>
  <c r="P487" i="2"/>
  <c r="Q487" i="2" s="1"/>
  <c r="P482" i="2"/>
  <c r="Q482" i="2" s="1"/>
  <c r="P475" i="2"/>
  <c r="Q475" i="2" s="1"/>
  <c r="P462" i="2"/>
  <c r="Q462" i="2" s="1"/>
  <c r="P455" i="2"/>
  <c r="Q455" i="2" s="1"/>
  <c r="P450" i="2"/>
  <c r="Q450" i="2" s="1"/>
  <c r="P443" i="2"/>
  <c r="Q443" i="2" s="1"/>
  <c r="P430" i="2"/>
  <c r="Q430" i="2" s="1"/>
  <c r="P423" i="2"/>
  <c r="Q423" i="2" s="1"/>
  <c r="P418" i="2"/>
  <c r="Q418" i="2" s="1"/>
  <c r="P411" i="2"/>
  <c r="Q411" i="2" s="1"/>
  <c r="P403" i="2"/>
  <c r="Q403" i="2" s="1"/>
  <c r="P395" i="2"/>
  <c r="Q395" i="2" s="1"/>
  <c r="P387" i="2"/>
  <c r="Q387" i="2" s="1"/>
  <c r="P379" i="2"/>
  <c r="Q379" i="2" s="1"/>
  <c r="P371" i="2"/>
  <c r="Q371" i="2" s="1"/>
  <c r="P363" i="2"/>
  <c r="Q363" i="2" s="1"/>
  <c r="P359" i="2"/>
  <c r="Q359" i="2" s="1"/>
  <c r="P355" i="2"/>
  <c r="Q355" i="2" s="1"/>
  <c r="P348" i="2"/>
  <c r="Q348" i="2" s="1"/>
  <c r="P343" i="2"/>
  <c r="Q343" i="2" s="1"/>
  <c r="P336" i="2"/>
  <c r="Q336" i="2" s="1"/>
  <c r="P332" i="2"/>
  <c r="Q332" i="2" s="1"/>
  <c r="P327" i="2"/>
  <c r="Q327" i="2" s="1"/>
  <c r="P320" i="2"/>
  <c r="Q320" i="2" s="1"/>
  <c r="P308" i="2"/>
  <c r="Q308" i="2" s="1"/>
  <c r="P303" i="2"/>
  <c r="Q303" i="2" s="1"/>
  <c r="P281" i="2"/>
  <c r="Q281" i="2" s="1"/>
  <c r="P275" i="2"/>
  <c r="Q275" i="2" s="1"/>
  <c r="P237" i="2"/>
  <c r="Q237" i="2" s="1"/>
  <c r="P232" i="2"/>
  <c r="Q232" i="2" s="1"/>
  <c r="P219" i="2"/>
  <c r="Q219" i="2" s="1"/>
  <c r="P204" i="2"/>
  <c r="Q204" i="2" s="1"/>
  <c r="P196" i="2"/>
  <c r="Q196" i="2" s="1"/>
  <c r="P157" i="2"/>
  <c r="Q157" i="2" s="1"/>
  <c r="P152" i="2"/>
  <c r="Q152" i="2" s="1"/>
  <c r="P139" i="2"/>
  <c r="Q139" i="2" s="1"/>
  <c r="P124" i="2"/>
  <c r="Q124" i="2" s="1"/>
  <c r="P119" i="2"/>
  <c r="Q119" i="2" s="1"/>
  <c r="P112" i="2"/>
  <c r="Q112" i="2" s="1"/>
  <c r="P100" i="2"/>
  <c r="Q100" i="2" s="1"/>
  <c r="P95" i="2"/>
  <c r="Q95" i="2" s="1"/>
  <c r="P57" i="2"/>
  <c r="Q57" i="2" s="1"/>
  <c r="P728" i="2"/>
  <c r="Q728" i="2" s="1"/>
  <c r="P712" i="2"/>
  <c r="Q712" i="2" s="1"/>
  <c r="P696" i="2"/>
  <c r="Q696" i="2" s="1"/>
  <c r="P680" i="2"/>
  <c r="Q680" i="2" s="1"/>
  <c r="P664" i="2"/>
  <c r="Q664" i="2" s="1"/>
  <c r="P648" i="2"/>
  <c r="Q648" i="2" s="1"/>
  <c r="P632" i="2"/>
  <c r="Q632" i="2" s="1"/>
  <c r="P616" i="2"/>
  <c r="Q616" i="2" s="1"/>
  <c r="P600" i="2"/>
  <c r="Q600" i="2" s="1"/>
  <c r="P584" i="2"/>
  <c r="Q584" i="2" s="1"/>
  <c r="P567" i="2"/>
  <c r="Q567" i="2" s="1"/>
  <c r="P559" i="2"/>
  <c r="Q559" i="2" s="1"/>
  <c r="P554" i="2"/>
  <c r="Q554" i="2" s="1"/>
  <c r="P549" i="2"/>
  <c r="Q549" i="2" s="1"/>
  <c r="P547" i="2"/>
  <c r="Q547" i="2" s="1"/>
  <c r="P537" i="2"/>
  <c r="Q537" i="2" s="1"/>
  <c r="P534" i="2"/>
  <c r="Q534" i="2" s="1"/>
  <c r="P527" i="2"/>
  <c r="Q527" i="2" s="1"/>
  <c r="P522" i="2"/>
  <c r="Q522" i="2" s="1"/>
  <c r="P517" i="2"/>
  <c r="Q517" i="2" s="1"/>
  <c r="P515" i="2"/>
  <c r="Q515" i="2" s="1"/>
  <c r="P505" i="2"/>
  <c r="Q505" i="2" s="1"/>
  <c r="P502" i="2"/>
  <c r="Q502" i="2" s="1"/>
  <c r="P495" i="2"/>
  <c r="Q495" i="2" s="1"/>
  <c r="P490" i="2"/>
  <c r="Q490" i="2" s="1"/>
  <c r="P485" i="2"/>
  <c r="Q485" i="2" s="1"/>
  <c r="P483" i="2"/>
  <c r="Q483" i="2" s="1"/>
  <c r="P473" i="2"/>
  <c r="Q473" i="2" s="1"/>
  <c r="P470" i="2"/>
  <c r="Q470" i="2" s="1"/>
  <c r="P463" i="2"/>
  <c r="Q463" i="2" s="1"/>
  <c r="P458" i="2"/>
  <c r="Q458" i="2" s="1"/>
  <c r="P453" i="2"/>
  <c r="Q453" i="2" s="1"/>
  <c r="P451" i="2"/>
  <c r="Q451" i="2" s="1"/>
  <c r="P441" i="2"/>
  <c r="Q441" i="2" s="1"/>
  <c r="P438" i="2"/>
  <c r="Q438" i="2" s="1"/>
  <c r="P431" i="2"/>
  <c r="Q431" i="2" s="1"/>
  <c r="P426" i="2"/>
  <c r="Q426" i="2" s="1"/>
  <c r="P421" i="2"/>
  <c r="Q421" i="2" s="1"/>
  <c r="P419" i="2"/>
  <c r="Q419" i="2" s="1"/>
  <c r="P412" i="2"/>
  <c r="Q412" i="2" s="1"/>
  <c r="P404" i="2"/>
  <c r="Q404" i="2" s="1"/>
  <c r="P396" i="2"/>
  <c r="Q396" i="2" s="1"/>
  <c r="P388" i="2"/>
  <c r="Q388" i="2" s="1"/>
  <c r="P380" i="2"/>
  <c r="Q380" i="2" s="1"/>
  <c r="P372" i="2"/>
  <c r="Q372" i="2" s="1"/>
  <c r="P364" i="2"/>
  <c r="Q364" i="2" s="1"/>
  <c r="P360" i="2"/>
  <c r="Q360" i="2" s="1"/>
  <c r="P356" i="2"/>
  <c r="Q356" i="2" s="1"/>
  <c r="P351" i="2"/>
  <c r="Q351" i="2" s="1"/>
  <c r="P346" i="2"/>
  <c r="Q346" i="2" s="1"/>
  <c r="P344" i="2"/>
  <c r="Q344" i="2" s="1"/>
  <c r="P334" i="2"/>
  <c r="Q334" i="2" s="1"/>
  <c r="P333" i="2"/>
  <c r="Q333" i="2" s="1"/>
  <c r="P328" i="2"/>
  <c r="Q328" i="2" s="1"/>
  <c r="P315" i="2"/>
  <c r="Q315" i="2" s="1"/>
  <c r="P300" i="2"/>
  <c r="Q300" i="2" s="1"/>
  <c r="P295" i="2"/>
  <c r="Q295" i="2" s="1"/>
  <c r="P290" i="2"/>
  <c r="Q290" i="2" s="1"/>
  <c r="P288" i="2"/>
  <c r="Q288" i="2" s="1"/>
  <c r="P276" i="2"/>
  <c r="Q276" i="2" s="1"/>
  <c r="P271" i="2"/>
  <c r="Q271" i="2" s="1"/>
  <c r="P250" i="2"/>
  <c r="Q250" i="2" s="1"/>
  <c r="P249" i="2"/>
  <c r="Q249" i="2" s="1"/>
  <c r="P246" i="2"/>
  <c r="Q246" i="2" s="1"/>
  <c r="P243" i="2"/>
  <c r="Q243" i="2" s="1"/>
  <c r="P206" i="2"/>
  <c r="Q206" i="2" s="1"/>
  <c r="P205" i="2"/>
  <c r="Q205" i="2" s="1"/>
  <c r="P197" i="2"/>
  <c r="Q197" i="2" s="1"/>
  <c r="P170" i="2"/>
  <c r="Q170" i="2" s="1"/>
  <c r="P169" i="2"/>
  <c r="Q169" i="2" s="1"/>
  <c r="P166" i="2"/>
  <c r="Q166" i="2" s="1"/>
  <c r="P163" i="2"/>
  <c r="Q163" i="2" s="1"/>
  <c r="P126" i="2"/>
  <c r="Q126" i="2" s="1"/>
  <c r="P125" i="2"/>
  <c r="Q125" i="2" s="1"/>
  <c r="P120" i="2"/>
  <c r="Q120" i="2" s="1"/>
  <c r="P107" i="2"/>
  <c r="Q107" i="2" s="1"/>
  <c r="P92" i="2"/>
  <c r="Q92" i="2" s="1"/>
  <c r="P77" i="2"/>
  <c r="Q77" i="2" s="1"/>
  <c r="P87" i="2"/>
  <c r="Q87" i="2" s="1"/>
  <c r="P82" i="2"/>
  <c r="Q82" i="2" s="1"/>
  <c r="P80" i="2"/>
  <c r="Q80" i="2" s="1"/>
  <c r="P70" i="2"/>
  <c r="Q70" i="2" s="1"/>
  <c r="P67" i="2"/>
  <c r="Q67" i="2" s="1"/>
  <c r="P60" i="2"/>
  <c r="Q60" i="2" s="1"/>
  <c r="P55" i="2"/>
  <c r="Q55" i="2" s="1"/>
  <c r="P50" i="2"/>
  <c r="Q50" i="2" s="1"/>
  <c r="P48" i="2"/>
  <c r="Q48" i="2" s="1"/>
  <c r="P38" i="2"/>
  <c r="Q38" i="2" s="1"/>
  <c r="P35" i="2"/>
  <c r="Q35" i="2" s="1"/>
  <c r="P326" i="2"/>
  <c r="Q326" i="2" s="1"/>
  <c r="P323" i="2"/>
  <c r="Q323" i="2" s="1"/>
  <c r="P316" i="2"/>
  <c r="Q316" i="2" s="1"/>
  <c r="P311" i="2"/>
  <c r="Q311" i="2" s="1"/>
  <c r="P306" i="2"/>
  <c r="Q306" i="2" s="1"/>
  <c r="P304" i="2"/>
  <c r="Q304" i="2" s="1"/>
  <c r="P294" i="2"/>
  <c r="Q294" i="2" s="1"/>
  <c r="P291" i="2"/>
  <c r="Q291" i="2" s="1"/>
  <c r="P284" i="2"/>
  <c r="Q284" i="2" s="1"/>
  <c r="P279" i="2"/>
  <c r="Q279" i="2" s="1"/>
  <c r="P274" i="2"/>
  <c r="Q274" i="2" s="1"/>
  <c r="P272" i="2"/>
  <c r="Q272" i="2" s="1"/>
  <c r="P262" i="2"/>
  <c r="Q262" i="2" s="1"/>
  <c r="P259" i="2"/>
  <c r="Q259" i="2" s="1"/>
  <c r="P252" i="2"/>
  <c r="Q252" i="2" s="1"/>
  <c r="P247" i="2"/>
  <c r="Q247" i="2" s="1"/>
  <c r="P242" i="2"/>
  <c r="Q242" i="2" s="1"/>
  <c r="P240" i="2"/>
  <c r="Q240" i="2" s="1"/>
  <c r="P230" i="2"/>
  <c r="Q230" i="2" s="1"/>
  <c r="P227" i="2"/>
  <c r="Q227" i="2" s="1"/>
  <c r="P220" i="2"/>
  <c r="Q220" i="2" s="1"/>
  <c r="P215" i="2"/>
  <c r="Q215" i="2" s="1"/>
  <c r="P210" i="2"/>
  <c r="Q210" i="2" s="1"/>
  <c r="P208" i="2"/>
  <c r="Q208" i="2" s="1"/>
  <c r="P200" i="2"/>
  <c r="Q200" i="2" s="1"/>
  <c r="P192" i="2"/>
  <c r="Q192" i="2" s="1"/>
  <c r="P182" i="2"/>
  <c r="Q182" i="2" s="1"/>
  <c r="P179" i="2"/>
  <c r="Q179" i="2" s="1"/>
  <c r="P172" i="2"/>
  <c r="Q172" i="2" s="1"/>
  <c r="P167" i="2"/>
  <c r="Q167" i="2" s="1"/>
  <c r="P162" i="2"/>
  <c r="Q162" i="2" s="1"/>
  <c r="P160" i="2"/>
  <c r="Q160" i="2" s="1"/>
  <c r="P150" i="2"/>
  <c r="Q150" i="2" s="1"/>
  <c r="P147" i="2"/>
  <c r="Q147" i="2" s="1"/>
  <c r="P140" i="2"/>
  <c r="Q140" i="2" s="1"/>
  <c r="P135" i="2"/>
  <c r="Q135" i="2" s="1"/>
  <c r="P130" i="2"/>
  <c r="Q130" i="2" s="1"/>
  <c r="P128" i="2"/>
  <c r="Q128" i="2" s="1"/>
  <c r="P118" i="2"/>
  <c r="Q118" i="2" s="1"/>
  <c r="P115" i="2"/>
  <c r="Q115" i="2" s="1"/>
  <c r="P108" i="2"/>
  <c r="Q108" i="2" s="1"/>
  <c r="P103" i="2"/>
  <c r="Q103" i="2" s="1"/>
  <c r="P98" i="2"/>
  <c r="Q98" i="2" s="1"/>
  <c r="P96" i="2"/>
  <c r="Q96" i="2" s="1"/>
  <c r="P86" i="2"/>
  <c r="Q86" i="2" s="1"/>
  <c r="P83" i="2"/>
  <c r="Q83" i="2" s="1"/>
  <c r="P76" i="2"/>
  <c r="Q76" i="2" s="1"/>
  <c r="P71" i="2"/>
  <c r="Q71" i="2" s="1"/>
  <c r="P66" i="2"/>
  <c r="Q66" i="2" s="1"/>
  <c r="P64" i="2"/>
  <c r="Q64" i="2" s="1"/>
  <c r="P54" i="2"/>
  <c r="Q54" i="2" s="1"/>
  <c r="P51" i="2"/>
  <c r="Q51" i="2" s="1"/>
  <c r="P44" i="2"/>
  <c r="Q44" i="2" s="1"/>
  <c r="P39" i="2"/>
  <c r="Q39" i="2" s="1"/>
  <c r="P34" i="2"/>
  <c r="Q34" i="2" s="1"/>
  <c r="P32" i="2"/>
  <c r="Q32" i="2" s="1"/>
  <c r="P827" i="2"/>
  <c r="Q827" i="2" s="1"/>
  <c r="P811" i="2"/>
  <c r="Q811" i="2" s="1"/>
  <c r="P795" i="2"/>
  <c r="Q795" i="2" s="1"/>
  <c r="P779" i="2"/>
  <c r="Q779" i="2" s="1"/>
  <c r="P763" i="2"/>
  <c r="Q763" i="2" s="1"/>
  <c r="P747" i="2"/>
  <c r="Q747" i="2" s="1"/>
  <c r="P731" i="2"/>
  <c r="Q731" i="2" s="1"/>
  <c r="P715" i="2"/>
  <c r="Q715" i="2" s="1"/>
  <c r="P699" i="2"/>
  <c r="Q699" i="2" s="1"/>
  <c r="P683" i="2"/>
  <c r="Q683" i="2" s="1"/>
  <c r="P667" i="2"/>
  <c r="Q667" i="2" s="1"/>
  <c r="P651" i="2"/>
  <c r="Q651" i="2" s="1"/>
  <c r="P635" i="2"/>
  <c r="Q635" i="2" s="1"/>
  <c r="P619" i="2"/>
  <c r="Q619" i="2" s="1"/>
  <c r="P603" i="2"/>
  <c r="Q603" i="2" s="1"/>
  <c r="P587" i="2"/>
  <c r="Q587" i="2" s="1"/>
  <c r="P571" i="2"/>
  <c r="Q571" i="2" s="1"/>
  <c r="P562" i="2"/>
  <c r="Q562" i="2" s="1"/>
  <c r="P570" i="2"/>
  <c r="Q570" i="2" s="1"/>
  <c r="P563" i="2"/>
  <c r="Q563" i="2" s="1"/>
  <c r="P191" i="2"/>
  <c r="Q191" i="2" s="1"/>
  <c r="Q2" i="2" l="1"/>
  <c r="Q85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2155D65-4016-4B41-BDFD-5998DF28B019}" keepAlive="1" name="Consulta - gemini-code-1787702791259" description="Conexión a la consulta 'gemini-code-1787702791259' en el libro." type="5" refreshedVersion="8" background="1" saveData="1">
    <dbPr connection="Provider=Microsoft.Mashup.OleDb.1;Data Source=$Workbook$;Location=gemini-code-1787702791259;Extended Properties=&quot;&quot;" command="SELECT * FROM [gemini-code-1787702791259]"/>
  </connection>
</connections>
</file>

<file path=xl/sharedStrings.xml><?xml version="1.0" encoding="utf-8"?>
<sst xmlns="http://schemas.openxmlformats.org/spreadsheetml/2006/main" count="6563" uniqueCount="109">
  <si>
    <t>ID_Transaccion</t>
  </si>
  <si>
    <t>Fecha</t>
  </si>
  <si>
    <t>Ciudad</t>
  </si>
  <si>
    <t>CD_Origen</t>
  </si>
  <si>
    <t>Canal</t>
  </si>
  <si>
    <t>Categoria</t>
  </si>
  <si>
    <t>Producto</t>
  </si>
  <si>
    <t>Cantidad</t>
  </si>
  <si>
    <t>Precio_Unitario_USD</t>
  </si>
  <si>
    <t>Costo_Unitario_USD</t>
  </si>
  <si>
    <t>Dias_Entrega</t>
  </si>
  <si>
    <t>Promesa_SLA_Dias</t>
  </si>
  <si>
    <t>Presupuesto_Meta_USD</t>
  </si>
  <si>
    <t>ORD-2001</t>
  </si>
  <si>
    <t>Pasto</t>
  </si>
  <si>
    <t>CD Norte (Pasto)</t>
  </si>
  <si>
    <t>Online</t>
  </si>
  <si>
    <t>Electro</t>
  </si>
  <si>
    <t>Laptop Pro 15</t>
  </si>
  <si>
    <t>ORD-2002</t>
  </si>
  <si>
    <t>Bogota</t>
  </si>
  <si>
    <t>CD Centro</t>
  </si>
  <si>
    <t>Tienda Fisica</t>
  </si>
  <si>
    <t>Moda</t>
  </si>
  <si>
    <t>Chaqueta Cuero</t>
  </si>
  <si>
    <t>ORD-2003</t>
  </si>
  <si>
    <t>Cali</t>
  </si>
  <si>
    <t>CD Sur</t>
  </si>
  <si>
    <t>Hogar</t>
  </si>
  <si>
    <t>Cafetera Express</t>
  </si>
  <si>
    <t>ORD-2004</t>
  </si>
  <si>
    <t>Calzado</t>
  </si>
  <si>
    <t>Tenis Running</t>
  </si>
  <si>
    <t>ORD-2005</t>
  </si>
  <si>
    <t>Smartphone X</t>
  </si>
  <si>
    <t>ORD-2006</t>
  </si>
  <si>
    <t>Jean Slim Fit</t>
  </si>
  <si>
    <t>ORD-2007</t>
  </si>
  <si>
    <t>Aspiradora Robot</t>
  </si>
  <si>
    <t>ORD-2008</t>
  </si>
  <si>
    <t>Botas Moto</t>
  </si>
  <si>
    <t>ORD-2009</t>
  </si>
  <si>
    <t>Smart TV 55</t>
  </si>
  <si>
    <t>ORD-2010</t>
  </si>
  <si>
    <t>Camisa Lino</t>
  </si>
  <si>
    <t>ORD-2011</t>
  </si>
  <si>
    <t>Juego Comedor</t>
  </si>
  <si>
    <t>ORD-2012</t>
  </si>
  <si>
    <t>Sandalias</t>
  </si>
  <si>
    <t>ORD-2013</t>
  </si>
  <si>
    <t>Tablet 10</t>
  </si>
  <si>
    <t>ORD-2014</t>
  </si>
  <si>
    <t>Saco Lana</t>
  </si>
  <si>
    <t>ORD-2015</t>
  </si>
  <si>
    <t>Escritorio Pro</t>
  </si>
  <si>
    <t>ORD-2016</t>
  </si>
  <si>
    <t>Tenis Urbano</t>
  </si>
  <si>
    <t>ORD-2017</t>
  </si>
  <si>
    <t>Audifonos BT</t>
  </si>
  <si>
    <t>ORD-2018</t>
  </si>
  <si>
    <t>Vestido Formal</t>
  </si>
  <si>
    <t>ORD-2019</t>
  </si>
  <si>
    <t>Lámpara LED</t>
  </si>
  <si>
    <t>ORD-2020</t>
  </si>
  <si>
    <t>Zapatos Formales</t>
  </si>
  <si>
    <t>ORD-2021</t>
  </si>
  <si>
    <t>Consola Videojuegos</t>
  </si>
  <si>
    <t>ORD-2022</t>
  </si>
  <si>
    <t>Chaqueta Impermeable</t>
  </si>
  <si>
    <t>ORD-2023</t>
  </si>
  <si>
    <t>Silla Ergonomica</t>
  </si>
  <si>
    <t>ORD-2024</t>
  </si>
  <si>
    <t>Tenis Deportivo</t>
  </si>
  <si>
    <t>ORD-2025</t>
  </si>
  <si>
    <t>Monitor 27</t>
  </si>
  <si>
    <t>ORD-2026</t>
  </si>
  <si>
    <t>Buzo Hooded</t>
  </si>
  <si>
    <t>ORD-2027</t>
  </si>
  <si>
    <t>Cama King</t>
  </si>
  <si>
    <t>ORD-2028</t>
  </si>
  <si>
    <t>Botines Cuero</t>
  </si>
  <si>
    <t>ORD-2029</t>
  </si>
  <si>
    <t>Teclado Mecanico</t>
  </si>
  <si>
    <t>ORD-2030</t>
  </si>
  <si>
    <t>Pantalón Cargo</t>
  </si>
  <si>
    <t>venta total</t>
  </si>
  <si>
    <t>Costo total</t>
  </si>
  <si>
    <t>Ganancia bruta</t>
  </si>
  <si>
    <t>margen %</t>
  </si>
  <si>
    <t>Estado SLA</t>
  </si>
  <si>
    <t>Etiquetas de fila</t>
  </si>
  <si>
    <t>Total general</t>
  </si>
  <si>
    <t>Suma de Ganancia bruta</t>
  </si>
  <si>
    <t>Suma de venta total</t>
  </si>
  <si>
    <t>Margen de ponderado</t>
  </si>
  <si>
    <t>Variacion presupuestal.</t>
  </si>
  <si>
    <t>Cuenta de ID_Transaccion</t>
  </si>
  <si>
    <t>Análisis de Rentabilidad y Portafolio (Mix de Producto</t>
  </si>
  <si>
    <t>Presupuesto_Meta_USD.</t>
  </si>
  <si>
    <t>venta total.</t>
  </si>
  <si>
    <t xml:space="preserve"> Control de Gestión y Diagnóstico de Varianza (MIS):</t>
  </si>
  <si>
    <t>Mezcla de Producto (Product Mix Shift)</t>
  </si>
  <si>
    <t>A tiempo</t>
  </si>
  <si>
    <t>Fuera de SLA</t>
  </si>
  <si>
    <t/>
  </si>
  <si>
    <t>Total A tiempo</t>
  </si>
  <si>
    <t>Total Fuera de SLA</t>
  </si>
  <si>
    <t>Concentración del Riesgo Operacional por Sede</t>
  </si>
  <si>
    <t>Impacto Financiero del Incumplimiento Operativo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</si>
</sst>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%"/>
    <numFmt numFmtId="165" formatCode="&quot;$&quot;\ #,##0.00"/>
    <numFmt numFmtId="166" formatCode="&quot;$&quot;\ #,##0.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"/>
      <family val="2"/>
    </font>
    <font>
      <b/>
      <sz val="14"/>
      <color theme="1"/>
      <name val="Aptos"/>
      <family val="2"/>
    </font>
    <font>
      <b/>
      <sz val="14"/>
      <color theme="1"/>
      <name val="Aptos Display"/>
      <family val="2"/>
      <scheme val="maj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/>
        <bgColor indexed="64"/>
      </patternFill>
    </fill>
  </fills>
  <borders count="14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1">
    <xf numFmtId="0" fontId="0" fillId="0" borderId="0" xfId="0"/>
    <xf numFmtId="14" fontId="0" fillId="0" borderId="0" xfId="0" applyNumberFormat="1"/>
    <xf numFmtId="9" fontId="0" fillId="0" borderId="0" xfId="1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44" fontId="0" fillId="0" borderId="0" xfId="3" applyFont="1"/>
    <xf numFmtId="0" fontId="0" fillId="0" borderId="10" xfId="0" pivotButton="1" applyBorder="1"/>
    <xf numFmtId="0" fontId="0" fillId="0" borderId="10" xfId="0" applyBorder="1"/>
    <xf numFmtId="0" fontId="0" fillId="0" borderId="10" xfId="0" applyBorder="1" applyAlignment="1">
      <alignment horizontal="left"/>
    </xf>
    <xf numFmtId="44" fontId="0" fillId="0" borderId="10" xfId="0" applyNumberFormat="1" applyBorder="1"/>
    <xf numFmtId="164" fontId="0" fillId="0" borderId="10" xfId="0" applyNumberFormat="1" applyBorder="1"/>
    <xf numFmtId="44" fontId="1" fillId="0" borderId="0" xfId="3" applyFont="1"/>
    <xf numFmtId="43" fontId="0" fillId="0" borderId="0" xfId="2" applyFont="1"/>
    <xf numFmtId="165" fontId="0" fillId="0" borderId="10" xfId="0" applyNumberFormat="1" applyBorder="1"/>
    <xf numFmtId="166" fontId="0" fillId="0" borderId="10" xfId="0" applyNumberFormat="1" applyBorder="1"/>
    <xf numFmtId="10" fontId="0" fillId="0" borderId="10" xfId="0" applyNumberFormat="1" applyBorder="1"/>
    <xf numFmtId="0" fontId="0" fillId="0" borderId="10" xfId="0" applyBorder="1" applyAlignment="1">
      <alignment horizontal="left" indent="1"/>
    </xf>
    <xf numFmtId="0" fontId="3" fillId="0" borderId="0" xfId="0" applyFont="1"/>
    <xf numFmtId="0" fontId="0" fillId="0" borderId="10" xfId="0" applyBorder="1" applyAlignment="1">
      <alignment horizontal="center"/>
    </xf>
    <xf numFmtId="0" fontId="6" fillId="3" borderId="10" xfId="0" applyFont="1" applyFill="1" applyBorder="1"/>
    <xf numFmtId="44" fontId="6" fillId="4" borderId="10" xfId="0" applyNumberFormat="1" applyFont="1" applyFill="1" applyBorder="1"/>
    <xf numFmtId="10" fontId="6" fillId="4" borderId="10" xfId="0" applyNumberFormat="1" applyFont="1" applyFill="1" applyBorder="1"/>
    <xf numFmtId="0" fontId="5" fillId="2" borderId="11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5" fillId="2" borderId="13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13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</cellXfs>
  <cellStyles count="4">
    <cellStyle name="Millares" xfId="2" builtinId="3"/>
    <cellStyle name="Moneda" xfId="3" builtinId="4"/>
    <cellStyle name="Normal" xfId="0" builtinId="0"/>
    <cellStyle name="Porcentaje" xfId="1" builtinId="5"/>
  </cellStyles>
  <dxfs count="8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9" formatCode="d/mm/yyyy"/>
    </dxf>
    <dxf>
      <fill>
        <patternFill>
          <bgColor theme="5"/>
        </patternFill>
      </fill>
    </dxf>
    <dxf>
      <numFmt numFmtId="14" formatCode="0.00%"/>
    </dxf>
    <dxf>
      <font>
        <color auto="1"/>
      </font>
    </dxf>
    <dxf>
      <fill>
        <patternFill patternType="solid">
          <bgColor rgb="FFFF0000"/>
        </patternFill>
      </fill>
    </dxf>
    <dxf>
      <font>
        <color rgb="FFFF000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5"/>
        </patternFill>
      </fill>
    </dxf>
    <dxf>
      <font>
        <color auto="1"/>
      </font>
    </dxf>
    <dxf>
      <fill>
        <patternFill patternType="solid">
          <bgColor rgb="FFFF0000"/>
        </patternFill>
      </fill>
    </dxf>
    <dxf>
      <font>
        <color rgb="FFFF000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fill>
        <patternFill>
          <bgColor theme="5" tint="0.39997558519241921"/>
        </patternFill>
      </fill>
    </dxf>
    <dxf>
      <font>
        <color auto="1"/>
      </font>
    </dxf>
    <dxf>
      <fill>
        <patternFill patternType="solid">
          <bgColor rgb="FFFF0000"/>
        </patternFill>
      </fill>
    </dxf>
    <dxf>
      <font>
        <color rgb="FFFF000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numFmt numFmtId="166" formatCode="&quot;$&quot;\ #,##0.0"/>
    </dxf>
    <dxf>
      <numFmt numFmtId="165" formatCode="&quot;$&quot;\ 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[Auditoría Integral de Margen Contributivo, Eficiencia de Capital y SLA Operativo.xlsx]Tablas Dinamicas!TablaDinámica1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'Tablas Dinamicas'!$C$6</c:f>
              <c:strCache>
                <c:ptCount val="1"/>
                <c:pt idx="0">
                  <c:v>Suma de venta 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'Tablas Dinamicas'!$B$7:$B$11</c:f>
              <c:strCache>
                <c:ptCount val="4"/>
                <c:pt idx="0">
                  <c:v>Moda</c:v>
                </c:pt>
                <c:pt idx="1">
                  <c:v>Calzado</c:v>
                </c:pt>
                <c:pt idx="2">
                  <c:v>Hogar</c:v>
                </c:pt>
                <c:pt idx="3">
                  <c:v>Electro</c:v>
                </c:pt>
              </c:strCache>
            </c:strRef>
          </c:cat>
          <c:val>
            <c:numRef>
              <c:f>'Tablas Dinamicas'!$C$7:$C$11</c:f>
              <c:numCache>
                <c:formatCode>_("$"* #,##0.00_);_("$"* \(#,##0.00\);_("$"* "-"??_);_(@_)</c:formatCode>
                <c:ptCount val="4"/>
                <c:pt idx="0">
                  <c:v>111240</c:v>
                </c:pt>
                <c:pt idx="1">
                  <c:v>128680</c:v>
                </c:pt>
                <c:pt idx="2">
                  <c:v>121830</c:v>
                </c:pt>
                <c:pt idx="3">
                  <c:v>321300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26-4F9D-9A00-821D0635FAD1}"/>
            </c:ext>
          </c:extLst>
        </c:ser>
        <c:ser>
          <c:idx val="1"/>
          <c:order val="1"/>
          <c:tx>
            <c:strRef>
              <c:f>'Tablas Dinamicas'!$D$6</c:f>
              <c:strCache>
                <c:ptCount val="1"/>
                <c:pt idx="0">
                  <c:v>Suma de Ganancia bruta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'Tablas Dinamicas'!$B$7:$B$11</c:f>
              <c:strCache>
                <c:ptCount val="4"/>
                <c:pt idx="0">
                  <c:v>Moda</c:v>
                </c:pt>
                <c:pt idx="1">
                  <c:v>Calzado</c:v>
                </c:pt>
                <c:pt idx="2">
                  <c:v>Hogar</c:v>
                </c:pt>
                <c:pt idx="3">
                  <c:v>Electro</c:v>
                </c:pt>
              </c:strCache>
            </c:strRef>
          </c:cat>
          <c:val>
            <c:numRef>
              <c:f>'Tablas Dinamicas'!$D$7:$D$11</c:f>
              <c:numCache>
                <c:formatCode>_("$"* #,##0.00_);_("$"* \(#,##0.00\);_("$"* "-"??_);_(@_)</c:formatCode>
                <c:ptCount val="4"/>
                <c:pt idx="0">
                  <c:v>57084</c:v>
                </c:pt>
                <c:pt idx="1">
                  <c:v>61300</c:v>
                </c:pt>
                <c:pt idx="2">
                  <c:v>49230</c:v>
                </c:pt>
                <c:pt idx="3">
                  <c:v>106320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26-4F9D-9A00-821D0635FA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91876496"/>
        <c:axId val="1191877456"/>
      </c:barChart>
      <c:lineChart>
        <c:grouping val="standard"/>
        <c:varyColors val="0"/>
        <c:ser>
          <c:idx val="2"/>
          <c:order val="2"/>
          <c:tx>
            <c:strRef>
              <c:f>'Tablas Dinamicas'!$E$6</c:f>
              <c:strCache>
                <c:ptCount val="1"/>
                <c:pt idx="0">
                  <c:v>Margen de ponderado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'Tablas Dinamicas'!$B$7:$B$11</c:f>
              <c:strCache>
                <c:ptCount val="4"/>
                <c:pt idx="0">
                  <c:v>Moda</c:v>
                </c:pt>
                <c:pt idx="1">
                  <c:v>Calzado</c:v>
                </c:pt>
                <c:pt idx="2">
                  <c:v>Hogar</c:v>
                </c:pt>
                <c:pt idx="3">
                  <c:v>Electro</c:v>
                </c:pt>
              </c:strCache>
            </c:strRef>
          </c:cat>
          <c:val>
            <c:numRef>
              <c:f>'Tablas Dinamicas'!$E$7:$E$11</c:f>
              <c:numCache>
                <c:formatCode>0.0%</c:formatCode>
                <c:ptCount val="4"/>
                <c:pt idx="0">
                  <c:v>0.51316073354908309</c:v>
                </c:pt>
                <c:pt idx="1">
                  <c:v>0.47637550512900217</c:v>
                </c:pt>
                <c:pt idx="2">
                  <c:v>0.40408766313715833</c:v>
                </c:pt>
                <c:pt idx="3">
                  <c:v>0.33090569561157795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F26-4F9D-9A00-821D0635FA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6042512"/>
        <c:axId val="1198322800"/>
      </c:lineChart>
      <c:catAx>
        <c:axId val="1191876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91877456"/>
        <c:crosses val="autoZero"/>
        <c:auto val="1"/>
        <c:lblAlgn val="ctr"/>
        <c:lblOffset val="100"/>
        <c:noMultiLvlLbl val="0"/>
      </c:catAx>
      <c:valAx>
        <c:axId val="1191877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91876496"/>
        <c:crosses val="autoZero"/>
        <c:crossBetween val="between"/>
      </c:valAx>
      <c:valAx>
        <c:axId val="1198322800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86042512"/>
        <c:crosses val="max"/>
        <c:crossBetween val="between"/>
      </c:valAx>
      <c:catAx>
        <c:axId val="10860425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983228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[Auditoría Integral de Margen Contributivo, Eficiencia de Capital y SLA Operativo.xlsx]Tablas Dinamicas!TablaDinámica2</c:name>
    <c:fmtId val="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'Tablas Dinamicas'!$C$25</c:f>
              <c:strCache>
                <c:ptCount val="1"/>
                <c:pt idx="0">
                  <c:v>Presupuesto_Meta_USD.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'Tablas Dinamicas'!$B$26:$B$29</c:f>
              <c:strCache>
                <c:ptCount val="3"/>
                <c:pt idx="0">
                  <c:v>CD Centro</c:v>
                </c:pt>
                <c:pt idx="1">
                  <c:v>CD Norte (Pasto)</c:v>
                </c:pt>
                <c:pt idx="2">
                  <c:v>CD Sur</c:v>
                </c:pt>
              </c:strCache>
            </c:strRef>
          </c:cat>
          <c:val>
            <c:numRef>
              <c:f>'Tablas Dinamicas'!$C$26:$C$29</c:f>
              <c:numCache>
                <c:formatCode>"$"\ #,##0.00</c:formatCode>
                <c:ptCount val="3"/>
                <c:pt idx="0">
                  <c:v>226300</c:v>
                </c:pt>
                <c:pt idx="1">
                  <c:v>215500</c:v>
                </c:pt>
                <c:pt idx="2">
                  <c:v>189750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A9-442E-81D1-716E0A0CEDF5}"/>
            </c:ext>
          </c:extLst>
        </c:ser>
        <c:ser>
          <c:idx val="1"/>
          <c:order val="1"/>
          <c:tx>
            <c:strRef>
              <c:f>'Tablas Dinamicas'!$D$25</c:f>
              <c:strCache>
                <c:ptCount val="1"/>
                <c:pt idx="0">
                  <c:v>venta total.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'Tablas Dinamicas'!$B$26:$B$29</c:f>
              <c:strCache>
                <c:ptCount val="3"/>
                <c:pt idx="0">
                  <c:v>CD Centro</c:v>
                </c:pt>
                <c:pt idx="1">
                  <c:v>CD Norte (Pasto)</c:v>
                </c:pt>
                <c:pt idx="2">
                  <c:v>CD Sur</c:v>
                </c:pt>
              </c:strCache>
            </c:strRef>
          </c:cat>
          <c:val>
            <c:numRef>
              <c:f>'Tablas Dinamicas'!$D$26:$D$29</c:f>
              <c:numCache>
                <c:formatCode>_("$"* #,##0.00_);_("$"* \(#,##0.00\);_("$"* "-"??_);_(@_)</c:formatCode>
                <c:ptCount val="3"/>
                <c:pt idx="0">
                  <c:v>248040</c:v>
                </c:pt>
                <c:pt idx="1">
                  <c:v>235960</c:v>
                </c:pt>
                <c:pt idx="2">
                  <c:v>199050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A9-442E-81D1-716E0A0CEDF5}"/>
            </c:ext>
          </c:extLst>
        </c:ser>
        <c:ser>
          <c:idx val="2"/>
          <c:order val="2"/>
          <c:tx>
            <c:strRef>
              <c:f>'Tablas Dinamicas'!$E$25</c:f>
              <c:strCache>
                <c:ptCount val="1"/>
                <c:pt idx="0">
                  <c:v>Variacion presupuestal.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'Tablas Dinamicas'!$B$26:$B$29</c:f>
              <c:strCache>
                <c:ptCount val="3"/>
                <c:pt idx="0">
                  <c:v>CD Centro</c:v>
                </c:pt>
                <c:pt idx="1">
                  <c:v>CD Norte (Pasto)</c:v>
                </c:pt>
                <c:pt idx="2">
                  <c:v>CD Sur</c:v>
                </c:pt>
              </c:strCache>
            </c:strRef>
          </c:cat>
          <c:val>
            <c:numRef>
              <c:f>'Tablas Dinamicas'!$E$26:$E$29</c:f>
              <c:numCache>
                <c:formatCode>"$"\ #,##0.0</c:formatCode>
                <c:ptCount val="3"/>
                <c:pt idx="0">
                  <c:v>21740</c:v>
                </c:pt>
                <c:pt idx="1">
                  <c:v>20460</c:v>
                </c:pt>
                <c:pt idx="2">
                  <c:v>9300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CA9-442E-81D1-716E0A0CED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98907984"/>
        <c:axId val="698909904"/>
        <c:axId val="0"/>
      </c:bar3DChart>
      <c:catAx>
        <c:axId val="698907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98909904"/>
        <c:crosses val="autoZero"/>
        <c:auto val="1"/>
        <c:lblAlgn val="ctr"/>
        <c:lblOffset val="100"/>
        <c:noMultiLvlLbl val="0"/>
      </c:catAx>
      <c:valAx>
        <c:axId val="69890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98907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rgbClr val="0070C0"/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[Auditoría Integral de Margen Contributivo, Eficiencia de Capital y SLA Operativo.xlsx]Tablas Dinamicas!TablaDinámica3</c:name>
    <c:fmtId val="11"/>
  </c:pivotSource>
  <c:chart>
    <c:autoTitleDeleted val="0"/>
    <c:pivotFmts>
      <c:pivotFmt>
        <c:idx val="0"/>
        <c:spPr>
          <a:solidFill>
            <a:schemeClr val="accent1"/>
          </a:solidFill>
          <a:ln>
            <a:solidFill>
              <a:schemeClr val="accent3">
                <a:lumMod val="40000"/>
                <a:lumOff val="6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'Tablas Dinamicas'!$C$40</c:f>
              <c:strCache>
                <c:ptCount val="1"/>
                <c:pt idx="0">
                  <c:v>Suma de venta total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3">
                  <a:lumMod val="40000"/>
                  <a:lumOff val="60000"/>
                </a:schemeClr>
              </a:solidFill>
            </a:ln>
            <a:effectLst/>
          </c:spPr>
          <c:invertIfNegative val="0"/>
          <c:cat>
            <c:multiLvlStrRef>
              <c:f>'Tablas Dinamicas'!$B$41:$B$56</c:f>
              <c:multiLvlStrCache>
                <c:ptCount val="12"/>
                <c:lvl>
                  <c:pt idx="0">
                    <c:v>Calzado</c:v>
                  </c:pt>
                  <c:pt idx="1">
                    <c:v>Electro</c:v>
                  </c:pt>
                  <c:pt idx="2">
                    <c:v>Hogar</c:v>
                  </c:pt>
                  <c:pt idx="3">
                    <c:v>Moda</c:v>
                  </c:pt>
                  <c:pt idx="4">
                    <c:v>Calzado</c:v>
                  </c:pt>
                  <c:pt idx="5">
                    <c:v>Electro</c:v>
                  </c:pt>
                  <c:pt idx="6">
                    <c:v>Hogar</c:v>
                  </c:pt>
                  <c:pt idx="7">
                    <c:v>Moda</c:v>
                  </c:pt>
                  <c:pt idx="8">
                    <c:v>Calzado</c:v>
                  </c:pt>
                  <c:pt idx="9">
                    <c:v>Electro</c:v>
                  </c:pt>
                  <c:pt idx="10">
                    <c:v>Hogar</c:v>
                  </c:pt>
                  <c:pt idx="11">
                    <c:v>Moda</c:v>
                  </c:pt>
                </c:lvl>
                <c:lvl>
                  <c:pt idx="0">
                    <c:v>CD Centro</c:v>
                  </c:pt>
                  <c:pt idx="4">
                    <c:v>CD Norte (Pasto)</c:v>
                  </c:pt>
                  <c:pt idx="8">
                    <c:v>CD Sur</c:v>
                  </c:pt>
                </c:lvl>
              </c:multiLvlStrCache>
            </c:multiLvlStrRef>
          </c:cat>
          <c:val>
            <c:numRef>
              <c:f>'Tablas Dinamicas'!$C$41:$C$56</c:f>
              <c:numCache>
                <c:formatCode>_("$"* #,##0.00_);_("$"* \(#,##0.00\);_("$"* "-"??_);_(@_)</c:formatCode>
                <c:ptCount val="12"/>
                <c:pt idx="0">
                  <c:v>39600</c:v>
                </c:pt>
                <c:pt idx="1">
                  <c:v>121500</c:v>
                </c:pt>
                <c:pt idx="2">
                  <c:v>39240</c:v>
                </c:pt>
                <c:pt idx="3">
                  <c:v>47700</c:v>
                </c:pt>
                <c:pt idx="4">
                  <c:v>53800</c:v>
                </c:pt>
                <c:pt idx="5">
                  <c:v>126360</c:v>
                </c:pt>
                <c:pt idx="6">
                  <c:v>33660</c:v>
                </c:pt>
                <c:pt idx="7">
                  <c:v>22140</c:v>
                </c:pt>
                <c:pt idx="8">
                  <c:v>35280</c:v>
                </c:pt>
                <c:pt idx="9">
                  <c:v>73440</c:v>
                </c:pt>
                <c:pt idx="10">
                  <c:v>48930</c:v>
                </c:pt>
                <c:pt idx="11">
                  <c:v>41400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D8-4FCE-BF7A-7D1741677E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20886960"/>
        <c:axId val="820893200"/>
      </c:barChart>
      <c:lineChart>
        <c:grouping val="standard"/>
        <c:varyColors val="0"/>
        <c:ser>
          <c:idx val="1"/>
          <c:order val="1"/>
          <c:tx>
            <c:strRef>
              <c:f>'Tablas Dinamicas'!$D$40</c:f>
              <c:strCache>
                <c:ptCount val="1"/>
                <c:pt idx="0">
                  <c:v>Cuenta de ID_Transaccion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'Tablas Dinamicas'!$B$41:$B$56</c:f>
              <c:multiLvlStrCache>
                <c:ptCount val="12"/>
                <c:lvl>
                  <c:pt idx="0">
                    <c:v>Calzado</c:v>
                  </c:pt>
                  <c:pt idx="1">
                    <c:v>Electro</c:v>
                  </c:pt>
                  <c:pt idx="2">
                    <c:v>Hogar</c:v>
                  </c:pt>
                  <c:pt idx="3">
                    <c:v>Moda</c:v>
                  </c:pt>
                  <c:pt idx="4">
                    <c:v>Calzado</c:v>
                  </c:pt>
                  <c:pt idx="5">
                    <c:v>Electro</c:v>
                  </c:pt>
                  <c:pt idx="6">
                    <c:v>Hogar</c:v>
                  </c:pt>
                  <c:pt idx="7">
                    <c:v>Moda</c:v>
                  </c:pt>
                  <c:pt idx="8">
                    <c:v>Calzado</c:v>
                  </c:pt>
                  <c:pt idx="9">
                    <c:v>Electro</c:v>
                  </c:pt>
                  <c:pt idx="10">
                    <c:v>Hogar</c:v>
                  </c:pt>
                  <c:pt idx="11">
                    <c:v>Moda</c:v>
                  </c:pt>
                </c:lvl>
                <c:lvl>
                  <c:pt idx="0">
                    <c:v>CD Centro</c:v>
                  </c:pt>
                  <c:pt idx="4">
                    <c:v>CD Norte (Pasto)</c:v>
                  </c:pt>
                  <c:pt idx="8">
                    <c:v>CD Sur</c:v>
                  </c:pt>
                </c:lvl>
              </c:multiLvlStrCache>
            </c:multiLvlStrRef>
          </c:cat>
          <c:val>
            <c:numRef>
              <c:f>'Tablas Dinamicas'!$D$41:$D$56</c:f>
              <c:numCache>
                <c:formatCode>General</c:formatCode>
                <c:ptCount val="12"/>
                <c:pt idx="0">
                  <c:v>72</c:v>
                </c:pt>
                <c:pt idx="1">
                  <c:v>107</c:v>
                </c:pt>
                <c:pt idx="2">
                  <c:v>72</c:v>
                </c:pt>
                <c:pt idx="3">
                  <c:v>108</c:v>
                </c:pt>
                <c:pt idx="4">
                  <c:v>107</c:v>
                </c:pt>
                <c:pt idx="5">
                  <c:v>108</c:v>
                </c:pt>
                <c:pt idx="6">
                  <c:v>72</c:v>
                </c:pt>
                <c:pt idx="7">
                  <c:v>72</c:v>
                </c:pt>
                <c:pt idx="8">
                  <c:v>72</c:v>
                </c:pt>
                <c:pt idx="9">
                  <c:v>72</c:v>
                </c:pt>
                <c:pt idx="10">
                  <c:v>107</c:v>
                </c:pt>
                <c:pt idx="11">
                  <c:v>107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D8-4FCE-BF7A-7D1741677E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0908560"/>
        <c:axId val="820912880"/>
      </c:lineChart>
      <c:catAx>
        <c:axId val="820886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20893200"/>
        <c:crosses val="autoZero"/>
        <c:auto val="1"/>
        <c:lblAlgn val="ctr"/>
        <c:lblOffset val="100"/>
        <c:noMultiLvlLbl val="0"/>
      </c:catAx>
      <c:valAx>
        <c:axId val="820893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20886960"/>
        <c:crosses val="autoZero"/>
        <c:crossBetween val="between"/>
      </c:valAx>
      <c:valAx>
        <c:axId val="82091288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20908560"/>
        <c:crosses val="max"/>
        <c:crossBetween val="between"/>
      </c:valAx>
      <c:catAx>
        <c:axId val="8209085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209128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rgbClr val="0070C0"/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[Auditoría Integral de Margen Contributivo, Eficiencia de Capital y SLA Operativo.xlsx]Tablas Dinamicas!TablaDinámica4</c:name>
    <c:fmtId val="1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'Tablas Dinamicas'!$C$66:$C$68</c:f>
              <c:strCache>
                <c:ptCount val="1"/>
                <c:pt idx="0">
                  <c:v>A tiempo - Online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'Tablas Dinamicas'!$B$69:$B$72</c:f>
              <c:strCache>
                <c:ptCount val="3"/>
                <c:pt idx="0">
                  <c:v>CD Centro</c:v>
                </c:pt>
                <c:pt idx="1">
                  <c:v>CD Norte (Pasto)</c:v>
                </c:pt>
                <c:pt idx="2">
                  <c:v>CD Sur</c:v>
                </c:pt>
              </c:strCache>
            </c:strRef>
          </c:cat>
          <c:val>
            <c:numRef>
              <c:f>'Tablas Dinamicas'!$C$69:$C$72</c:f>
              <c:numCache>
                <c:formatCode>General</c:formatCode>
                <c:ptCount val="3"/>
                <c:pt idx="0">
                  <c:v>180</c:v>
                </c:pt>
                <c:pt idx="1">
                  <c:v>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0E-4287-96A9-0699577D7298}"/>
            </c:ext>
          </c:extLst>
        </c:ser>
        <c:ser>
          <c:idx val="1"/>
          <c:order val="1"/>
          <c:tx>
            <c:strRef>
              <c:f>'Tablas Dinamicas'!$D$66:$D$68</c:f>
              <c:strCache>
                <c:ptCount val="1"/>
                <c:pt idx="0">
                  <c:v>A tiempo - Tienda Fisica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'Tablas Dinamicas'!$B$69:$B$72</c:f>
              <c:strCache>
                <c:ptCount val="3"/>
                <c:pt idx="0">
                  <c:v>CD Centro</c:v>
                </c:pt>
                <c:pt idx="1">
                  <c:v>CD Norte (Pasto)</c:v>
                </c:pt>
                <c:pt idx="2">
                  <c:v>CD Sur</c:v>
                </c:pt>
              </c:strCache>
            </c:strRef>
          </c:cat>
          <c:val>
            <c:numRef>
              <c:f>'Tablas Dinamicas'!$D$69:$D$72</c:f>
              <c:numCache>
                <c:formatCode>General</c:formatCode>
                <c:ptCount val="3"/>
                <c:pt idx="0">
                  <c:v>143</c:v>
                </c:pt>
                <c:pt idx="1">
                  <c:v>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0E-4287-96A9-0699577D7298}"/>
            </c:ext>
          </c:extLst>
        </c:ser>
        <c:ser>
          <c:idx val="2"/>
          <c:order val="2"/>
          <c:tx>
            <c:strRef>
              <c:f>'Tablas Dinamicas'!$F$66:$F$68</c:f>
              <c:strCache>
                <c:ptCount val="1"/>
                <c:pt idx="0">
                  <c:v>Fuera de SLA - Online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'Tablas Dinamicas'!$B$69:$B$72</c:f>
              <c:strCache>
                <c:ptCount val="3"/>
                <c:pt idx="0">
                  <c:v>CD Centro</c:v>
                </c:pt>
                <c:pt idx="1">
                  <c:v>CD Norte (Pasto)</c:v>
                </c:pt>
                <c:pt idx="2">
                  <c:v>CD Sur</c:v>
                </c:pt>
              </c:strCache>
            </c:strRef>
          </c:cat>
          <c:val>
            <c:numRef>
              <c:f>'Tablas Dinamicas'!$F$69:$F$72</c:f>
              <c:numCache>
                <c:formatCode>General</c:formatCode>
                <c:ptCount val="3"/>
                <c:pt idx="0">
                  <c:v>36</c:v>
                </c:pt>
                <c:pt idx="2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0E-4287-96A9-0699577D7298}"/>
            </c:ext>
          </c:extLst>
        </c:ser>
        <c:ser>
          <c:idx val="3"/>
          <c:order val="3"/>
          <c:tx>
            <c:strRef>
              <c:f>'Tablas Dinamicas'!$G$66:$G$68</c:f>
              <c:strCache>
                <c:ptCount val="1"/>
                <c:pt idx="0">
                  <c:v>Fuera de SLA - Tienda Fisica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'Tablas Dinamicas'!$B$69:$B$72</c:f>
              <c:strCache>
                <c:ptCount val="3"/>
                <c:pt idx="0">
                  <c:v>CD Centro</c:v>
                </c:pt>
                <c:pt idx="1">
                  <c:v>CD Norte (Pasto)</c:v>
                </c:pt>
                <c:pt idx="2">
                  <c:v>CD Sur</c:v>
                </c:pt>
              </c:strCache>
            </c:strRef>
          </c:cat>
          <c:val>
            <c:numRef>
              <c:f>'Tablas Dinamicas'!$G$69:$G$72</c:f>
              <c:numCache>
                <c:formatCode>General</c:formatCode>
                <c:ptCount val="3"/>
                <c:pt idx="2">
                  <c:v>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70E-4287-96A9-0699577D72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0929200"/>
        <c:axId val="820918160"/>
      </c:barChart>
      <c:catAx>
        <c:axId val="820929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20918160"/>
        <c:crosses val="autoZero"/>
        <c:auto val="1"/>
        <c:lblAlgn val="ctr"/>
        <c:lblOffset val="100"/>
        <c:noMultiLvlLbl val="0"/>
      </c:catAx>
      <c:valAx>
        <c:axId val="82091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20929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rgbClr val="0070C0"/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[Auditoría Integral de Margen Contributivo, Eficiencia de Capital y SLA Operativo.xlsx]Tablas Dinamicas!TablaDinámica5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Impacto financiero por incumplimiento</a:t>
            </a:r>
            <a:r>
              <a:rPr lang="es-CO" baseline="0"/>
              <a:t> SLA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'Tablas Dinamicas'!$C$85:$C$87</c:f>
              <c:strCache>
                <c:ptCount val="1"/>
                <c:pt idx="0">
                  <c:v>A tiempo - Online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'Tablas Dinamicas'!$B$88:$B$91</c:f>
              <c:strCache>
                <c:ptCount val="3"/>
                <c:pt idx="0">
                  <c:v>CD Centro</c:v>
                </c:pt>
                <c:pt idx="1">
                  <c:v>CD Norte (Pasto)</c:v>
                </c:pt>
                <c:pt idx="2">
                  <c:v>CD Sur</c:v>
                </c:pt>
              </c:strCache>
            </c:strRef>
          </c:cat>
          <c:val>
            <c:numRef>
              <c:f>'Tablas Dinamicas'!$C$88:$C$91</c:f>
              <c:numCache>
                <c:formatCode>_("$"* #,##0.00_);_("$"* \(#,##0.00\);_("$"* "-"??_);_(@_)</c:formatCode>
                <c:ptCount val="3"/>
                <c:pt idx="0">
                  <c:v>62604</c:v>
                </c:pt>
                <c:pt idx="1">
                  <c:v>59320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44-4669-81BD-F273CC2302F0}"/>
            </c:ext>
          </c:extLst>
        </c:ser>
        <c:ser>
          <c:idx val="1"/>
          <c:order val="1"/>
          <c:tx>
            <c:strRef>
              <c:f>'Tablas Dinamicas'!$D$85:$D$87</c:f>
              <c:strCache>
                <c:ptCount val="1"/>
                <c:pt idx="0">
                  <c:v>A tiempo - Tienda Fisica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'Tablas Dinamicas'!$B$88:$B$91</c:f>
              <c:strCache>
                <c:ptCount val="3"/>
                <c:pt idx="0">
                  <c:v>CD Centro</c:v>
                </c:pt>
                <c:pt idx="1">
                  <c:v>CD Norte (Pasto)</c:v>
                </c:pt>
                <c:pt idx="2">
                  <c:v>CD Sur</c:v>
                </c:pt>
              </c:strCache>
            </c:strRef>
          </c:cat>
          <c:val>
            <c:numRef>
              <c:f>'Tablas Dinamicas'!$D$88:$D$91</c:f>
              <c:numCache>
                <c:formatCode>_("$"* #,##0.00_);_("$"* \(#,##0.00\);_("$"* "-"??_);_(@_)</c:formatCode>
                <c:ptCount val="3"/>
                <c:pt idx="0">
                  <c:v>35220</c:v>
                </c:pt>
                <c:pt idx="1">
                  <c:v>33120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44-4669-81BD-F273CC2302F0}"/>
            </c:ext>
          </c:extLst>
        </c:ser>
        <c:ser>
          <c:idx val="2"/>
          <c:order val="2"/>
          <c:tx>
            <c:strRef>
              <c:f>'Tablas Dinamicas'!$F$85:$F$87</c:f>
              <c:strCache>
                <c:ptCount val="1"/>
                <c:pt idx="0">
                  <c:v>Fuera de SLA - Online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'Tablas Dinamicas'!$B$88:$B$91</c:f>
              <c:strCache>
                <c:ptCount val="3"/>
                <c:pt idx="0">
                  <c:v>CD Centro</c:v>
                </c:pt>
                <c:pt idx="1">
                  <c:v>CD Norte (Pasto)</c:v>
                </c:pt>
                <c:pt idx="2">
                  <c:v>CD Sur</c:v>
                </c:pt>
              </c:strCache>
            </c:strRef>
          </c:cat>
          <c:val>
            <c:numRef>
              <c:f>'Tablas Dinamicas'!$F$88:$F$91</c:f>
              <c:numCache>
                <c:formatCode>_("$"* #,##0.00_);_("$"* \(#,##0.00\);_("$"* "-"??_);_(@_)</c:formatCode>
                <c:ptCount val="3"/>
                <c:pt idx="0">
                  <c:v>5760</c:v>
                </c:pt>
                <c:pt idx="2">
                  <c:v>51450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44-4669-81BD-F273CC2302F0}"/>
            </c:ext>
          </c:extLst>
        </c:ser>
        <c:ser>
          <c:idx val="3"/>
          <c:order val="3"/>
          <c:tx>
            <c:strRef>
              <c:f>'Tablas Dinamicas'!$G$85:$G$87</c:f>
              <c:strCache>
                <c:ptCount val="1"/>
                <c:pt idx="0">
                  <c:v>Fuera de SLA - Tienda Fisica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'Tablas Dinamicas'!$B$88:$B$91</c:f>
              <c:strCache>
                <c:ptCount val="3"/>
                <c:pt idx="0">
                  <c:v>CD Centro</c:v>
                </c:pt>
                <c:pt idx="1">
                  <c:v>CD Norte (Pasto)</c:v>
                </c:pt>
                <c:pt idx="2">
                  <c:v>CD Sur</c:v>
                </c:pt>
              </c:strCache>
            </c:strRef>
          </c:cat>
          <c:val>
            <c:numRef>
              <c:f>'Tablas Dinamicas'!$G$88:$G$91</c:f>
              <c:numCache>
                <c:formatCode>_("$"* #,##0.00_);_("$"* \(#,##0.00\);_("$"* "-"??_);_(@_)</c:formatCode>
                <c:ptCount val="3"/>
                <c:pt idx="2">
                  <c:v>26460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A44-4669-81BD-F273CC230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6012831"/>
        <c:axId val="1656001791"/>
      </c:barChart>
      <c:catAx>
        <c:axId val="1656012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56001791"/>
        <c:crosses val="autoZero"/>
        <c:auto val="1"/>
        <c:lblAlgn val="ctr"/>
        <c:lblOffset val="100"/>
        <c:noMultiLvlLbl val="0"/>
      </c:catAx>
      <c:valAx>
        <c:axId val="1656001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56012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rgbClr val="0070C0"/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373857</xdr:colOff>
      <xdr:row>2</xdr:row>
      <xdr:rowOff>28575</xdr:rowOff>
    </xdr:from>
    <xdr:to>
      <xdr:col>10</xdr:col>
      <xdr:colOff>423863</xdr:colOff>
      <xdr:row>15</xdr:row>
      <xdr:rowOff>104775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B82D0B5-D9CD-4173-2E6B-FC334FB16F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373856</xdr:colOff>
      <xdr:row>20</xdr:row>
      <xdr:rowOff>80962</xdr:rowOff>
    </xdr:from>
    <xdr:to>
      <xdr:col>10</xdr:col>
      <xdr:colOff>595312</xdr:colOff>
      <xdr:row>33</xdr:row>
      <xdr:rowOff>109537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C116690-B99C-DB6A-C173-55BAF4C0E5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928686</xdr:colOff>
      <xdr:row>38</xdr:row>
      <xdr:rowOff>114299</xdr:rowOff>
    </xdr:from>
    <xdr:to>
      <xdr:col>10</xdr:col>
      <xdr:colOff>888206</xdr:colOff>
      <xdr:row>55</xdr:row>
      <xdr:rowOff>123824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0BFC3EF-3F18-8DC4-932F-8795DFF0C5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477043</xdr:colOff>
      <xdr:row>60</xdr:row>
      <xdr:rowOff>158750</xdr:rowOff>
    </xdr:from>
    <xdr:to>
      <xdr:col>15</xdr:col>
      <xdr:colOff>258498</xdr:colOff>
      <xdr:row>77</xdr:row>
      <xdr:rowOff>63500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954F861-DE3F-975D-0021-F1C8A4E361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381000</xdr:colOff>
      <xdr:row>83</xdr:row>
      <xdr:rowOff>133350</xdr:rowOff>
    </xdr:from>
    <xdr:to>
      <xdr:col>14</xdr:col>
      <xdr:colOff>1209675</xdr:colOff>
      <xdr:row>98</xdr:row>
      <xdr:rowOff>19050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AF38E61-2205-0F8A-0F9D-94752CB9C2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erson" refreshedDate="46259.826500462965" createdVersion="8" refreshedVersion="8" minRefreshableVersion="3" recordCount="1076" xr:uid="{4AED0D61-2725-467B-BD7A-2ACA7412BDA9}">
  <cacheSource type="worksheet">
    <worksheetSource name="gemini_code_1787702791259[[ID_Transaccion]:[Cantidad]]"/>
  </cacheSource>
  <cacheFields count="8">
    <cacheField name="ID_Transaccion" numFmtId="0">
      <sharedItems/>
    </cacheField>
    <cacheField name="Fecha" numFmtId="14">
      <sharedItems containsSemiMixedTypes="0" containsNonDate="0" containsDate="1" containsString="0" minDate="2026-08-01T00:00:00" maxDate="2026-08-11T00:00:00"/>
    </cacheField>
    <cacheField name="Ciudad" numFmtId="0">
      <sharedItems/>
    </cacheField>
    <cacheField name="CD_Origen" numFmtId="0">
      <sharedItems/>
    </cacheField>
    <cacheField name="Canal" numFmtId="0">
      <sharedItems/>
    </cacheField>
    <cacheField name="Categoria" numFmtId="0">
      <sharedItems/>
    </cacheField>
    <cacheField name="Producto" numFmtId="0">
      <sharedItems/>
    </cacheField>
    <cacheField name="Cantidad" numFmtId="0">
      <sharedItems containsSemiMixedTypes="0" containsString="0" containsNumber="1" minValue="1" maxValue="69.51116054875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erson" refreshedDate="46260.430414236114" createdVersion="8" refreshedVersion="8" minRefreshableVersion="3" recordCount="1076" xr:uid="{C54FE5E3-E0B7-42D5-BF00-B664A1F4DA58}">
  <cacheSource type="worksheet">
    <worksheetSource name="gemini_code_1787702791259"/>
  </cacheSource>
  <cacheFields count="23">
    <cacheField name="ID_Transaccion" numFmtId="0">
      <sharedItems count="30">
        <s v="ORD-2001"/>
        <s v="ORD-2002"/>
        <s v="ORD-2003"/>
        <s v="ORD-2004"/>
        <s v="ORD-2005"/>
        <s v="ORD-2006"/>
        <s v="ORD-2007"/>
        <s v="ORD-2008"/>
        <s v="ORD-2009"/>
        <s v="ORD-2010"/>
        <s v="ORD-2011"/>
        <s v="ORD-2012"/>
        <s v="ORD-2013"/>
        <s v="ORD-2014"/>
        <s v="ORD-2015"/>
        <s v="ORD-2016"/>
        <s v="ORD-2017"/>
        <s v="ORD-2018"/>
        <s v="ORD-2019"/>
        <s v="ORD-2020"/>
        <s v="ORD-2021"/>
        <s v="ORD-2022"/>
        <s v="ORD-2023"/>
        <s v="ORD-2024"/>
        <s v="ORD-2025"/>
        <s v="ORD-2026"/>
        <s v="ORD-2027"/>
        <s v="ORD-2028"/>
        <s v="ORD-2029"/>
        <s v="ORD-2030"/>
      </sharedItems>
    </cacheField>
    <cacheField name="Fecha" numFmtId="14">
      <sharedItems containsSemiMixedTypes="0" containsNonDate="0" containsDate="1" containsString="0" minDate="2026-08-01T00:00:00" maxDate="2026-08-11T00:00:00"/>
    </cacheField>
    <cacheField name="Ciudad" numFmtId="0">
      <sharedItems/>
    </cacheField>
    <cacheField name="CD_Origen" numFmtId="0">
      <sharedItems count="3">
        <s v="CD Norte (Pasto)"/>
        <s v="CD Centro"/>
        <s v="CD Sur"/>
      </sharedItems>
    </cacheField>
    <cacheField name="Canal" numFmtId="0">
      <sharedItems count="2">
        <s v="Online"/>
        <s v="Tienda Fisica"/>
      </sharedItems>
    </cacheField>
    <cacheField name="Categoria" numFmtId="0">
      <sharedItems count="4">
        <s v="Electro"/>
        <s v="Moda"/>
        <s v="Hogar"/>
        <s v="Calzado"/>
      </sharedItems>
    </cacheField>
    <cacheField name="Producto" numFmtId="0">
      <sharedItems/>
    </cacheField>
    <cacheField name="Cantidad" numFmtId="0">
      <sharedItems containsSemiMixedTypes="0" containsString="0" containsNumber="1" containsInteger="1" minValue="1" maxValue="15"/>
    </cacheField>
    <cacheField name="Precio_Unitario_USD" numFmtId="44">
      <sharedItems containsSemiMixedTypes="0" containsString="0" containsNumber="1" containsInteger="1" minValue="25" maxValue="850"/>
    </cacheField>
    <cacheField name="Costo_Unitario_USD" numFmtId="44">
      <sharedItems containsSemiMixedTypes="0" containsString="0" containsNumber="1" containsInteger="1" minValue="10" maxValue="600"/>
    </cacheField>
    <cacheField name="Dias_Entrega" numFmtId="0">
      <sharedItems containsSemiMixedTypes="0" containsString="0" containsNumber="1" containsInteger="1" minValue="1" maxValue="8"/>
    </cacheField>
    <cacheField name="Promesa_SLA_Dias" numFmtId="0">
      <sharedItems containsSemiMixedTypes="0" containsString="0" containsNumber="1" containsInteger="1" minValue="2" maxValue="4"/>
    </cacheField>
    <cacheField name="Presupuesto_Meta_USD" numFmtId="0">
      <sharedItems containsSemiMixedTypes="0" containsString="0" containsNumber="1" containsInteger="1" minValue="300" maxValue="1800"/>
    </cacheField>
    <cacheField name="venta total" numFmtId="44">
      <sharedItems containsSemiMixedTypes="0" containsString="0" containsNumber="1" containsInteger="1" minValue="270" maxValue="1950"/>
    </cacheField>
    <cacheField name="Costo total" numFmtId="44">
      <sharedItems containsSemiMixedTypes="0" containsString="0" containsNumber="1" containsInteger="1" minValue="135" maxValue="1350"/>
    </cacheField>
    <cacheField name="Ganancia bruta" numFmtId="44">
      <sharedItems containsSemiMixedTypes="0" containsString="0" containsNumber="1" containsInteger="1" minValue="120" maxValue="600"/>
    </cacheField>
    <cacheField name="margen %" numFmtId="9">
      <sharedItems containsSemiMixedTypes="0" containsString="0" containsNumber="1" minValue="0.24" maxValue="0.6"/>
    </cacheField>
    <cacheField name="Estado SLA" numFmtId="0">
      <sharedItems count="2">
        <s v="A tiempo"/>
        <s v="Fuera de SLA"/>
      </sharedItems>
    </cacheField>
    <cacheField name="Margen" numFmtId="0" formula="'Ganancia bruta'/'venta total'" databaseField="0"/>
    <cacheField name="Margen de Ponderado." numFmtId="0" formula="'Ganancia bruta'/'venta total'" databaseField="0"/>
    <cacheField name="Desviacion presupuestal" numFmtId="0" formula="'venta total'-Presupuesto_Meta_USD" databaseField="0"/>
    <cacheField name="variacion presupuestal " numFmtId="0" formula="'Ganancia bruta'-Presupuesto_Meta_USD" databaseField="0"/>
    <cacheField name="Variacion presupuestal" numFmtId="0" formula="'venta total'-Presupuesto_Meta_USD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76">
  <r>
    <s v="ORD-2001"/>
    <d v="2026-08-01T00:00:00"/>
    <s v="Pasto"/>
    <s v="CD Norte (Pasto)"/>
    <s v="Online"/>
    <s v="Electro"/>
    <s v="Laptop Pro 15"/>
    <n v="2"/>
  </r>
  <r>
    <s v="ORD-2002"/>
    <d v="2026-08-01T00:00:00"/>
    <s v="Bogota"/>
    <s v="CD Centro"/>
    <s v="Tienda Fisica"/>
    <s v="Moda"/>
    <s v="Chaqueta Cuero"/>
    <n v="5"/>
  </r>
  <r>
    <s v="ORD-2003"/>
    <d v="2026-08-01T00:00:00"/>
    <s v="Cali"/>
    <s v="CD Sur"/>
    <s v="Online"/>
    <s v="Hogar"/>
    <s v="Cafetera Express"/>
    <n v="3"/>
  </r>
  <r>
    <s v="ORD-2004"/>
    <d v="2026-08-02T00:00:00"/>
    <s v="Pasto"/>
    <s v="CD Norte (Pasto)"/>
    <s v="Tienda Fisica"/>
    <s v="Calzado"/>
    <s v="Tenis Running"/>
    <n v="4"/>
  </r>
  <r>
    <s v="ORD-2005"/>
    <d v="2026-08-02T00:00:00"/>
    <s v="Bogota"/>
    <s v="CD Centro"/>
    <s v="Online"/>
    <s v="Electro"/>
    <s v="Smartphone X"/>
    <n v="3"/>
  </r>
  <r>
    <s v="ORD-2006"/>
    <d v="2026-08-02T00:00:00"/>
    <s v="Cali"/>
    <s v="CD Sur"/>
    <s v="Online"/>
    <s v="Moda"/>
    <s v="Jean Slim Fit"/>
    <n v="8"/>
  </r>
  <r>
    <s v="ORD-2007"/>
    <d v="2026-08-03T00:00:00"/>
    <s v="Pasto"/>
    <s v="CD Norte (Pasto)"/>
    <s v="Online"/>
    <s v="Hogar"/>
    <s v="Aspiradora Robot"/>
    <n v="2"/>
  </r>
  <r>
    <s v="ORD-2008"/>
    <d v="2026-08-03T00:00:00"/>
    <s v="Bogota"/>
    <s v="CD Centro"/>
    <s v="Tienda Fisica"/>
    <s v="Calzado"/>
    <s v="Botas Moto"/>
    <n v="3"/>
  </r>
  <r>
    <s v="ORD-2009"/>
    <d v="2026-08-03T00:00:00"/>
    <s v="Cali"/>
    <s v="CD Sur"/>
    <s v="Online"/>
    <s v="Electro"/>
    <s v="Smart TV 55"/>
    <n v="2"/>
  </r>
  <r>
    <s v="ORD-2010"/>
    <d v="2026-08-04T00:00:00"/>
    <s v="Pasto"/>
    <s v="CD Norte (Pasto)"/>
    <s v="Tienda Fisica"/>
    <s v="Moda"/>
    <s v="Camisa Lino"/>
    <n v="6"/>
  </r>
  <r>
    <s v="ORD-2011"/>
    <d v="2026-08-04T00:00:00"/>
    <s v="Bogota"/>
    <s v="CD Centro"/>
    <s v="Online"/>
    <s v="Hogar"/>
    <s v="Juego Comedor"/>
    <n v="1"/>
  </r>
  <r>
    <s v="ORD-2012"/>
    <d v="2026-08-04T00:00:00"/>
    <s v="Cali"/>
    <s v="CD Sur"/>
    <s v="Tienda Fisica"/>
    <s v="Calzado"/>
    <s v="Sandalias"/>
    <n v="10"/>
  </r>
  <r>
    <s v="ORD-2013"/>
    <d v="2026-08-05T00:00:00"/>
    <s v="Pasto"/>
    <s v="CD Norte (Pasto)"/>
    <s v="Online"/>
    <s v="Electro"/>
    <s v="Tablet 10"/>
    <n v="4"/>
  </r>
  <r>
    <s v="ORD-2014"/>
    <d v="2026-08-05T00:00:00"/>
    <s v="Bogota"/>
    <s v="CD Centro"/>
    <s v="Online"/>
    <s v="Moda"/>
    <s v="Saco Lana"/>
    <n v="5"/>
  </r>
  <r>
    <s v="ORD-2015"/>
    <d v="2026-08-05T00:00:00"/>
    <s v="Cali"/>
    <s v="CD Sur"/>
    <s v="Online"/>
    <s v="Hogar"/>
    <s v="Escritorio Pro"/>
    <n v="2"/>
  </r>
  <r>
    <s v="ORD-2016"/>
    <d v="2026-08-06T00:00:00"/>
    <s v="Pasto"/>
    <s v="CD Norte (Pasto)"/>
    <s v="Tienda Fisica"/>
    <s v="Calzado"/>
    <s v="Tenis Urbano"/>
    <n v="6"/>
  </r>
  <r>
    <s v="ORD-2017"/>
    <d v="2026-08-06T00:00:00"/>
    <s v="Bogota"/>
    <s v="CD Centro"/>
    <s v="Online"/>
    <s v="Electro"/>
    <s v="Audifonos BT"/>
    <n v="12"/>
  </r>
  <r>
    <s v="ORD-2018"/>
    <d v="2026-08-06T00:00:00"/>
    <s v="Cali"/>
    <s v="CD Sur"/>
    <s v="Tienda Fisica"/>
    <s v="Moda"/>
    <s v="Vestido Formal"/>
    <n v="4"/>
  </r>
  <r>
    <s v="ORD-2019"/>
    <d v="2026-08-07T00:00:00"/>
    <s v="Pasto"/>
    <s v="CD Norte (Pasto)"/>
    <s v="Online"/>
    <s v="Hogar"/>
    <s v="Lámpara LED"/>
    <n v="15"/>
  </r>
  <r>
    <s v="ORD-2020"/>
    <d v="2026-08-07T00:00:00"/>
    <s v="Bogota"/>
    <s v="CD Centro"/>
    <s v="Tienda Fisica"/>
    <s v="Calzado"/>
    <s v="Zapatos Formales"/>
    <n v="5"/>
  </r>
  <r>
    <s v="ORD-2021"/>
    <d v="2026-08-07T00:00:00"/>
    <s v="Cali"/>
    <s v="CD Sur"/>
    <s v="Online"/>
    <s v="Electro"/>
    <s v="Consola Videojuegos"/>
    <n v="2"/>
  </r>
  <r>
    <s v="ORD-2022"/>
    <d v="2026-08-08T00:00:00"/>
    <s v="Pasto"/>
    <s v="CD Norte (Pasto)"/>
    <s v="Online"/>
    <s v="Moda"/>
    <s v="Chaqueta Impermeable"/>
    <n v="3"/>
  </r>
  <r>
    <s v="ORD-2023"/>
    <d v="2026-08-08T00:00:00"/>
    <s v="Bogota"/>
    <s v="CD Centro"/>
    <s v="Online"/>
    <s v="Hogar"/>
    <s v="Silla Ergonomica"/>
    <n v="4"/>
  </r>
  <r>
    <s v="ORD-2024"/>
    <d v="2026-08-08T00:00:00"/>
    <s v="Cali"/>
    <s v="CD Sur"/>
    <s v="Tienda Fisica"/>
    <s v="Calzado"/>
    <s v="Tenis Deportivo"/>
    <n v="7"/>
  </r>
  <r>
    <s v="ORD-2025"/>
    <d v="2026-08-09T00:00:00"/>
    <s v="Pasto"/>
    <s v="CD Norte (Pasto)"/>
    <s v="Tienda Fisica"/>
    <s v="Electro"/>
    <s v="Monitor 27"/>
    <n v="3"/>
  </r>
  <r>
    <s v="ORD-2026"/>
    <d v="2026-08-09T00:00:00"/>
    <s v="Bogota"/>
    <s v="CD Centro"/>
    <s v="Online"/>
    <s v="Moda"/>
    <s v="Buzo Hooded"/>
    <n v="8"/>
  </r>
  <r>
    <s v="ORD-2027"/>
    <d v="2026-08-09T00:00:00"/>
    <s v="Cali"/>
    <s v="CD Sur"/>
    <s v="Online"/>
    <s v="Hogar"/>
    <s v="Cama King"/>
    <n v="1"/>
  </r>
  <r>
    <s v="ORD-2028"/>
    <d v="2026-08-10T00:00:00"/>
    <s v="Pasto"/>
    <s v="CD Norte (Pasto)"/>
    <s v="Online"/>
    <s v="Calzado"/>
    <s v="Botines Cuero"/>
    <n v="4"/>
  </r>
  <r>
    <s v="ORD-2029"/>
    <d v="2026-08-10T00:00:00"/>
    <s v="Bogota"/>
    <s v="CD Centro"/>
    <s v="Tienda Fisica"/>
    <s v="Electro"/>
    <s v="Teclado Mecanico"/>
    <n v="6"/>
  </r>
  <r>
    <s v="ORD-2030"/>
    <d v="2026-08-10T00:00:00"/>
    <s v="Cali"/>
    <s v="CD Sur"/>
    <s v="Online"/>
    <s v="Moda"/>
    <s v="Pantalón Cargo"/>
    <n v="6"/>
  </r>
  <r>
    <s v="ORD-2031"/>
    <d v="2026-08-01T00:00:00"/>
    <s v="Pasto"/>
    <s v="CD Norte (Pasto)"/>
    <s v="Online"/>
    <s v="Electro"/>
    <s v="Laptop Pro 16"/>
    <n v="5.81149425287356"/>
  </r>
  <r>
    <s v="ORD-2032"/>
    <d v="2026-08-01T00:00:00"/>
    <s v="Bogota"/>
    <s v="CD Centro"/>
    <s v="Tienda Fisica"/>
    <s v="Moda"/>
    <s v="Chaqueta Cuero"/>
    <n v="5.8724508713385202"/>
  </r>
  <r>
    <s v="ORD-2033"/>
    <d v="2026-08-01T00:00:00"/>
    <s v="Cali"/>
    <s v="CD Sur"/>
    <s v="Online"/>
    <s v="Hogar"/>
    <s v="Cafetera Express"/>
    <n v="5.9334074898034901"/>
  </r>
  <r>
    <s v="ORD-2034"/>
    <d v="2026-08-02T00:00:00"/>
    <s v="Pasto"/>
    <s v="CD Norte (Pasto)"/>
    <s v="Tienda Fisica"/>
    <s v="Calzado"/>
    <s v="Tenis Running"/>
    <n v="5.9943641082684502"/>
  </r>
  <r>
    <s v="ORD-2035"/>
    <d v="2026-08-02T00:00:00"/>
    <s v="Bogota"/>
    <s v="CD Centro"/>
    <s v="Online"/>
    <s v="Electro"/>
    <s v="Smartphone X"/>
    <n v="6.0553207267334104"/>
  </r>
  <r>
    <s v="ORD-2036"/>
    <d v="2026-08-02T00:00:00"/>
    <s v="Cali"/>
    <s v="CD Sur"/>
    <s v="Online"/>
    <s v="Moda"/>
    <s v="Jean Slim Fit"/>
    <n v="6.1162773451983696"/>
  </r>
  <r>
    <s v="ORD-2037"/>
    <d v="2026-08-03T00:00:00"/>
    <s v="Pasto"/>
    <s v="CD Norte (Pasto)"/>
    <s v="Online"/>
    <s v="Hogar"/>
    <s v="Aspiradora Robot"/>
    <n v="6.1772339636633298"/>
  </r>
  <r>
    <s v="ORD-2038"/>
    <d v="2026-08-03T00:00:00"/>
    <s v="Bogota"/>
    <s v="CD Centro"/>
    <s v="Tienda Fisica"/>
    <s v="Calzado"/>
    <s v="Botas Moto"/>
    <n v="6.2381905821282899"/>
  </r>
  <r>
    <s v="ORD-2039"/>
    <d v="2026-08-03T00:00:00"/>
    <s v="Cali"/>
    <s v="CD Sur"/>
    <s v="Online"/>
    <s v="Electro"/>
    <s v="Smart TV 56"/>
    <n v="6.2991472005932501"/>
  </r>
  <r>
    <s v="ORD-2040"/>
    <d v="2026-08-04T00:00:00"/>
    <s v="Pasto"/>
    <s v="CD Norte (Pasto)"/>
    <s v="Tienda Fisica"/>
    <s v="Moda"/>
    <s v="Camisa Lino"/>
    <n v="6.3601038190582102"/>
  </r>
  <r>
    <s v="ORD-2041"/>
    <d v="2026-08-04T00:00:00"/>
    <s v="Bogota"/>
    <s v="CD Centro"/>
    <s v="Online"/>
    <s v="Hogar"/>
    <s v="Juego Comedor"/>
    <n v="6.4210604375231704"/>
  </r>
  <r>
    <s v="ORD-2042"/>
    <d v="2026-08-04T00:00:00"/>
    <s v="Cali"/>
    <s v="CD Sur"/>
    <s v="Tienda Fisica"/>
    <s v="Calzado"/>
    <s v="Sandalias"/>
    <n v="6.4820170559881296"/>
  </r>
  <r>
    <s v="ORD-2043"/>
    <d v="2026-08-05T00:00:00"/>
    <s v="Pasto"/>
    <s v="CD Norte (Pasto)"/>
    <s v="Online"/>
    <s v="Electro"/>
    <s v="Tablet 11"/>
    <n v="6.5429736744531004"/>
  </r>
  <r>
    <s v="ORD-2044"/>
    <d v="2026-08-05T00:00:00"/>
    <s v="Bogota"/>
    <s v="CD Centro"/>
    <s v="Online"/>
    <s v="Moda"/>
    <s v="Saco Lana"/>
    <n v="6.6039302929180597"/>
  </r>
  <r>
    <s v="ORD-2045"/>
    <d v="2026-08-05T00:00:00"/>
    <s v="Cali"/>
    <s v="CD Sur"/>
    <s v="Online"/>
    <s v="Hogar"/>
    <s v="Escritorio Pro"/>
    <n v="6.6648869113830198"/>
  </r>
  <r>
    <s v="ORD-2046"/>
    <d v="2026-08-06T00:00:00"/>
    <s v="Pasto"/>
    <s v="CD Norte (Pasto)"/>
    <s v="Tienda Fisica"/>
    <s v="Calzado"/>
    <s v="Tenis Urbano"/>
    <n v="6.72584352984798"/>
  </r>
  <r>
    <s v="ORD-2047"/>
    <d v="2026-08-06T00:00:00"/>
    <s v="Bogota"/>
    <s v="CD Centro"/>
    <s v="Online"/>
    <s v="Electro"/>
    <s v="Audifonos BT"/>
    <n v="6.7868001483129401"/>
  </r>
  <r>
    <s v="ORD-2048"/>
    <d v="2026-08-06T00:00:00"/>
    <s v="Cali"/>
    <s v="CD Sur"/>
    <s v="Tienda Fisica"/>
    <s v="Moda"/>
    <s v="Vestido Formal"/>
    <n v="6.8477567667779002"/>
  </r>
  <r>
    <s v="ORD-2049"/>
    <d v="2026-08-07T00:00:00"/>
    <s v="Pasto"/>
    <s v="CD Norte (Pasto)"/>
    <s v="Online"/>
    <s v="Hogar"/>
    <s v="Lámpara LED"/>
    <n v="6.9087133852428604"/>
  </r>
  <r>
    <s v="ORD-2050"/>
    <d v="2026-08-07T00:00:00"/>
    <s v="Bogota"/>
    <s v="CD Centro"/>
    <s v="Tienda Fisica"/>
    <s v="Calzado"/>
    <s v="Zapatos Formales"/>
    <n v="6.9696700037078196"/>
  </r>
  <r>
    <s v="ORD-2051"/>
    <d v="2026-08-07T00:00:00"/>
    <s v="Cali"/>
    <s v="CD Sur"/>
    <s v="Online"/>
    <s v="Electro"/>
    <s v="Consola Videojuegos"/>
    <n v="7.0306266221727904"/>
  </r>
  <r>
    <s v="ORD-2052"/>
    <d v="2026-08-08T00:00:00"/>
    <s v="Pasto"/>
    <s v="CD Norte (Pasto)"/>
    <s v="Online"/>
    <s v="Moda"/>
    <s v="Chaqueta Impermeable"/>
    <n v="7.0915832406377497"/>
  </r>
  <r>
    <s v="ORD-2053"/>
    <d v="2026-08-08T00:00:00"/>
    <s v="Bogota"/>
    <s v="CD Centro"/>
    <s v="Online"/>
    <s v="Hogar"/>
    <s v="Silla Ergonomica"/>
    <n v="7.1525398591027098"/>
  </r>
  <r>
    <s v="ORD-2054"/>
    <d v="2026-08-08T00:00:00"/>
    <s v="Cali"/>
    <s v="CD Sur"/>
    <s v="Tienda Fisica"/>
    <s v="Calzado"/>
    <s v="Tenis Deportivo"/>
    <n v="7.21349647756767"/>
  </r>
  <r>
    <s v="ORD-2055"/>
    <d v="2026-08-09T00:00:00"/>
    <s v="Pasto"/>
    <s v="CD Norte (Pasto)"/>
    <s v="Tienda Fisica"/>
    <s v="Electro"/>
    <s v="Monitor 28"/>
    <n v="7.2744530960326301"/>
  </r>
  <r>
    <s v="ORD-2056"/>
    <d v="2026-08-09T00:00:00"/>
    <s v="Bogota"/>
    <s v="CD Centro"/>
    <s v="Online"/>
    <s v="Moda"/>
    <s v="Buzo Hooded"/>
    <n v="7.3354097144975903"/>
  </r>
  <r>
    <s v="ORD-2057"/>
    <d v="2026-08-09T00:00:00"/>
    <s v="Cali"/>
    <s v="CD Sur"/>
    <s v="Online"/>
    <s v="Hogar"/>
    <s v="Cama King"/>
    <n v="7.3963663329625504"/>
  </r>
  <r>
    <s v="ORD-2058"/>
    <d v="2026-08-10T00:00:00"/>
    <s v="Pasto"/>
    <s v="CD Norte (Pasto)"/>
    <s v="Online"/>
    <s v="Calzado"/>
    <s v="Botines Cuero"/>
    <n v="7.4573229514275097"/>
  </r>
  <r>
    <s v="ORD-2059"/>
    <d v="2026-08-10T00:00:00"/>
    <s v="Bogota"/>
    <s v="CD Centro"/>
    <s v="Tienda Fisica"/>
    <s v="Electro"/>
    <s v="Teclado Mecanico"/>
    <n v="7.5182795698924698"/>
  </r>
  <r>
    <s v="ORD-2060"/>
    <d v="2026-08-10T00:00:00"/>
    <s v="Cali"/>
    <s v="CD Sur"/>
    <s v="Online"/>
    <s v="Moda"/>
    <s v="Pantalón Cargo"/>
    <n v="7.57923618835743"/>
  </r>
  <r>
    <s v="ORD-2061"/>
    <d v="2026-08-01T00:00:00"/>
    <s v="Pasto"/>
    <s v="CD Norte (Pasto)"/>
    <s v="Online"/>
    <s v="Electro"/>
    <s v="Laptop Pro 17"/>
    <n v="7.6401928068223999"/>
  </r>
  <r>
    <s v="ORD-2062"/>
    <d v="2026-08-01T00:00:00"/>
    <s v="Bogota"/>
    <s v="CD Centro"/>
    <s v="Tienda Fisica"/>
    <s v="Moda"/>
    <s v="Chaqueta Cuero"/>
    <n v="7.70114942528736"/>
  </r>
  <r>
    <s v="ORD-2063"/>
    <d v="2026-08-01T00:00:00"/>
    <s v="Cali"/>
    <s v="CD Sur"/>
    <s v="Online"/>
    <s v="Hogar"/>
    <s v="Cafetera Express"/>
    <n v="7.7621060437523202"/>
  </r>
  <r>
    <s v="ORD-2064"/>
    <d v="2026-08-02T00:00:00"/>
    <s v="Pasto"/>
    <s v="CD Norte (Pasto)"/>
    <s v="Tienda Fisica"/>
    <s v="Calzado"/>
    <s v="Tenis Running"/>
    <n v="7.8230626622172803"/>
  </r>
  <r>
    <s v="ORD-2065"/>
    <d v="2026-08-02T00:00:00"/>
    <s v="Bogota"/>
    <s v="CD Centro"/>
    <s v="Online"/>
    <s v="Electro"/>
    <s v="Smartphone X"/>
    <n v="7.8840192806822396"/>
  </r>
  <r>
    <s v="ORD-2066"/>
    <d v="2026-08-02T00:00:00"/>
    <s v="Cali"/>
    <s v="CD Sur"/>
    <s v="Online"/>
    <s v="Moda"/>
    <s v="Jean Slim Fit"/>
    <n v="7.9449758991471997"/>
  </r>
  <r>
    <s v="ORD-2067"/>
    <d v="2026-08-03T00:00:00"/>
    <s v="Pasto"/>
    <s v="CD Norte (Pasto)"/>
    <s v="Online"/>
    <s v="Hogar"/>
    <s v="Aspiradora Robot"/>
    <n v="8.0059325176121607"/>
  </r>
  <r>
    <s v="ORD-2068"/>
    <d v="2026-08-03T00:00:00"/>
    <s v="Bogota"/>
    <s v="CD Centro"/>
    <s v="Tienda Fisica"/>
    <s v="Calzado"/>
    <s v="Botas Moto"/>
    <n v="8.0668891360771209"/>
  </r>
  <r>
    <s v="ORD-2069"/>
    <d v="2026-08-03T00:00:00"/>
    <s v="Cali"/>
    <s v="CD Sur"/>
    <s v="Online"/>
    <s v="Electro"/>
    <s v="Smart TV 57"/>
    <n v="8.1278457545420792"/>
  </r>
  <r>
    <s v="ORD-2070"/>
    <d v="2026-08-04T00:00:00"/>
    <s v="Pasto"/>
    <s v="CD Norte (Pasto)"/>
    <s v="Tienda Fisica"/>
    <s v="Moda"/>
    <s v="Camisa Lino"/>
    <n v="8.1888023730070501"/>
  </r>
  <r>
    <s v="ORD-2071"/>
    <d v="2026-08-04T00:00:00"/>
    <s v="Bogota"/>
    <s v="CD Centro"/>
    <s v="Online"/>
    <s v="Hogar"/>
    <s v="Juego Comedor"/>
    <n v="8.2497589914720102"/>
  </r>
  <r>
    <s v="ORD-2072"/>
    <d v="2026-08-04T00:00:00"/>
    <s v="Cali"/>
    <s v="CD Sur"/>
    <s v="Tienda Fisica"/>
    <s v="Calzado"/>
    <s v="Sandalias"/>
    <n v="8.3107156099369703"/>
  </r>
  <r>
    <s v="ORD-2073"/>
    <d v="2026-08-05T00:00:00"/>
    <s v="Pasto"/>
    <s v="CD Norte (Pasto)"/>
    <s v="Online"/>
    <s v="Electro"/>
    <s v="Tablet 12"/>
    <n v="8.3716722284019305"/>
  </r>
  <r>
    <s v="ORD-2074"/>
    <d v="2026-08-05T00:00:00"/>
    <s v="Bogota"/>
    <s v="CD Centro"/>
    <s v="Online"/>
    <s v="Moda"/>
    <s v="Saco Lana"/>
    <n v="8.4326288468668906"/>
  </r>
  <r>
    <s v="ORD-2075"/>
    <d v="2026-08-05T00:00:00"/>
    <s v="Cali"/>
    <s v="CD Sur"/>
    <s v="Online"/>
    <s v="Hogar"/>
    <s v="Escritorio Pro"/>
    <n v="8.4935854653318508"/>
  </r>
  <r>
    <s v="ORD-2076"/>
    <d v="2026-08-06T00:00:00"/>
    <s v="Pasto"/>
    <s v="CD Norte (Pasto)"/>
    <s v="Tienda Fisica"/>
    <s v="Calzado"/>
    <s v="Tenis Urbano"/>
    <n v="8.5545420837968091"/>
  </r>
  <r>
    <s v="ORD-2077"/>
    <d v="2026-08-06T00:00:00"/>
    <s v="Bogota"/>
    <s v="CD Centro"/>
    <s v="Online"/>
    <s v="Electro"/>
    <s v="Audifonos BT"/>
    <n v="8.6154987022617693"/>
  </r>
  <r>
    <s v="ORD-2078"/>
    <d v="2026-08-06T00:00:00"/>
    <s v="Cali"/>
    <s v="CD Sur"/>
    <s v="Tienda Fisica"/>
    <s v="Moda"/>
    <s v="Vestido Formal"/>
    <n v="8.6764553207267294"/>
  </r>
  <r>
    <s v="ORD-2079"/>
    <d v="2026-08-07T00:00:00"/>
    <s v="Pasto"/>
    <s v="CD Norte (Pasto)"/>
    <s v="Online"/>
    <s v="Hogar"/>
    <s v="Lámpara LED"/>
    <n v="8.7374119391917002"/>
  </r>
  <r>
    <s v="ORD-2080"/>
    <d v="2026-08-07T00:00:00"/>
    <s v="Bogota"/>
    <s v="CD Centro"/>
    <s v="Tienda Fisica"/>
    <s v="Calzado"/>
    <s v="Zapatos Formales"/>
    <n v="8.7983685576566604"/>
  </r>
  <r>
    <s v="ORD-2081"/>
    <d v="2026-08-07T00:00:00"/>
    <s v="Cali"/>
    <s v="CD Sur"/>
    <s v="Online"/>
    <s v="Electro"/>
    <s v="Consola Videojuegos"/>
    <n v="8.8593251761216205"/>
  </r>
  <r>
    <s v="ORD-2082"/>
    <d v="2026-08-08T00:00:00"/>
    <s v="Pasto"/>
    <s v="CD Norte (Pasto)"/>
    <s v="Online"/>
    <s v="Moda"/>
    <s v="Chaqueta Impermeable"/>
    <n v="8.9202817945865807"/>
  </r>
  <r>
    <s v="ORD-2083"/>
    <d v="2026-08-08T00:00:00"/>
    <s v="Bogota"/>
    <s v="CD Centro"/>
    <s v="Online"/>
    <s v="Hogar"/>
    <s v="Silla Ergonomica"/>
    <n v="8.9812384130515408"/>
  </r>
  <r>
    <s v="ORD-2084"/>
    <d v="2026-08-08T00:00:00"/>
    <s v="Cali"/>
    <s v="CD Sur"/>
    <s v="Tienda Fisica"/>
    <s v="Calzado"/>
    <s v="Tenis Deportivo"/>
    <n v="9.0421950315164992"/>
  </r>
  <r>
    <s v="ORD-2085"/>
    <d v="2026-08-09T00:00:00"/>
    <s v="Pasto"/>
    <s v="CD Norte (Pasto)"/>
    <s v="Tienda Fisica"/>
    <s v="Electro"/>
    <s v="Monitor 29"/>
    <n v="9.1031516499814593"/>
  </r>
  <r>
    <s v="ORD-2086"/>
    <d v="2026-08-09T00:00:00"/>
    <s v="Bogota"/>
    <s v="CD Centro"/>
    <s v="Online"/>
    <s v="Moda"/>
    <s v="Buzo Hooded"/>
    <n v="9.1641082684464195"/>
  </r>
  <r>
    <s v="ORD-2087"/>
    <d v="2026-08-09T00:00:00"/>
    <s v="Cali"/>
    <s v="CD Sur"/>
    <s v="Online"/>
    <s v="Hogar"/>
    <s v="Cama King"/>
    <n v="9.2250648869113796"/>
  </r>
  <r>
    <s v="ORD-2088"/>
    <d v="2026-08-10T00:00:00"/>
    <s v="Pasto"/>
    <s v="CD Norte (Pasto)"/>
    <s v="Online"/>
    <s v="Calzado"/>
    <s v="Botines Cuero"/>
    <n v="9.2860215053763504"/>
  </r>
  <r>
    <s v="ORD-2089"/>
    <d v="2026-08-10T00:00:00"/>
    <s v="Bogota"/>
    <s v="CD Centro"/>
    <s v="Tienda Fisica"/>
    <s v="Electro"/>
    <s v="Teclado Mecanico"/>
    <n v="9.3469781238413105"/>
  </r>
  <r>
    <s v="ORD-2090"/>
    <d v="2026-08-10T00:00:00"/>
    <s v="Cali"/>
    <s v="CD Sur"/>
    <s v="Online"/>
    <s v="Moda"/>
    <s v="Pantalón Cargo"/>
    <n v="9.4079347423062707"/>
  </r>
  <r>
    <s v="ORD-2091"/>
    <d v="2026-08-01T00:00:00"/>
    <s v="Pasto"/>
    <s v="CD Norte (Pasto)"/>
    <s v="Online"/>
    <s v="Electro"/>
    <s v="Laptop Pro 18"/>
    <n v="9.4688913607712308"/>
  </r>
  <r>
    <s v="ORD-2092"/>
    <d v="2026-08-01T00:00:00"/>
    <s v="Bogota"/>
    <s v="CD Centro"/>
    <s v="Tienda Fisica"/>
    <s v="Moda"/>
    <s v="Chaqueta Cuero"/>
    <n v="9.5298479792361892"/>
  </r>
  <r>
    <s v="ORD-2093"/>
    <d v="2026-08-01T00:00:00"/>
    <s v="Cali"/>
    <s v="CD Sur"/>
    <s v="Online"/>
    <s v="Hogar"/>
    <s v="Cafetera Express"/>
    <n v="9.5908045977011493"/>
  </r>
  <r>
    <s v="ORD-2094"/>
    <d v="2026-08-02T00:00:00"/>
    <s v="Pasto"/>
    <s v="CD Norte (Pasto)"/>
    <s v="Tienda Fisica"/>
    <s v="Calzado"/>
    <s v="Tenis Running"/>
    <n v="9.6517612161661095"/>
  </r>
  <r>
    <s v="ORD-2095"/>
    <d v="2026-08-02T00:00:00"/>
    <s v="Bogota"/>
    <s v="CD Centro"/>
    <s v="Online"/>
    <s v="Electro"/>
    <s v="Smartphone X"/>
    <n v="9.7127178346310696"/>
  </r>
  <r>
    <s v="ORD-2096"/>
    <d v="2026-08-02T00:00:00"/>
    <s v="Cali"/>
    <s v="CD Sur"/>
    <s v="Online"/>
    <s v="Moda"/>
    <s v="Jean Slim Fit"/>
    <n v="9.7736744530960298"/>
  </r>
  <r>
    <s v="ORD-2097"/>
    <d v="2026-08-03T00:00:00"/>
    <s v="Pasto"/>
    <s v="CD Norte (Pasto)"/>
    <s v="Online"/>
    <s v="Hogar"/>
    <s v="Aspiradora Robot"/>
    <n v="9.8346310715610006"/>
  </r>
  <r>
    <s v="ORD-2098"/>
    <d v="2026-08-03T00:00:00"/>
    <s v="Bogota"/>
    <s v="CD Centro"/>
    <s v="Tienda Fisica"/>
    <s v="Calzado"/>
    <s v="Botas Moto"/>
    <n v="9.8955876900259607"/>
  </r>
  <r>
    <s v="ORD-2099"/>
    <d v="2026-08-03T00:00:00"/>
    <s v="Cali"/>
    <s v="CD Sur"/>
    <s v="Online"/>
    <s v="Electro"/>
    <s v="Smart TV 58"/>
    <n v="9.9565443084909209"/>
  </r>
  <r>
    <s v="ORD-2100"/>
    <d v="2026-08-04T00:00:00"/>
    <s v="Pasto"/>
    <s v="CD Norte (Pasto)"/>
    <s v="Tienda Fisica"/>
    <s v="Moda"/>
    <s v="Camisa Lino"/>
    <n v="10.017500926955901"/>
  </r>
  <r>
    <s v="ORD-2101"/>
    <d v="2026-08-04T00:00:00"/>
    <s v="Bogota"/>
    <s v="CD Centro"/>
    <s v="Online"/>
    <s v="Hogar"/>
    <s v="Juego Comedor"/>
    <n v="10.0784575454208"/>
  </r>
  <r>
    <s v="ORD-2102"/>
    <d v="2026-08-04T00:00:00"/>
    <s v="Cali"/>
    <s v="CD Sur"/>
    <s v="Tienda Fisica"/>
    <s v="Calzado"/>
    <s v="Sandalias"/>
    <n v="10.1394141638858"/>
  </r>
  <r>
    <s v="ORD-2103"/>
    <d v="2026-08-05T00:00:00"/>
    <s v="Pasto"/>
    <s v="CD Norte (Pasto)"/>
    <s v="Online"/>
    <s v="Electro"/>
    <s v="Tablet 13"/>
    <n v="10.200370782350801"/>
  </r>
  <r>
    <s v="ORD-2104"/>
    <d v="2026-08-05T00:00:00"/>
    <s v="Bogota"/>
    <s v="CD Centro"/>
    <s v="Online"/>
    <s v="Moda"/>
    <s v="Saco Lana"/>
    <n v="10.2613274008157"/>
  </r>
  <r>
    <s v="ORD-2105"/>
    <d v="2026-08-05T00:00:00"/>
    <s v="Cali"/>
    <s v="CD Sur"/>
    <s v="Online"/>
    <s v="Hogar"/>
    <s v="Escritorio Pro"/>
    <n v="10.322284019280699"/>
  </r>
  <r>
    <s v="ORD-2106"/>
    <d v="2026-08-06T00:00:00"/>
    <s v="Pasto"/>
    <s v="CD Norte (Pasto)"/>
    <s v="Tienda Fisica"/>
    <s v="Calzado"/>
    <s v="Tenis Urbano"/>
    <n v="10.3832406377457"/>
  </r>
  <r>
    <s v="ORD-2107"/>
    <d v="2026-08-06T00:00:00"/>
    <s v="Bogota"/>
    <s v="CD Centro"/>
    <s v="Online"/>
    <s v="Electro"/>
    <s v="Audifonos BT"/>
    <n v="10.4441972562106"/>
  </r>
  <r>
    <s v="ORD-2108"/>
    <d v="2026-08-06T00:00:00"/>
    <s v="Cali"/>
    <s v="CD Sur"/>
    <s v="Tienda Fisica"/>
    <s v="Moda"/>
    <s v="Vestido Formal"/>
    <n v="10.505153874675599"/>
  </r>
  <r>
    <s v="ORD-2109"/>
    <d v="2026-08-07T00:00:00"/>
    <s v="Pasto"/>
    <s v="CD Norte (Pasto)"/>
    <s v="Online"/>
    <s v="Hogar"/>
    <s v="Lámpara LED"/>
    <n v="10.566110493140499"/>
  </r>
  <r>
    <s v="ORD-2110"/>
    <d v="2026-08-07T00:00:00"/>
    <s v="Bogota"/>
    <s v="CD Centro"/>
    <s v="Tienda Fisica"/>
    <s v="Calzado"/>
    <s v="Zapatos Formales"/>
    <n v="10.6270671116055"/>
  </r>
  <r>
    <s v="ORD-2111"/>
    <d v="2026-08-07T00:00:00"/>
    <s v="Cali"/>
    <s v="CD Sur"/>
    <s v="Online"/>
    <s v="Electro"/>
    <s v="Consola Videojuegos"/>
    <n v="10.6880237300704"/>
  </r>
  <r>
    <s v="ORD-2112"/>
    <d v="2026-08-08T00:00:00"/>
    <s v="Pasto"/>
    <s v="CD Norte (Pasto)"/>
    <s v="Online"/>
    <s v="Moda"/>
    <s v="Chaqueta Impermeable"/>
    <n v="10.748980348535399"/>
  </r>
  <r>
    <s v="ORD-2113"/>
    <d v="2026-08-08T00:00:00"/>
    <s v="Bogota"/>
    <s v="CD Centro"/>
    <s v="Online"/>
    <s v="Hogar"/>
    <s v="Silla Ergonomica"/>
    <n v="10.8099369670004"/>
  </r>
  <r>
    <s v="ORD-2114"/>
    <d v="2026-08-08T00:00:00"/>
    <s v="Cali"/>
    <s v="CD Sur"/>
    <s v="Tienda Fisica"/>
    <s v="Calzado"/>
    <s v="Tenis Deportivo"/>
    <n v="10.8708935854653"/>
  </r>
  <r>
    <s v="ORD-2115"/>
    <d v="2026-08-09T00:00:00"/>
    <s v="Pasto"/>
    <s v="CD Norte (Pasto)"/>
    <s v="Tienda Fisica"/>
    <s v="Electro"/>
    <s v="Monitor 30"/>
    <n v="10.931850203930299"/>
  </r>
  <r>
    <s v="ORD-2116"/>
    <d v="2026-08-09T00:00:00"/>
    <s v="Bogota"/>
    <s v="CD Centro"/>
    <s v="Online"/>
    <s v="Moda"/>
    <s v="Buzo Hooded"/>
    <n v="10.9928068223953"/>
  </r>
  <r>
    <s v="ORD-2117"/>
    <d v="2026-08-09T00:00:00"/>
    <s v="Cali"/>
    <s v="CD Sur"/>
    <s v="Online"/>
    <s v="Hogar"/>
    <s v="Cama King"/>
    <n v="11.0537634408602"/>
  </r>
  <r>
    <s v="ORD-2118"/>
    <d v="2026-08-10T00:00:00"/>
    <s v="Pasto"/>
    <s v="CD Norte (Pasto)"/>
    <s v="Online"/>
    <s v="Calzado"/>
    <s v="Botines Cuero"/>
    <n v="11.114720059325199"/>
  </r>
  <r>
    <s v="ORD-2119"/>
    <d v="2026-08-10T00:00:00"/>
    <s v="Bogota"/>
    <s v="CD Centro"/>
    <s v="Tienda Fisica"/>
    <s v="Electro"/>
    <s v="Teclado Mecanico"/>
    <n v="11.175676677790101"/>
  </r>
  <r>
    <s v="ORD-2120"/>
    <d v="2026-08-10T00:00:00"/>
    <s v="Cali"/>
    <s v="CD Sur"/>
    <s v="Online"/>
    <s v="Moda"/>
    <s v="Pantalón Cargo"/>
    <n v="11.2366332962551"/>
  </r>
  <r>
    <s v="ORD-2121"/>
    <d v="2026-08-01T00:00:00"/>
    <s v="Pasto"/>
    <s v="CD Norte (Pasto)"/>
    <s v="Online"/>
    <s v="Electro"/>
    <s v="Laptop Pro 19"/>
    <n v="11.297589914720101"/>
  </r>
  <r>
    <s v="ORD-2122"/>
    <d v="2026-08-01T00:00:00"/>
    <s v="Bogota"/>
    <s v="CD Centro"/>
    <s v="Tienda Fisica"/>
    <s v="Moda"/>
    <s v="Chaqueta Cuero"/>
    <n v="11.358546533185001"/>
  </r>
  <r>
    <s v="ORD-2123"/>
    <d v="2026-08-01T00:00:00"/>
    <s v="Cali"/>
    <s v="CD Sur"/>
    <s v="Online"/>
    <s v="Hogar"/>
    <s v="Cafetera Express"/>
    <n v="11.41950315165"/>
  </r>
  <r>
    <s v="ORD-2124"/>
    <d v="2026-08-02T00:00:00"/>
    <s v="Pasto"/>
    <s v="CD Norte (Pasto)"/>
    <s v="Tienda Fisica"/>
    <s v="Calzado"/>
    <s v="Tenis Running"/>
    <n v="11.480459770115001"/>
  </r>
  <r>
    <s v="ORD-2125"/>
    <d v="2026-08-02T00:00:00"/>
    <s v="Bogota"/>
    <s v="CD Centro"/>
    <s v="Online"/>
    <s v="Electro"/>
    <s v="Smartphone X"/>
    <n v="11.541416388579901"/>
  </r>
  <r>
    <s v="ORD-2126"/>
    <d v="2026-08-02T00:00:00"/>
    <s v="Cali"/>
    <s v="CD Sur"/>
    <s v="Online"/>
    <s v="Moda"/>
    <s v="Jean Slim Fit"/>
    <n v="11.6023730070449"/>
  </r>
  <r>
    <s v="ORD-2127"/>
    <d v="2026-08-03T00:00:00"/>
    <s v="Pasto"/>
    <s v="CD Norte (Pasto)"/>
    <s v="Online"/>
    <s v="Hogar"/>
    <s v="Aspiradora Robot"/>
    <n v="11.6633296255098"/>
  </r>
  <r>
    <s v="ORD-2128"/>
    <d v="2026-08-03T00:00:00"/>
    <s v="Bogota"/>
    <s v="CD Centro"/>
    <s v="Tienda Fisica"/>
    <s v="Calzado"/>
    <s v="Botas Moto"/>
    <n v="11.724286243974801"/>
  </r>
  <r>
    <s v="ORD-2129"/>
    <d v="2026-08-03T00:00:00"/>
    <s v="Cali"/>
    <s v="CD Sur"/>
    <s v="Online"/>
    <s v="Electro"/>
    <s v="Smart TV 59"/>
    <n v="11.7852428624398"/>
  </r>
  <r>
    <s v="ORD-2130"/>
    <d v="2026-08-04T00:00:00"/>
    <s v="Pasto"/>
    <s v="CD Norte (Pasto)"/>
    <s v="Tienda Fisica"/>
    <s v="Moda"/>
    <s v="Camisa Lino"/>
    <n v="11.8461994809047"/>
  </r>
  <r>
    <s v="ORD-2131"/>
    <d v="2026-08-04T00:00:00"/>
    <s v="Bogota"/>
    <s v="CD Centro"/>
    <s v="Online"/>
    <s v="Hogar"/>
    <s v="Juego Comedor"/>
    <n v="11.907156099369701"/>
  </r>
  <r>
    <s v="ORD-2132"/>
    <d v="2026-08-04T00:00:00"/>
    <s v="Cali"/>
    <s v="CD Sur"/>
    <s v="Tienda Fisica"/>
    <s v="Calzado"/>
    <s v="Sandalias"/>
    <n v="11.9681127178346"/>
  </r>
  <r>
    <s v="ORD-2133"/>
    <d v="2026-08-05T00:00:00"/>
    <s v="Pasto"/>
    <s v="CD Norte (Pasto)"/>
    <s v="Online"/>
    <s v="Electro"/>
    <s v="Tablet 14"/>
    <n v="12.0290693362996"/>
  </r>
  <r>
    <s v="ORD-2134"/>
    <d v="2026-08-05T00:00:00"/>
    <s v="Bogota"/>
    <s v="CD Centro"/>
    <s v="Online"/>
    <s v="Moda"/>
    <s v="Saco Lana"/>
    <n v="12.090025954764601"/>
  </r>
  <r>
    <s v="ORD-2135"/>
    <d v="2026-08-05T00:00:00"/>
    <s v="Cali"/>
    <s v="CD Sur"/>
    <s v="Online"/>
    <s v="Hogar"/>
    <s v="Escritorio Pro"/>
    <n v="12.1509825732295"/>
  </r>
  <r>
    <s v="ORD-2136"/>
    <d v="2026-08-06T00:00:00"/>
    <s v="Pasto"/>
    <s v="CD Norte (Pasto)"/>
    <s v="Tienda Fisica"/>
    <s v="Calzado"/>
    <s v="Tenis Urbano"/>
    <n v="12.211939191694499"/>
  </r>
  <r>
    <s v="ORD-2137"/>
    <d v="2026-08-06T00:00:00"/>
    <s v="Bogota"/>
    <s v="CD Centro"/>
    <s v="Online"/>
    <s v="Electro"/>
    <s v="Audifonos BT"/>
    <n v="12.272895810159399"/>
  </r>
  <r>
    <s v="ORD-2138"/>
    <d v="2026-08-06T00:00:00"/>
    <s v="Cali"/>
    <s v="CD Sur"/>
    <s v="Tienda Fisica"/>
    <s v="Moda"/>
    <s v="Vestido Formal"/>
    <n v="12.3338524286244"/>
  </r>
  <r>
    <s v="ORD-2139"/>
    <d v="2026-08-07T00:00:00"/>
    <s v="Pasto"/>
    <s v="CD Norte (Pasto)"/>
    <s v="Online"/>
    <s v="Hogar"/>
    <s v="Lámpara LED"/>
    <n v="12.394809047089399"/>
  </r>
  <r>
    <s v="ORD-2140"/>
    <d v="2026-08-07T00:00:00"/>
    <s v="Bogota"/>
    <s v="CD Centro"/>
    <s v="Tienda Fisica"/>
    <s v="Calzado"/>
    <s v="Zapatos Formales"/>
    <n v="12.455765665554299"/>
  </r>
  <r>
    <s v="ORD-2141"/>
    <d v="2026-08-07T00:00:00"/>
    <s v="Cali"/>
    <s v="CD Sur"/>
    <s v="Online"/>
    <s v="Electro"/>
    <s v="Consola Videojuegos"/>
    <n v="12.5167222840193"/>
  </r>
  <r>
    <s v="ORD-2142"/>
    <d v="2026-08-08T00:00:00"/>
    <s v="Pasto"/>
    <s v="CD Norte (Pasto)"/>
    <s v="Online"/>
    <s v="Moda"/>
    <s v="Chaqueta Impermeable"/>
    <n v="12.577678902484299"/>
  </r>
  <r>
    <s v="ORD-2143"/>
    <d v="2026-08-08T00:00:00"/>
    <s v="Bogota"/>
    <s v="CD Centro"/>
    <s v="Online"/>
    <s v="Hogar"/>
    <s v="Silla Ergonomica"/>
    <n v="12.638635520949199"/>
  </r>
  <r>
    <s v="ORD-2144"/>
    <d v="2026-08-08T00:00:00"/>
    <s v="Cali"/>
    <s v="CD Sur"/>
    <s v="Tienda Fisica"/>
    <s v="Calzado"/>
    <s v="Tenis Deportivo"/>
    <n v="12.6995921394142"/>
  </r>
  <r>
    <s v="ORD-2145"/>
    <d v="2026-08-09T00:00:00"/>
    <s v="Pasto"/>
    <s v="CD Norte (Pasto)"/>
    <s v="Tienda Fisica"/>
    <s v="Electro"/>
    <s v="Monitor 31"/>
    <n v="12.7605487578791"/>
  </r>
  <r>
    <s v="ORD-2146"/>
    <d v="2026-08-09T00:00:00"/>
    <s v="Bogota"/>
    <s v="CD Centro"/>
    <s v="Online"/>
    <s v="Moda"/>
    <s v="Buzo Hooded"/>
    <n v="12.821505376344099"/>
  </r>
  <r>
    <s v="ORD-2147"/>
    <d v="2026-08-09T00:00:00"/>
    <s v="Cali"/>
    <s v="CD Sur"/>
    <s v="Online"/>
    <s v="Hogar"/>
    <s v="Cama King"/>
    <n v="12.882461994809001"/>
  </r>
  <r>
    <s v="ORD-2148"/>
    <d v="2026-08-10T00:00:00"/>
    <s v="Pasto"/>
    <s v="CD Norte (Pasto)"/>
    <s v="Online"/>
    <s v="Calzado"/>
    <s v="Botines Cuero"/>
    <n v="12.943418613274"/>
  </r>
  <r>
    <s v="ORD-2149"/>
    <d v="2026-08-10T00:00:00"/>
    <s v="Bogota"/>
    <s v="CD Centro"/>
    <s v="Tienda Fisica"/>
    <s v="Electro"/>
    <s v="Teclado Mecanico"/>
    <n v="13.004375231738999"/>
  </r>
  <r>
    <s v="ORD-2150"/>
    <d v="2026-08-10T00:00:00"/>
    <s v="Cali"/>
    <s v="CD Sur"/>
    <s v="Online"/>
    <s v="Moda"/>
    <s v="Pantalón Cargo"/>
    <n v="13.065331850203901"/>
  </r>
  <r>
    <s v="ORD-2151"/>
    <d v="2026-08-01T00:00:00"/>
    <s v="Pasto"/>
    <s v="CD Norte (Pasto)"/>
    <s v="Online"/>
    <s v="Electro"/>
    <s v="Laptop Pro 20"/>
    <n v="13.1262884686689"/>
  </r>
  <r>
    <s v="ORD-2152"/>
    <d v="2026-08-01T00:00:00"/>
    <s v="Bogota"/>
    <s v="CD Centro"/>
    <s v="Tienda Fisica"/>
    <s v="Moda"/>
    <s v="Chaqueta Cuero"/>
    <n v="13.187245087133901"/>
  </r>
  <r>
    <s v="ORD-2153"/>
    <d v="2026-08-01T00:00:00"/>
    <s v="Cali"/>
    <s v="CD Sur"/>
    <s v="Online"/>
    <s v="Hogar"/>
    <s v="Cafetera Express"/>
    <n v="13.248201705598801"/>
  </r>
  <r>
    <s v="ORD-2154"/>
    <d v="2026-08-02T00:00:00"/>
    <s v="Pasto"/>
    <s v="CD Norte (Pasto)"/>
    <s v="Tienda Fisica"/>
    <s v="Calzado"/>
    <s v="Tenis Running"/>
    <n v="13.3091583240638"/>
  </r>
  <r>
    <s v="ORD-2155"/>
    <d v="2026-08-02T00:00:00"/>
    <s v="Bogota"/>
    <s v="CD Centro"/>
    <s v="Online"/>
    <s v="Electro"/>
    <s v="Smartphone X"/>
    <n v="13.3701149425287"/>
  </r>
  <r>
    <s v="ORD-2156"/>
    <d v="2026-08-02T00:00:00"/>
    <s v="Cali"/>
    <s v="CD Sur"/>
    <s v="Online"/>
    <s v="Moda"/>
    <s v="Jean Slim Fit"/>
    <n v="13.431071560993701"/>
  </r>
  <r>
    <s v="ORD-2157"/>
    <d v="2026-08-03T00:00:00"/>
    <s v="Pasto"/>
    <s v="CD Norte (Pasto)"/>
    <s v="Online"/>
    <s v="Hogar"/>
    <s v="Aspiradora Robot"/>
    <n v="13.4920281794587"/>
  </r>
  <r>
    <s v="ORD-2158"/>
    <d v="2026-08-03T00:00:00"/>
    <s v="Bogota"/>
    <s v="CD Centro"/>
    <s v="Tienda Fisica"/>
    <s v="Calzado"/>
    <s v="Botas Moto"/>
    <n v="13.5529847979236"/>
  </r>
  <r>
    <s v="ORD-2159"/>
    <d v="2026-08-03T00:00:00"/>
    <s v="Cali"/>
    <s v="CD Sur"/>
    <s v="Online"/>
    <s v="Electro"/>
    <s v="Smart TV 60"/>
    <n v="13.613941416388601"/>
  </r>
  <r>
    <s v="ORD-2160"/>
    <d v="2026-08-04T00:00:00"/>
    <s v="Pasto"/>
    <s v="CD Norte (Pasto)"/>
    <s v="Tienda Fisica"/>
    <s v="Moda"/>
    <s v="Camisa Lino"/>
    <n v="13.6748980348535"/>
  </r>
  <r>
    <s v="ORD-2161"/>
    <d v="2026-08-04T00:00:00"/>
    <s v="Bogota"/>
    <s v="CD Centro"/>
    <s v="Online"/>
    <s v="Hogar"/>
    <s v="Juego Comedor"/>
    <n v="13.7358546533185"/>
  </r>
  <r>
    <s v="ORD-2162"/>
    <d v="2026-08-04T00:00:00"/>
    <s v="Cali"/>
    <s v="CD Sur"/>
    <s v="Tienda Fisica"/>
    <s v="Calzado"/>
    <s v="Sandalias"/>
    <n v="13.796811271783501"/>
  </r>
  <r>
    <s v="ORD-2163"/>
    <d v="2026-08-05T00:00:00"/>
    <s v="Pasto"/>
    <s v="CD Norte (Pasto)"/>
    <s v="Online"/>
    <s v="Electro"/>
    <s v="Tablet 15"/>
    <n v="13.8577678902484"/>
  </r>
  <r>
    <s v="ORD-2164"/>
    <d v="2026-08-05T00:00:00"/>
    <s v="Bogota"/>
    <s v="CD Centro"/>
    <s v="Online"/>
    <s v="Moda"/>
    <s v="Saco Lana"/>
    <n v="13.9187245087134"/>
  </r>
  <r>
    <s v="ORD-2165"/>
    <d v="2026-08-05T00:00:00"/>
    <s v="Cali"/>
    <s v="CD Sur"/>
    <s v="Online"/>
    <s v="Hogar"/>
    <s v="Escritorio Pro"/>
    <n v="13.979681127178299"/>
  </r>
  <r>
    <s v="ORD-2166"/>
    <d v="2026-08-06T00:00:00"/>
    <s v="Pasto"/>
    <s v="CD Norte (Pasto)"/>
    <s v="Tienda Fisica"/>
    <s v="Calzado"/>
    <s v="Tenis Urbano"/>
    <n v="14.0406377456433"/>
  </r>
  <r>
    <s v="ORD-2167"/>
    <d v="2026-08-06T00:00:00"/>
    <s v="Bogota"/>
    <s v="CD Centro"/>
    <s v="Online"/>
    <s v="Electro"/>
    <s v="Audifonos BT"/>
    <n v="14.1015943641082"/>
  </r>
  <r>
    <s v="ORD-2168"/>
    <d v="2026-08-06T00:00:00"/>
    <s v="Cali"/>
    <s v="CD Sur"/>
    <s v="Tienda Fisica"/>
    <s v="Moda"/>
    <s v="Vestido Formal"/>
    <n v="14.162550982573199"/>
  </r>
  <r>
    <s v="ORD-2169"/>
    <d v="2026-08-07T00:00:00"/>
    <s v="Pasto"/>
    <s v="CD Norte (Pasto)"/>
    <s v="Online"/>
    <s v="Hogar"/>
    <s v="Lámpara LED"/>
    <n v="14.2235076010382"/>
  </r>
  <r>
    <s v="ORD-2170"/>
    <d v="2026-08-07T00:00:00"/>
    <s v="Bogota"/>
    <s v="CD Centro"/>
    <s v="Tienda Fisica"/>
    <s v="Calzado"/>
    <s v="Zapatos Formales"/>
    <n v="14.2844642195031"/>
  </r>
  <r>
    <s v="ORD-2171"/>
    <d v="2026-08-07T00:00:00"/>
    <s v="Cali"/>
    <s v="CD Sur"/>
    <s v="Online"/>
    <s v="Electro"/>
    <s v="Consola Videojuegos"/>
    <n v="14.345420837968099"/>
  </r>
  <r>
    <s v="ORD-2172"/>
    <d v="2026-08-08T00:00:00"/>
    <s v="Pasto"/>
    <s v="CD Norte (Pasto)"/>
    <s v="Online"/>
    <s v="Moda"/>
    <s v="Chaqueta Impermeable"/>
    <n v="14.406377456433001"/>
  </r>
  <r>
    <s v="ORD-2173"/>
    <d v="2026-08-08T00:00:00"/>
    <s v="Bogota"/>
    <s v="CD Centro"/>
    <s v="Online"/>
    <s v="Hogar"/>
    <s v="Silla Ergonomica"/>
    <n v="14.467334074898"/>
  </r>
  <r>
    <s v="ORD-2174"/>
    <d v="2026-08-08T00:00:00"/>
    <s v="Cali"/>
    <s v="CD Sur"/>
    <s v="Tienda Fisica"/>
    <s v="Calzado"/>
    <s v="Tenis Deportivo"/>
    <n v="14.528290693362999"/>
  </r>
  <r>
    <s v="ORD-2175"/>
    <d v="2026-08-09T00:00:00"/>
    <s v="Pasto"/>
    <s v="CD Norte (Pasto)"/>
    <s v="Tienda Fisica"/>
    <s v="Electro"/>
    <s v="Monitor 32"/>
    <n v="14.589247311827901"/>
  </r>
  <r>
    <s v="ORD-2176"/>
    <d v="2026-08-09T00:00:00"/>
    <s v="Bogota"/>
    <s v="CD Centro"/>
    <s v="Online"/>
    <s v="Moda"/>
    <s v="Buzo Hooded"/>
    <n v="14.6502039302929"/>
  </r>
  <r>
    <s v="ORD-2177"/>
    <d v="2026-08-09T00:00:00"/>
    <s v="Cali"/>
    <s v="CD Sur"/>
    <s v="Online"/>
    <s v="Hogar"/>
    <s v="Cama King"/>
    <n v="14.711160548757899"/>
  </r>
  <r>
    <s v="ORD-2178"/>
    <d v="2026-08-10T00:00:00"/>
    <s v="Pasto"/>
    <s v="CD Norte (Pasto)"/>
    <s v="Online"/>
    <s v="Calzado"/>
    <s v="Botines Cuero"/>
    <n v="14.772117167222801"/>
  </r>
  <r>
    <s v="ORD-2179"/>
    <d v="2026-08-10T00:00:00"/>
    <s v="Bogota"/>
    <s v="CD Centro"/>
    <s v="Tienda Fisica"/>
    <s v="Electro"/>
    <s v="Teclado Mecanico"/>
    <n v="14.8330737856878"/>
  </r>
  <r>
    <s v="ORD-2180"/>
    <d v="2026-08-10T00:00:00"/>
    <s v="Cali"/>
    <s v="CD Sur"/>
    <s v="Online"/>
    <s v="Moda"/>
    <s v="Pantalón Cargo"/>
    <n v="14.8940304041527"/>
  </r>
  <r>
    <s v="ORD-2181"/>
    <d v="2026-08-01T00:00:00"/>
    <s v="Pasto"/>
    <s v="CD Norte (Pasto)"/>
    <s v="Online"/>
    <s v="Electro"/>
    <s v="Laptop Pro 21"/>
    <n v="14.954987022617701"/>
  </r>
  <r>
    <s v="ORD-2182"/>
    <d v="2026-08-01T00:00:00"/>
    <s v="Bogota"/>
    <s v="CD Centro"/>
    <s v="Tienda Fisica"/>
    <s v="Moda"/>
    <s v="Chaqueta Cuero"/>
    <n v="15.0159436410827"/>
  </r>
  <r>
    <s v="ORD-2183"/>
    <d v="2026-08-01T00:00:00"/>
    <s v="Cali"/>
    <s v="CD Sur"/>
    <s v="Online"/>
    <s v="Hogar"/>
    <s v="Cafetera Express"/>
    <n v="15.0769002595476"/>
  </r>
  <r>
    <s v="ORD-2184"/>
    <d v="2026-08-02T00:00:00"/>
    <s v="Pasto"/>
    <s v="CD Norte (Pasto)"/>
    <s v="Tienda Fisica"/>
    <s v="Calzado"/>
    <s v="Tenis Running"/>
    <n v="15.137856878012601"/>
  </r>
  <r>
    <s v="ORD-2185"/>
    <d v="2026-08-02T00:00:00"/>
    <s v="Bogota"/>
    <s v="CD Centro"/>
    <s v="Online"/>
    <s v="Electro"/>
    <s v="Smartphone X"/>
    <n v="15.1988134964775"/>
  </r>
  <r>
    <s v="ORD-2186"/>
    <d v="2026-08-02T00:00:00"/>
    <s v="Cali"/>
    <s v="CD Sur"/>
    <s v="Online"/>
    <s v="Moda"/>
    <s v="Jean Slim Fit"/>
    <n v="15.2597701149425"/>
  </r>
  <r>
    <s v="ORD-2187"/>
    <d v="2026-08-03T00:00:00"/>
    <s v="Pasto"/>
    <s v="CD Norte (Pasto)"/>
    <s v="Online"/>
    <s v="Hogar"/>
    <s v="Aspiradora Robot"/>
    <n v="15.320726733407501"/>
  </r>
  <r>
    <s v="ORD-2188"/>
    <d v="2026-08-03T00:00:00"/>
    <s v="Bogota"/>
    <s v="CD Centro"/>
    <s v="Tienda Fisica"/>
    <s v="Calzado"/>
    <s v="Botas Moto"/>
    <n v="15.3816833518724"/>
  </r>
  <r>
    <s v="ORD-2189"/>
    <d v="2026-08-03T00:00:00"/>
    <s v="Cali"/>
    <s v="CD Sur"/>
    <s v="Online"/>
    <s v="Electro"/>
    <s v="Smart TV 61"/>
    <n v="15.4426399703374"/>
  </r>
  <r>
    <s v="ORD-2190"/>
    <d v="2026-08-04T00:00:00"/>
    <s v="Pasto"/>
    <s v="CD Norte (Pasto)"/>
    <s v="Tienda Fisica"/>
    <s v="Moda"/>
    <s v="Camisa Lino"/>
    <n v="15.503596588802299"/>
  </r>
  <r>
    <s v="ORD-2191"/>
    <d v="2026-08-04T00:00:00"/>
    <s v="Bogota"/>
    <s v="CD Centro"/>
    <s v="Online"/>
    <s v="Hogar"/>
    <s v="Juego Comedor"/>
    <n v="15.5645532072673"/>
  </r>
  <r>
    <s v="ORD-2192"/>
    <d v="2026-08-04T00:00:00"/>
    <s v="Cali"/>
    <s v="CD Sur"/>
    <s v="Tienda Fisica"/>
    <s v="Calzado"/>
    <s v="Sandalias"/>
    <n v="15.6255098257323"/>
  </r>
  <r>
    <s v="ORD-2193"/>
    <d v="2026-08-05T00:00:00"/>
    <s v="Pasto"/>
    <s v="CD Norte (Pasto)"/>
    <s v="Online"/>
    <s v="Electro"/>
    <s v="Tablet 16"/>
    <n v="15.686466444197199"/>
  </r>
  <r>
    <s v="ORD-2194"/>
    <d v="2026-08-05T00:00:00"/>
    <s v="Bogota"/>
    <s v="CD Centro"/>
    <s v="Online"/>
    <s v="Moda"/>
    <s v="Saco Lana"/>
    <n v="15.7474230626622"/>
  </r>
  <r>
    <s v="ORD-2195"/>
    <d v="2026-08-05T00:00:00"/>
    <s v="Cali"/>
    <s v="CD Sur"/>
    <s v="Online"/>
    <s v="Hogar"/>
    <s v="Escritorio Pro"/>
    <n v="15.808379681127199"/>
  </r>
  <r>
    <s v="ORD-2196"/>
    <d v="2026-08-06T00:00:00"/>
    <s v="Pasto"/>
    <s v="CD Norte (Pasto)"/>
    <s v="Tienda Fisica"/>
    <s v="Calzado"/>
    <s v="Tenis Urbano"/>
    <n v="15.869336299592099"/>
  </r>
  <r>
    <s v="ORD-2197"/>
    <d v="2026-08-06T00:00:00"/>
    <s v="Bogota"/>
    <s v="CD Centro"/>
    <s v="Online"/>
    <s v="Electro"/>
    <s v="Audifonos BT"/>
    <n v="15.9302929180571"/>
  </r>
  <r>
    <s v="ORD-2198"/>
    <d v="2026-08-06T00:00:00"/>
    <s v="Cali"/>
    <s v="CD Sur"/>
    <s v="Tienda Fisica"/>
    <s v="Moda"/>
    <s v="Vestido Formal"/>
    <n v="15.991249536522"/>
  </r>
  <r>
    <s v="ORD-2199"/>
    <d v="2026-08-07T00:00:00"/>
    <s v="Pasto"/>
    <s v="CD Norte (Pasto)"/>
    <s v="Online"/>
    <s v="Hogar"/>
    <s v="Lámpara LED"/>
    <n v="16.052206154987001"/>
  </r>
  <r>
    <s v="ORD-2200"/>
    <d v="2026-08-07T00:00:00"/>
    <s v="Bogota"/>
    <s v="CD Centro"/>
    <s v="Tienda Fisica"/>
    <s v="Calzado"/>
    <s v="Zapatos Formales"/>
    <n v="16.113162773452"/>
  </r>
  <r>
    <s v="ORD-2201"/>
    <d v="2026-08-07T00:00:00"/>
    <s v="Cali"/>
    <s v="CD Sur"/>
    <s v="Online"/>
    <s v="Electro"/>
    <s v="Consola Videojuegos"/>
    <n v="16.1741193919169"/>
  </r>
  <r>
    <s v="ORD-2202"/>
    <d v="2026-08-08T00:00:00"/>
    <s v="Pasto"/>
    <s v="CD Norte (Pasto)"/>
    <s v="Online"/>
    <s v="Moda"/>
    <s v="Chaqueta Impermeable"/>
    <n v="16.235076010381899"/>
  </r>
  <r>
    <s v="ORD-2203"/>
    <d v="2026-08-08T00:00:00"/>
    <s v="Bogota"/>
    <s v="CD Centro"/>
    <s v="Online"/>
    <s v="Hogar"/>
    <s v="Silla Ergonomica"/>
    <n v="16.296032628846799"/>
  </r>
  <r>
    <s v="ORD-2204"/>
    <d v="2026-08-08T00:00:00"/>
    <s v="Cali"/>
    <s v="CD Sur"/>
    <s v="Tienda Fisica"/>
    <s v="Calzado"/>
    <s v="Tenis Deportivo"/>
    <n v="16.356989247311802"/>
  </r>
  <r>
    <s v="ORD-2205"/>
    <d v="2026-08-09T00:00:00"/>
    <s v="Pasto"/>
    <s v="CD Norte (Pasto)"/>
    <s v="Tienda Fisica"/>
    <s v="Electro"/>
    <s v="Monitor 33"/>
    <n v="16.417945865776801"/>
  </r>
  <r>
    <s v="ORD-2206"/>
    <d v="2026-08-09T00:00:00"/>
    <s v="Bogota"/>
    <s v="CD Centro"/>
    <s v="Online"/>
    <s v="Moda"/>
    <s v="Buzo Hooded"/>
    <n v="16.478902484241701"/>
  </r>
  <r>
    <s v="ORD-2207"/>
    <d v="2026-08-09T00:00:00"/>
    <s v="Cali"/>
    <s v="CD Sur"/>
    <s v="Online"/>
    <s v="Hogar"/>
    <s v="Cama King"/>
    <n v="16.5398591027067"/>
  </r>
  <r>
    <s v="ORD-2208"/>
    <d v="2026-08-10T00:00:00"/>
    <s v="Pasto"/>
    <s v="CD Norte (Pasto)"/>
    <s v="Online"/>
    <s v="Calzado"/>
    <s v="Botines Cuero"/>
    <n v="16.6008157211716"/>
  </r>
  <r>
    <s v="ORD-2209"/>
    <d v="2026-08-10T00:00:00"/>
    <s v="Bogota"/>
    <s v="CD Centro"/>
    <s v="Tienda Fisica"/>
    <s v="Electro"/>
    <s v="Teclado Mecanico"/>
    <n v="16.661772339636599"/>
  </r>
  <r>
    <s v="ORD-2210"/>
    <d v="2026-08-10T00:00:00"/>
    <s v="Cali"/>
    <s v="CD Sur"/>
    <s v="Online"/>
    <s v="Moda"/>
    <s v="Pantalón Cargo"/>
    <n v="16.722728958101602"/>
  </r>
  <r>
    <s v="ORD-2211"/>
    <d v="2026-08-01T00:00:00"/>
    <s v="Pasto"/>
    <s v="CD Norte (Pasto)"/>
    <s v="Online"/>
    <s v="Electro"/>
    <s v="Laptop Pro 22"/>
    <n v="16.783685576566501"/>
  </r>
  <r>
    <s v="ORD-2212"/>
    <d v="2026-08-01T00:00:00"/>
    <s v="Bogota"/>
    <s v="CD Centro"/>
    <s v="Tienda Fisica"/>
    <s v="Moda"/>
    <s v="Chaqueta Cuero"/>
    <n v="16.844642195031501"/>
  </r>
  <r>
    <s v="ORD-2213"/>
    <d v="2026-08-01T00:00:00"/>
    <s v="Cali"/>
    <s v="CD Sur"/>
    <s v="Online"/>
    <s v="Hogar"/>
    <s v="Cafetera Express"/>
    <n v="16.9055988134965"/>
  </r>
  <r>
    <s v="ORD-2214"/>
    <d v="2026-08-02T00:00:00"/>
    <s v="Pasto"/>
    <s v="CD Norte (Pasto)"/>
    <s v="Tienda Fisica"/>
    <s v="Calzado"/>
    <s v="Tenis Running"/>
    <n v="16.9665554319614"/>
  </r>
  <r>
    <s v="ORD-2215"/>
    <d v="2026-08-02T00:00:00"/>
    <s v="Bogota"/>
    <s v="CD Centro"/>
    <s v="Online"/>
    <s v="Electro"/>
    <s v="Smartphone X"/>
    <n v="17.027512050426399"/>
  </r>
  <r>
    <s v="ORD-2216"/>
    <d v="2026-08-02T00:00:00"/>
    <s v="Cali"/>
    <s v="CD Sur"/>
    <s v="Online"/>
    <s v="Moda"/>
    <s v="Jean Slim Fit"/>
    <n v="17.088468668891299"/>
  </r>
  <r>
    <s v="ORD-2217"/>
    <d v="2026-08-03T00:00:00"/>
    <s v="Pasto"/>
    <s v="CD Norte (Pasto)"/>
    <s v="Online"/>
    <s v="Hogar"/>
    <s v="Aspiradora Robot"/>
    <n v="17.149425287356301"/>
  </r>
  <r>
    <s v="ORD-2218"/>
    <d v="2026-08-03T00:00:00"/>
    <s v="Bogota"/>
    <s v="CD Centro"/>
    <s v="Tienda Fisica"/>
    <s v="Calzado"/>
    <s v="Botas Moto"/>
    <n v="17.210381905821301"/>
  </r>
  <r>
    <s v="ORD-2219"/>
    <d v="2026-08-03T00:00:00"/>
    <s v="Cali"/>
    <s v="CD Sur"/>
    <s v="Online"/>
    <s v="Electro"/>
    <s v="Smart TV 62"/>
    <n v="17.2713385242862"/>
  </r>
  <r>
    <s v="ORD-2220"/>
    <d v="2026-08-04T00:00:00"/>
    <s v="Pasto"/>
    <s v="CD Norte (Pasto)"/>
    <s v="Tienda Fisica"/>
    <s v="Moda"/>
    <s v="Camisa Lino"/>
    <n v="17.3322951427512"/>
  </r>
  <r>
    <s v="ORD-2221"/>
    <d v="2026-08-04T00:00:00"/>
    <s v="Bogota"/>
    <s v="CD Centro"/>
    <s v="Online"/>
    <s v="Hogar"/>
    <s v="Juego Comedor"/>
    <n v="17.393251761216099"/>
  </r>
  <r>
    <s v="ORD-2222"/>
    <d v="2026-08-04T00:00:00"/>
    <s v="Cali"/>
    <s v="CD Sur"/>
    <s v="Tienda Fisica"/>
    <s v="Calzado"/>
    <s v="Sandalias"/>
    <n v="17.454208379681099"/>
  </r>
  <r>
    <s v="ORD-2223"/>
    <d v="2026-08-05T00:00:00"/>
    <s v="Pasto"/>
    <s v="CD Norte (Pasto)"/>
    <s v="Online"/>
    <s v="Electro"/>
    <s v="Tablet 17"/>
    <n v="17.515164998146101"/>
  </r>
  <r>
    <s v="ORD-2224"/>
    <d v="2026-08-05T00:00:00"/>
    <s v="Bogota"/>
    <s v="CD Centro"/>
    <s v="Online"/>
    <s v="Moda"/>
    <s v="Saco Lana"/>
    <n v="17.576121616611001"/>
  </r>
  <r>
    <s v="ORD-2225"/>
    <d v="2026-08-05T00:00:00"/>
    <s v="Cali"/>
    <s v="CD Sur"/>
    <s v="Online"/>
    <s v="Hogar"/>
    <s v="Escritorio Pro"/>
    <n v="17.637078235076"/>
  </r>
  <r>
    <s v="ORD-2226"/>
    <d v="2026-08-06T00:00:00"/>
    <s v="Pasto"/>
    <s v="CD Norte (Pasto)"/>
    <s v="Tienda Fisica"/>
    <s v="Calzado"/>
    <s v="Tenis Urbano"/>
    <n v="17.6980348535409"/>
  </r>
  <r>
    <s v="ORD-2227"/>
    <d v="2026-08-06T00:00:00"/>
    <s v="Bogota"/>
    <s v="CD Centro"/>
    <s v="Online"/>
    <s v="Electro"/>
    <s v="Audifonos BT"/>
    <n v="17.758991472005899"/>
  </r>
  <r>
    <s v="ORD-2228"/>
    <d v="2026-08-06T00:00:00"/>
    <s v="Cali"/>
    <s v="CD Sur"/>
    <s v="Tienda Fisica"/>
    <s v="Moda"/>
    <s v="Vestido Formal"/>
    <n v="17.819948090470898"/>
  </r>
  <r>
    <s v="ORD-2229"/>
    <d v="2026-08-07T00:00:00"/>
    <s v="Pasto"/>
    <s v="CD Norte (Pasto)"/>
    <s v="Online"/>
    <s v="Hogar"/>
    <s v="Lámpara LED"/>
    <n v="17.880904708935802"/>
  </r>
  <r>
    <s v="ORD-2230"/>
    <d v="2026-08-07T00:00:00"/>
    <s v="Bogota"/>
    <s v="CD Centro"/>
    <s v="Tienda Fisica"/>
    <s v="Calzado"/>
    <s v="Zapatos Formales"/>
    <n v="17.941861327400801"/>
  </r>
  <r>
    <s v="ORD-2231"/>
    <d v="2026-08-07T00:00:00"/>
    <s v="Cali"/>
    <s v="CD Sur"/>
    <s v="Online"/>
    <s v="Electro"/>
    <s v="Consola Videojuegos"/>
    <n v="18.0028179458658"/>
  </r>
  <r>
    <s v="ORD-2232"/>
    <d v="2026-08-08T00:00:00"/>
    <s v="Pasto"/>
    <s v="CD Norte (Pasto)"/>
    <s v="Online"/>
    <s v="Moda"/>
    <s v="Chaqueta Impermeable"/>
    <n v="18.0637745643307"/>
  </r>
  <r>
    <s v="ORD-2233"/>
    <d v="2026-08-08T00:00:00"/>
    <s v="Bogota"/>
    <s v="CD Centro"/>
    <s v="Online"/>
    <s v="Hogar"/>
    <s v="Silla Ergonomica"/>
    <n v="18.124731182795699"/>
  </r>
  <r>
    <s v="ORD-2234"/>
    <d v="2026-08-08T00:00:00"/>
    <s v="Cali"/>
    <s v="CD Sur"/>
    <s v="Tienda Fisica"/>
    <s v="Calzado"/>
    <s v="Tenis Deportivo"/>
    <n v="18.185687801260599"/>
  </r>
  <r>
    <s v="ORD-2235"/>
    <d v="2026-08-09T00:00:00"/>
    <s v="Pasto"/>
    <s v="CD Norte (Pasto)"/>
    <s v="Tienda Fisica"/>
    <s v="Electro"/>
    <s v="Monitor 34"/>
    <n v="18.246644419725602"/>
  </r>
  <r>
    <s v="ORD-2236"/>
    <d v="2026-08-09T00:00:00"/>
    <s v="Bogota"/>
    <s v="CD Centro"/>
    <s v="Online"/>
    <s v="Moda"/>
    <s v="Buzo Hooded"/>
    <n v="18.307601038190601"/>
  </r>
  <r>
    <s v="ORD-2237"/>
    <d v="2026-08-09T00:00:00"/>
    <s v="Cali"/>
    <s v="CD Sur"/>
    <s v="Online"/>
    <s v="Hogar"/>
    <s v="Cama King"/>
    <n v="18.368557656655501"/>
  </r>
  <r>
    <s v="ORD-2238"/>
    <d v="2026-08-10T00:00:00"/>
    <s v="Pasto"/>
    <s v="CD Norte (Pasto)"/>
    <s v="Online"/>
    <s v="Calzado"/>
    <s v="Botines Cuero"/>
    <n v="18.4295142751205"/>
  </r>
  <r>
    <s v="ORD-2239"/>
    <d v="2026-08-10T00:00:00"/>
    <s v="Bogota"/>
    <s v="CD Centro"/>
    <s v="Tienda Fisica"/>
    <s v="Electro"/>
    <s v="Teclado Mecanico"/>
    <n v="18.4904708935854"/>
  </r>
  <r>
    <s v="ORD-2240"/>
    <d v="2026-08-10T00:00:00"/>
    <s v="Cali"/>
    <s v="CD Sur"/>
    <s v="Online"/>
    <s v="Moda"/>
    <s v="Pantalón Cargo"/>
    <n v="18.551427512050399"/>
  </r>
  <r>
    <s v="ORD-2241"/>
    <d v="2026-08-01T00:00:00"/>
    <s v="Pasto"/>
    <s v="CD Norte (Pasto)"/>
    <s v="Online"/>
    <s v="Electro"/>
    <s v="Laptop Pro 23"/>
    <n v="18.612384130515402"/>
  </r>
  <r>
    <s v="ORD-2242"/>
    <d v="2026-08-01T00:00:00"/>
    <s v="Bogota"/>
    <s v="CD Centro"/>
    <s v="Tienda Fisica"/>
    <s v="Moda"/>
    <s v="Chaqueta Cuero"/>
    <n v="18.673340748980301"/>
  </r>
  <r>
    <s v="ORD-2243"/>
    <d v="2026-08-01T00:00:00"/>
    <s v="Cali"/>
    <s v="CD Sur"/>
    <s v="Online"/>
    <s v="Hogar"/>
    <s v="Cafetera Express"/>
    <n v="18.734297367445301"/>
  </r>
  <r>
    <s v="ORD-2244"/>
    <d v="2026-08-02T00:00:00"/>
    <s v="Pasto"/>
    <s v="CD Norte (Pasto)"/>
    <s v="Tienda Fisica"/>
    <s v="Calzado"/>
    <s v="Tenis Running"/>
    <n v="18.7952539859102"/>
  </r>
  <r>
    <s v="ORD-2245"/>
    <d v="2026-08-02T00:00:00"/>
    <s v="Bogota"/>
    <s v="CD Centro"/>
    <s v="Online"/>
    <s v="Electro"/>
    <s v="Smartphone X"/>
    <n v="18.8562106043752"/>
  </r>
  <r>
    <s v="ORD-2246"/>
    <d v="2026-08-02T00:00:00"/>
    <s v="Cali"/>
    <s v="CD Sur"/>
    <s v="Online"/>
    <s v="Moda"/>
    <s v="Jean Slim Fit"/>
    <n v="18.917167222840199"/>
  </r>
  <r>
    <s v="ORD-2247"/>
    <d v="2026-08-03T00:00:00"/>
    <s v="Pasto"/>
    <s v="CD Norte (Pasto)"/>
    <s v="Online"/>
    <s v="Hogar"/>
    <s v="Aspiradora Robot"/>
    <n v="18.978123841305099"/>
  </r>
  <r>
    <s v="ORD-2248"/>
    <d v="2026-08-03T00:00:00"/>
    <s v="Bogota"/>
    <s v="CD Centro"/>
    <s v="Tienda Fisica"/>
    <s v="Calzado"/>
    <s v="Botas Moto"/>
    <n v="19.039080459770101"/>
  </r>
  <r>
    <s v="ORD-2249"/>
    <d v="2026-08-03T00:00:00"/>
    <s v="Cali"/>
    <s v="CD Sur"/>
    <s v="Online"/>
    <s v="Electro"/>
    <s v="Smart TV 63"/>
    <n v="19.100037078235101"/>
  </r>
  <r>
    <s v="ORD-2250"/>
    <d v="2026-08-04T00:00:00"/>
    <s v="Pasto"/>
    <s v="CD Norte (Pasto)"/>
    <s v="Tienda Fisica"/>
    <s v="Moda"/>
    <s v="Camisa Lino"/>
    <n v="19.1609936967"/>
  </r>
  <r>
    <s v="ORD-2251"/>
    <d v="2026-08-04T00:00:00"/>
    <s v="Bogota"/>
    <s v="CD Centro"/>
    <s v="Online"/>
    <s v="Hogar"/>
    <s v="Juego Comedor"/>
    <n v="19.221950315165"/>
  </r>
  <r>
    <s v="ORD-2252"/>
    <d v="2026-08-04T00:00:00"/>
    <s v="Cali"/>
    <s v="CD Sur"/>
    <s v="Tienda Fisica"/>
    <s v="Calzado"/>
    <s v="Sandalias"/>
    <n v="19.282906933629899"/>
  </r>
  <r>
    <s v="ORD-2253"/>
    <d v="2026-08-05T00:00:00"/>
    <s v="Pasto"/>
    <s v="CD Norte (Pasto)"/>
    <s v="Online"/>
    <s v="Electro"/>
    <s v="Tablet 18"/>
    <n v="19.343863552094898"/>
  </r>
  <r>
    <s v="ORD-2254"/>
    <d v="2026-08-05T00:00:00"/>
    <s v="Bogota"/>
    <s v="CD Centro"/>
    <s v="Online"/>
    <s v="Moda"/>
    <s v="Saco Lana"/>
    <n v="19.404820170559901"/>
  </r>
  <r>
    <s v="ORD-2255"/>
    <d v="2026-08-05T00:00:00"/>
    <s v="Cali"/>
    <s v="CD Sur"/>
    <s v="Online"/>
    <s v="Hogar"/>
    <s v="Escritorio Pro"/>
    <n v="19.465776789024801"/>
  </r>
  <r>
    <s v="ORD-2256"/>
    <d v="2026-08-06T00:00:00"/>
    <s v="Pasto"/>
    <s v="CD Norte (Pasto)"/>
    <s v="Tienda Fisica"/>
    <s v="Calzado"/>
    <s v="Tenis Urbano"/>
    <n v="19.5267334074898"/>
  </r>
  <r>
    <s v="ORD-2257"/>
    <d v="2026-08-06T00:00:00"/>
    <s v="Bogota"/>
    <s v="CD Centro"/>
    <s v="Online"/>
    <s v="Electro"/>
    <s v="Audifonos BT"/>
    <n v="19.5876900259547"/>
  </r>
  <r>
    <s v="ORD-2258"/>
    <d v="2026-08-06T00:00:00"/>
    <s v="Cali"/>
    <s v="CD Sur"/>
    <s v="Tienda Fisica"/>
    <s v="Moda"/>
    <s v="Vestido Formal"/>
    <n v="19.648646644419699"/>
  </r>
  <r>
    <s v="ORD-2259"/>
    <d v="2026-08-07T00:00:00"/>
    <s v="Pasto"/>
    <s v="CD Norte (Pasto)"/>
    <s v="Online"/>
    <s v="Hogar"/>
    <s v="Lámpara LED"/>
    <n v="19.709603262884698"/>
  </r>
  <r>
    <s v="ORD-2260"/>
    <d v="2026-08-07T00:00:00"/>
    <s v="Bogota"/>
    <s v="CD Centro"/>
    <s v="Tienda Fisica"/>
    <s v="Calzado"/>
    <s v="Zapatos Formales"/>
    <n v="19.770559881349602"/>
  </r>
  <r>
    <s v="ORD-2261"/>
    <d v="2026-08-07T00:00:00"/>
    <s v="Cali"/>
    <s v="CD Sur"/>
    <s v="Online"/>
    <s v="Electro"/>
    <s v="Consola Videojuegos"/>
    <n v="19.831516499814601"/>
  </r>
  <r>
    <s v="ORD-2262"/>
    <d v="2026-08-08T00:00:00"/>
    <s v="Pasto"/>
    <s v="CD Norte (Pasto)"/>
    <s v="Online"/>
    <s v="Moda"/>
    <s v="Chaqueta Impermeable"/>
    <n v="19.892473118279501"/>
  </r>
  <r>
    <s v="ORD-2263"/>
    <d v="2026-08-08T00:00:00"/>
    <s v="Bogota"/>
    <s v="CD Centro"/>
    <s v="Online"/>
    <s v="Hogar"/>
    <s v="Silla Ergonomica"/>
    <n v="19.9534297367445"/>
  </r>
  <r>
    <s v="ORD-2264"/>
    <d v="2026-08-08T00:00:00"/>
    <s v="Cali"/>
    <s v="CD Sur"/>
    <s v="Tienda Fisica"/>
    <s v="Calzado"/>
    <s v="Tenis Deportivo"/>
    <n v="20.014386355209499"/>
  </r>
  <r>
    <s v="ORD-2265"/>
    <d v="2026-08-09T00:00:00"/>
    <s v="Pasto"/>
    <s v="CD Norte (Pasto)"/>
    <s v="Tienda Fisica"/>
    <s v="Electro"/>
    <s v="Monitor 35"/>
    <n v="20.075342973674399"/>
  </r>
  <r>
    <s v="ORD-2266"/>
    <d v="2026-08-09T00:00:00"/>
    <s v="Bogota"/>
    <s v="CD Centro"/>
    <s v="Online"/>
    <s v="Moda"/>
    <s v="Buzo Hooded"/>
    <n v="20.136299592139402"/>
  </r>
  <r>
    <s v="ORD-2267"/>
    <d v="2026-08-09T00:00:00"/>
    <s v="Cali"/>
    <s v="CD Sur"/>
    <s v="Online"/>
    <s v="Hogar"/>
    <s v="Cama King"/>
    <n v="20.197256210604401"/>
  </r>
  <r>
    <s v="ORD-2268"/>
    <d v="2026-08-10T00:00:00"/>
    <s v="Pasto"/>
    <s v="CD Norte (Pasto)"/>
    <s v="Online"/>
    <s v="Calzado"/>
    <s v="Botines Cuero"/>
    <n v="20.258212829069301"/>
  </r>
  <r>
    <s v="ORD-2269"/>
    <d v="2026-08-10T00:00:00"/>
    <s v="Bogota"/>
    <s v="CD Centro"/>
    <s v="Tienda Fisica"/>
    <s v="Electro"/>
    <s v="Teclado Mecanico"/>
    <n v="20.3191694475343"/>
  </r>
  <r>
    <s v="ORD-2270"/>
    <d v="2026-08-10T00:00:00"/>
    <s v="Cali"/>
    <s v="CD Sur"/>
    <s v="Online"/>
    <s v="Moda"/>
    <s v="Pantalón Cargo"/>
    <n v="20.3801260659992"/>
  </r>
  <r>
    <s v="ORD-2271"/>
    <d v="2026-08-01T00:00:00"/>
    <s v="Pasto"/>
    <s v="CD Norte (Pasto)"/>
    <s v="Online"/>
    <s v="Electro"/>
    <s v="Laptop Pro 24"/>
    <n v="20.441082684464199"/>
  </r>
  <r>
    <s v="ORD-2272"/>
    <d v="2026-08-01T00:00:00"/>
    <s v="Bogota"/>
    <s v="CD Centro"/>
    <s v="Tienda Fisica"/>
    <s v="Moda"/>
    <s v="Chaqueta Cuero"/>
    <n v="20.502039302929202"/>
  </r>
  <r>
    <s v="ORD-2273"/>
    <d v="2026-08-01T00:00:00"/>
    <s v="Cali"/>
    <s v="CD Sur"/>
    <s v="Online"/>
    <s v="Hogar"/>
    <s v="Cafetera Express"/>
    <n v="20.562995921394101"/>
  </r>
  <r>
    <s v="ORD-2274"/>
    <d v="2026-08-02T00:00:00"/>
    <s v="Pasto"/>
    <s v="CD Norte (Pasto)"/>
    <s v="Tienda Fisica"/>
    <s v="Calzado"/>
    <s v="Tenis Running"/>
    <n v="20.623952539859101"/>
  </r>
  <r>
    <s v="ORD-2275"/>
    <d v="2026-08-02T00:00:00"/>
    <s v="Bogota"/>
    <s v="CD Centro"/>
    <s v="Online"/>
    <s v="Electro"/>
    <s v="Smartphone X"/>
    <n v="20.684909158324"/>
  </r>
  <r>
    <s v="ORD-2276"/>
    <d v="2026-08-02T00:00:00"/>
    <s v="Cali"/>
    <s v="CD Sur"/>
    <s v="Online"/>
    <s v="Moda"/>
    <s v="Jean Slim Fit"/>
    <n v="20.745865776789"/>
  </r>
  <r>
    <s v="ORD-2277"/>
    <d v="2026-08-03T00:00:00"/>
    <s v="Pasto"/>
    <s v="CD Norte (Pasto)"/>
    <s v="Online"/>
    <s v="Hogar"/>
    <s v="Aspiradora Robot"/>
    <n v="20.806822395253999"/>
  </r>
  <r>
    <s v="ORD-2278"/>
    <d v="2026-08-03T00:00:00"/>
    <s v="Bogota"/>
    <s v="CD Centro"/>
    <s v="Tienda Fisica"/>
    <s v="Calzado"/>
    <s v="Botas Moto"/>
    <n v="20.867779013718899"/>
  </r>
  <r>
    <s v="ORD-2279"/>
    <d v="2026-08-03T00:00:00"/>
    <s v="Cali"/>
    <s v="CD Sur"/>
    <s v="Online"/>
    <s v="Electro"/>
    <s v="Smart TV 64"/>
    <n v="20.928735632183901"/>
  </r>
  <r>
    <s v="ORD-2280"/>
    <d v="2026-08-04T00:00:00"/>
    <s v="Pasto"/>
    <s v="CD Norte (Pasto)"/>
    <s v="Tienda Fisica"/>
    <s v="Moda"/>
    <s v="Camisa Lino"/>
    <n v="20.989692250648801"/>
  </r>
  <r>
    <s v="ORD-2281"/>
    <d v="2026-08-04T00:00:00"/>
    <s v="Bogota"/>
    <s v="CD Centro"/>
    <s v="Online"/>
    <s v="Hogar"/>
    <s v="Juego Comedor"/>
    <n v="21.0506488691138"/>
  </r>
  <r>
    <s v="ORD-2282"/>
    <d v="2026-08-04T00:00:00"/>
    <s v="Cali"/>
    <s v="CD Sur"/>
    <s v="Tienda Fisica"/>
    <s v="Calzado"/>
    <s v="Sandalias"/>
    <n v="21.1116054875788"/>
  </r>
  <r>
    <s v="ORD-2283"/>
    <d v="2026-08-05T00:00:00"/>
    <s v="Pasto"/>
    <s v="CD Norte (Pasto)"/>
    <s v="Online"/>
    <s v="Electro"/>
    <s v="Tablet 19"/>
    <n v="21.172562106043699"/>
  </r>
  <r>
    <s v="ORD-2284"/>
    <d v="2026-08-05T00:00:00"/>
    <s v="Bogota"/>
    <s v="CD Centro"/>
    <s v="Online"/>
    <s v="Moda"/>
    <s v="Saco Lana"/>
    <n v="21.233518724508698"/>
  </r>
  <r>
    <s v="ORD-2285"/>
    <d v="2026-08-05T00:00:00"/>
    <s v="Cali"/>
    <s v="CD Sur"/>
    <s v="Online"/>
    <s v="Hogar"/>
    <s v="Escritorio Pro"/>
    <n v="21.294475342973701"/>
  </r>
  <r>
    <s v="ORD-2286"/>
    <d v="2026-08-06T00:00:00"/>
    <s v="Pasto"/>
    <s v="CD Norte (Pasto)"/>
    <s v="Tienda Fisica"/>
    <s v="Calzado"/>
    <s v="Tenis Urbano"/>
    <n v="21.355431961438601"/>
  </r>
  <r>
    <s v="ORD-2287"/>
    <d v="2026-08-06T00:00:00"/>
    <s v="Bogota"/>
    <s v="CD Centro"/>
    <s v="Online"/>
    <s v="Electro"/>
    <s v="Audifonos BT"/>
    <n v="21.4163885799036"/>
  </r>
  <r>
    <s v="ORD-2288"/>
    <d v="2026-08-06T00:00:00"/>
    <s v="Cali"/>
    <s v="CD Sur"/>
    <s v="Tienda Fisica"/>
    <s v="Moda"/>
    <s v="Vestido Formal"/>
    <n v="21.4773451983685"/>
  </r>
  <r>
    <s v="ORD-2289"/>
    <d v="2026-08-07T00:00:00"/>
    <s v="Pasto"/>
    <s v="CD Norte (Pasto)"/>
    <s v="Online"/>
    <s v="Hogar"/>
    <s v="Lámpara LED"/>
    <n v="21.538301816833499"/>
  </r>
  <r>
    <s v="ORD-2290"/>
    <d v="2026-08-07T00:00:00"/>
    <s v="Bogota"/>
    <s v="CD Centro"/>
    <s v="Tienda Fisica"/>
    <s v="Calzado"/>
    <s v="Zapatos Formales"/>
    <n v="21.599258435298498"/>
  </r>
  <r>
    <s v="ORD-2291"/>
    <d v="2026-08-07T00:00:00"/>
    <s v="Cali"/>
    <s v="CD Sur"/>
    <s v="Online"/>
    <s v="Electro"/>
    <s v="Consola Videojuegos"/>
    <n v="21.660215053763402"/>
  </r>
  <r>
    <s v="ORD-2292"/>
    <d v="2026-08-08T00:00:00"/>
    <s v="Pasto"/>
    <s v="CD Norte (Pasto)"/>
    <s v="Online"/>
    <s v="Moda"/>
    <s v="Chaqueta Impermeable"/>
    <n v="21.721171672228401"/>
  </r>
  <r>
    <s v="ORD-2293"/>
    <d v="2026-08-08T00:00:00"/>
    <s v="Bogota"/>
    <s v="CD Centro"/>
    <s v="Online"/>
    <s v="Hogar"/>
    <s v="Silla Ergonomica"/>
    <n v="21.782128290693301"/>
  </r>
  <r>
    <s v="ORD-2294"/>
    <d v="2026-08-08T00:00:00"/>
    <s v="Cali"/>
    <s v="CD Sur"/>
    <s v="Tienda Fisica"/>
    <s v="Calzado"/>
    <s v="Tenis Deportivo"/>
    <n v="21.8430849091583"/>
  </r>
  <r>
    <s v="ORD-2295"/>
    <d v="2026-08-09T00:00:00"/>
    <s v="Pasto"/>
    <s v="CD Norte (Pasto)"/>
    <s v="Tienda Fisica"/>
    <s v="Electro"/>
    <s v="Monitor 36"/>
    <n v="21.904041527623299"/>
  </r>
  <r>
    <s v="ORD-2296"/>
    <d v="2026-08-09T00:00:00"/>
    <s v="Bogota"/>
    <s v="CD Centro"/>
    <s v="Online"/>
    <s v="Moda"/>
    <s v="Buzo Hooded"/>
    <n v="21.964998146088199"/>
  </r>
  <r>
    <s v="ORD-2297"/>
    <d v="2026-08-09T00:00:00"/>
    <s v="Cali"/>
    <s v="CD Sur"/>
    <s v="Online"/>
    <s v="Hogar"/>
    <s v="Cama King"/>
    <n v="22.025954764553202"/>
  </r>
  <r>
    <s v="ORD-2298"/>
    <d v="2026-08-10T00:00:00"/>
    <s v="Pasto"/>
    <s v="CD Norte (Pasto)"/>
    <s v="Online"/>
    <s v="Calzado"/>
    <s v="Botines Cuero"/>
    <n v="22.086911383018101"/>
  </r>
  <r>
    <s v="ORD-2299"/>
    <d v="2026-08-10T00:00:00"/>
    <s v="Bogota"/>
    <s v="CD Centro"/>
    <s v="Tienda Fisica"/>
    <s v="Electro"/>
    <s v="Teclado Mecanico"/>
    <n v="22.147868001483101"/>
  </r>
  <r>
    <s v="ORD-2300"/>
    <d v="2026-08-10T00:00:00"/>
    <s v="Cali"/>
    <s v="CD Sur"/>
    <s v="Online"/>
    <s v="Moda"/>
    <s v="Pantalón Cargo"/>
    <n v="22.2088246199481"/>
  </r>
  <r>
    <s v="ORD-2301"/>
    <d v="2026-08-01T00:00:00"/>
    <s v="Pasto"/>
    <s v="CD Norte (Pasto)"/>
    <s v="Online"/>
    <s v="Electro"/>
    <s v="Laptop Pro 25"/>
    <n v="22.269781238413"/>
  </r>
  <r>
    <s v="ORD-2302"/>
    <d v="2026-08-01T00:00:00"/>
    <s v="Bogota"/>
    <s v="CD Centro"/>
    <s v="Tienda Fisica"/>
    <s v="Moda"/>
    <s v="Chaqueta Cuero"/>
    <n v="22.330737856877999"/>
  </r>
  <r>
    <s v="ORD-2303"/>
    <d v="2026-08-01T00:00:00"/>
    <s v="Cali"/>
    <s v="CD Sur"/>
    <s v="Online"/>
    <s v="Hogar"/>
    <s v="Cafetera Express"/>
    <n v="22.391694475343002"/>
  </r>
  <r>
    <s v="ORD-2304"/>
    <d v="2026-08-02T00:00:00"/>
    <s v="Pasto"/>
    <s v="CD Norte (Pasto)"/>
    <s v="Tienda Fisica"/>
    <s v="Calzado"/>
    <s v="Tenis Running"/>
    <n v="22.452651093807901"/>
  </r>
  <r>
    <s v="ORD-2305"/>
    <d v="2026-08-02T00:00:00"/>
    <s v="Bogota"/>
    <s v="CD Centro"/>
    <s v="Online"/>
    <s v="Electro"/>
    <s v="Smartphone X"/>
    <n v="22.513607712272901"/>
  </r>
  <r>
    <s v="ORD-2306"/>
    <d v="2026-08-02T00:00:00"/>
    <s v="Cali"/>
    <s v="CD Sur"/>
    <s v="Online"/>
    <s v="Moda"/>
    <s v="Jean Slim Fit"/>
    <n v="22.5745643307378"/>
  </r>
  <r>
    <s v="ORD-2307"/>
    <d v="2026-08-03T00:00:00"/>
    <s v="Pasto"/>
    <s v="CD Norte (Pasto)"/>
    <s v="Online"/>
    <s v="Hogar"/>
    <s v="Aspiradora Robot"/>
    <n v="22.6355209492028"/>
  </r>
  <r>
    <s v="ORD-2308"/>
    <d v="2026-08-03T00:00:00"/>
    <s v="Bogota"/>
    <s v="CD Centro"/>
    <s v="Tienda Fisica"/>
    <s v="Calzado"/>
    <s v="Botas Moto"/>
    <n v="22.696477567667799"/>
  </r>
  <r>
    <s v="ORD-2309"/>
    <d v="2026-08-03T00:00:00"/>
    <s v="Cali"/>
    <s v="CD Sur"/>
    <s v="Online"/>
    <s v="Electro"/>
    <s v="Smart TV 65"/>
    <n v="22.757434186132699"/>
  </r>
  <r>
    <s v="ORD-2310"/>
    <d v="2026-08-04T00:00:00"/>
    <s v="Pasto"/>
    <s v="CD Norte (Pasto)"/>
    <s v="Tienda Fisica"/>
    <s v="Moda"/>
    <s v="Camisa Lino"/>
    <n v="22.818390804597701"/>
  </r>
  <r>
    <s v="ORD-2311"/>
    <d v="2026-08-04T00:00:00"/>
    <s v="Bogota"/>
    <s v="CD Centro"/>
    <s v="Online"/>
    <s v="Hogar"/>
    <s v="Juego Comedor"/>
    <n v="22.879347423062601"/>
  </r>
  <r>
    <s v="ORD-2312"/>
    <d v="2026-08-04T00:00:00"/>
    <s v="Cali"/>
    <s v="CD Sur"/>
    <s v="Tienda Fisica"/>
    <s v="Calzado"/>
    <s v="Sandalias"/>
    <n v="22.9403040415276"/>
  </r>
  <r>
    <s v="ORD-2313"/>
    <d v="2026-08-05T00:00:00"/>
    <s v="Pasto"/>
    <s v="CD Norte (Pasto)"/>
    <s v="Online"/>
    <s v="Electro"/>
    <s v="Tablet 20"/>
    <n v="23.001260659992599"/>
  </r>
  <r>
    <s v="ORD-2314"/>
    <d v="2026-08-05T00:00:00"/>
    <s v="Bogota"/>
    <s v="CD Centro"/>
    <s v="Online"/>
    <s v="Moda"/>
    <s v="Saco Lana"/>
    <n v="23.062217278457499"/>
  </r>
  <r>
    <s v="ORD-2315"/>
    <d v="2026-08-05T00:00:00"/>
    <s v="Cali"/>
    <s v="CD Sur"/>
    <s v="Online"/>
    <s v="Hogar"/>
    <s v="Escritorio Pro"/>
    <n v="23.123173896922498"/>
  </r>
  <r>
    <s v="ORD-2316"/>
    <d v="2026-08-06T00:00:00"/>
    <s v="Pasto"/>
    <s v="CD Norte (Pasto)"/>
    <s v="Tienda Fisica"/>
    <s v="Calzado"/>
    <s v="Tenis Urbano"/>
    <n v="23.184130515387402"/>
  </r>
  <r>
    <s v="ORD-2317"/>
    <d v="2026-08-06T00:00:00"/>
    <s v="Bogota"/>
    <s v="CD Centro"/>
    <s v="Online"/>
    <s v="Electro"/>
    <s v="Audifonos BT"/>
    <n v="23.245087133852401"/>
  </r>
  <r>
    <s v="ORD-2318"/>
    <d v="2026-08-06T00:00:00"/>
    <s v="Cali"/>
    <s v="CD Sur"/>
    <s v="Tienda Fisica"/>
    <s v="Moda"/>
    <s v="Vestido Formal"/>
    <n v="23.3060437523174"/>
  </r>
  <r>
    <s v="ORD-2319"/>
    <d v="2026-08-07T00:00:00"/>
    <s v="Pasto"/>
    <s v="CD Norte (Pasto)"/>
    <s v="Online"/>
    <s v="Hogar"/>
    <s v="Lámpara LED"/>
    <n v="23.3670003707823"/>
  </r>
  <r>
    <s v="ORD-2320"/>
    <d v="2026-08-07T00:00:00"/>
    <s v="Bogota"/>
    <s v="CD Centro"/>
    <s v="Tienda Fisica"/>
    <s v="Calzado"/>
    <s v="Zapatos Formales"/>
    <n v="23.427956989247299"/>
  </r>
  <r>
    <s v="ORD-2321"/>
    <d v="2026-08-07T00:00:00"/>
    <s v="Cali"/>
    <s v="CD Sur"/>
    <s v="Online"/>
    <s v="Electro"/>
    <s v="Consola Videojuegos"/>
    <n v="23.488913607712298"/>
  </r>
  <r>
    <s v="ORD-2322"/>
    <d v="2026-08-08T00:00:00"/>
    <s v="Pasto"/>
    <s v="CD Norte (Pasto)"/>
    <s v="Online"/>
    <s v="Moda"/>
    <s v="Chaqueta Impermeable"/>
    <n v="23.549870226177202"/>
  </r>
  <r>
    <s v="ORD-2323"/>
    <d v="2026-08-08T00:00:00"/>
    <s v="Bogota"/>
    <s v="CD Centro"/>
    <s v="Online"/>
    <s v="Hogar"/>
    <s v="Silla Ergonomica"/>
    <n v="23.610826844642201"/>
  </r>
  <r>
    <s v="ORD-2324"/>
    <d v="2026-08-08T00:00:00"/>
    <s v="Cali"/>
    <s v="CD Sur"/>
    <s v="Tienda Fisica"/>
    <s v="Calzado"/>
    <s v="Tenis Deportivo"/>
    <n v="23.671783463107101"/>
  </r>
  <r>
    <s v="ORD-2325"/>
    <d v="2026-08-09T00:00:00"/>
    <s v="Pasto"/>
    <s v="CD Norte (Pasto)"/>
    <s v="Tienda Fisica"/>
    <s v="Electro"/>
    <s v="Monitor 37"/>
    <n v="23.7327400815721"/>
  </r>
  <r>
    <s v="ORD-2326"/>
    <d v="2026-08-09T00:00:00"/>
    <s v="Bogota"/>
    <s v="CD Centro"/>
    <s v="Online"/>
    <s v="Moda"/>
    <s v="Buzo Hooded"/>
    <n v="23.793696700037099"/>
  </r>
  <r>
    <s v="ORD-2327"/>
    <d v="2026-08-09T00:00:00"/>
    <s v="Cali"/>
    <s v="CD Sur"/>
    <s v="Online"/>
    <s v="Hogar"/>
    <s v="Cama King"/>
    <n v="23.854653318501999"/>
  </r>
  <r>
    <s v="ORD-2328"/>
    <d v="2026-08-10T00:00:00"/>
    <s v="Pasto"/>
    <s v="CD Norte (Pasto)"/>
    <s v="Online"/>
    <s v="Calzado"/>
    <s v="Botines Cuero"/>
    <n v="23.915609936967002"/>
  </r>
  <r>
    <s v="ORD-2329"/>
    <d v="2026-08-10T00:00:00"/>
    <s v="Bogota"/>
    <s v="CD Centro"/>
    <s v="Tienda Fisica"/>
    <s v="Electro"/>
    <s v="Teclado Mecanico"/>
    <n v="23.976566555431901"/>
  </r>
  <r>
    <s v="ORD-2330"/>
    <d v="2026-08-10T00:00:00"/>
    <s v="Cali"/>
    <s v="CD Sur"/>
    <s v="Online"/>
    <s v="Moda"/>
    <s v="Pantalón Cargo"/>
    <n v="24.037523173896901"/>
  </r>
  <r>
    <s v="ORD-2331"/>
    <d v="2026-08-01T00:00:00"/>
    <s v="Pasto"/>
    <s v="CD Norte (Pasto)"/>
    <s v="Online"/>
    <s v="Electro"/>
    <s v="Laptop Pro 26"/>
    <n v="24.0984797923619"/>
  </r>
  <r>
    <s v="ORD-2332"/>
    <d v="2026-08-01T00:00:00"/>
    <s v="Bogota"/>
    <s v="CD Centro"/>
    <s v="Tienda Fisica"/>
    <s v="Moda"/>
    <s v="Chaqueta Cuero"/>
    <n v="24.1594364108268"/>
  </r>
  <r>
    <s v="ORD-2333"/>
    <d v="2026-08-01T00:00:00"/>
    <s v="Cali"/>
    <s v="CD Sur"/>
    <s v="Online"/>
    <s v="Hogar"/>
    <s v="Cafetera Express"/>
    <n v="24.220393029291799"/>
  </r>
  <r>
    <s v="ORD-2334"/>
    <d v="2026-08-02T00:00:00"/>
    <s v="Pasto"/>
    <s v="CD Norte (Pasto)"/>
    <s v="Tienda Fisica"/>
    <s v="Calzado"/>
    <s v="Tenis Running"/>
    <n v="24.281349647756699"/>
  </r>
  <r>
    <s v="ORD-2335"/>
    <d v="2026-08-02T00:00:00"/>
    <s v="Bogota"/>
    <s v="CD Centro"/>
    <s v="Online"/>
    <s v="Electro"/>
    <s v="Smartphone X"/>
    <n v="24.342306266221701"/>
  </r>
  <r>
    <s v="ORD-2336"/>
    <d v="2026-08-02T00:00:00"/>
    <s v="Cali"/>
    <s v="CD Sur"/>
    <s v="Online"/>
    <s v="Moda"/>
    <s v="Jean Slim Fit"/>
    <n v="24.403262884686701"/>
  </r>
  <r>
    <s v="ORD-2337"/>
    <d v="2026-08-03T00:00:00"/>
    <s v="Pasto"/>
    <s v="CD Norte (Pasto)"/>
    <s v="Online"/>
    <s v="Hogar"/>
    <s v="Aspiradora Robot"/>
    <n v="24.4642195031516"/>
  </r>
  <r>
    <s v="ORD-2338"/>
    <d v="2026-08-03T00:00:00"/>
    <s v="Bogota"/>
    <s v="CD Centro"/>
    <s v="Tienda Fisica"/>
    <s v="Calzado"/>
    <s v="Botas Moto"/>
    <n v="24.5251761216166"/>
  </r>
  <r>
    <s v="ORD-2339"/>
    <d v="2026-08-03T00:00:00"/>
    <s v="Cali"/>
    <s v="CD Sur"/>
    <s v="Online"/>
    <s v="Electro"/>
    <s v="Smart TV 66"/>
    <n v="24.586132740081599"/>
  </r>
  <r>
    <s v="ORD-2340"/>
    <d v="2026-08-04T00:00:00"/>
    <s v="Pasto"/>
    <s v="CD Norte (Pasto)"/>
    <s v="Tienda Fisica"/>
    <s v="Moda"/>
    <s v="Camisa Lino"/>
    <n v="24.647089358546499"/>
  </r>
  <r>
    <s v="ORD-2341"/>
    <d v="2026-08-04T00:00:00"/>
    <s v="Bogota"/>
    <s v="CD Centro"/>
    <s v="Online"/>
    <s v="Hogar"/>
    <s v="Juego Comedor"/>
    <n v="24.708045977011501"/>
  </r>
  <r>
    <s v="ORD-2342"/>
    <d v="2026-08-04T00:00:00"/>
    <s v="Cali"/>
    <s v="CD Sur"/>
    <s v="Tienda Fisica"/>
    <s v="Calzado"/>
    <s v="Sandalias"/>
    <n v="24.769002595476401"/>
  </r>
  <r>
    <s v="ORD-2343"/>
    <d v="2026-08-05T00:00:00"/>
    <s v="Pasto"/>
    <s v="CD Norte (Pasto)"/>
    <s v="Online"/>
    <s v="Electro"/>
    <s v="Tablet 21"/>
    <n v="24.8299592139414"/>
  </r>
  <r>
    <s v="ORD-2344"/>
    <d v="2026-08-05T00:00:00"/>
    <s v="Bogota"/>
    <s v="CD Centro"/>
    <s v="Online"/>
    <s v="Moda"/>
    <s v="Saco Lana"/>
    <n v="24.890915832406399"/>
  </r>
  <r>
    <s v="ORD-2345"/>
    <d v="2026-08-05T00:00:00"/>
    <s v="Cali"/>
    <s v="CD Sur"/>
    <s v="Online"/>
    <s v="Hogar"/>
    <s v="Escritorio Pro"/>
    <n v="24.951872450871299"/>
  </r>
  <r>
    <s v="ORD-2346"/>
    <d v="2026-08-06T00:00:00"/>
    <s v="Pasto"/>
    <s v="CD Norte (Pasto)"/>
    <s v="Tienda Fisica"/>
    <s v="Calzado"/>
    <s v="Tenis Urbano"/>
    <n v="25.012829069336298"/>
  </r>
  <r>
    <s v="ORD-2347"/>
    <d v="2026-08-06T00:00:00"/>
    <s v="Bogota"/>
    <s v="CD Centro"/>
    <s v="Online"/>
    <s v="Electro"/>
    <s v="Audifonos BT"/>
    <n v="25.073785687801202"/>
  </r>
  <r>
    <s v="ORD-2348"/>
    <d v="2026-08-06T00:00:00"/>
    <s v="Cali"/>
    <s v="CD Sur"/>
    <s v="Tienda Fisica"/>
    <s v="Moda"/>
    <s v="Vestido Formal"/>
    <n v="25.134742306266201"/>
  </r>
  <r>
    <s v="ORD-2349"/>
    <d v="2026-08-07T00:00:00"/>
    <s v="Pasto"/>
    <s v="CD Norte (Pasto)"/>
    <s v="Online"/>
    <s v="Hogar"/>
    <s v="Lámpara LED"/>
    <n v="25.1956989247312"/>
  </r>
  <r>
    <s v="ORD-2350"/>
    <d v="2026-08-07T00:00:00"/>
    <s v="Bogota"/>
    <s v="CD Centro"/>
    <s v="Tienda Fisica"/>
    <s v="Calzado"/>
    <s v="Zapatos Formales"/>
    <n v="25.2566555431961"/>
  </r>
  <r>
    <s v="ORD-2351"/>
    <d v="2026-08-07T00:00:00"/>
    <s v="Cali"/>
    <s v="CD Sur"/>
    <s v="Online"/>
    <s v="Electro"/>
    <s v="Consola Videojuegos"/>
    <n v="25.317612161661099"/>
  </r>
  <r>
    <s v="ORD-2352"/>
    <d v="2026-08-08T00:00:00"/>
    <s v="Pasto"/>
    <s v="CD Norte (Pasto)"/>
    <s v="Online"/>
    <s v="Moda"/>
    <s v="Chaqueta Impermeable"/>
    <n v="25.378568780125999"/>
  </r>
  <r>
    <s v="ORD-2353"/>
    <d v="2026-08-08T00:00:00"/>
    <s v="Bogota"/>
    <s v="CD Centro"/>
    <s v="Online"/>
    <s v="Hogar"/>
    <s v="Silla Ergonomica"/>
    <n v="25.439525398591002"/>
  </r>
  <r>
    <s v="ORD-2354"/>
    <d v="2026-08-08T00:00:00"/>
    <s v="Cali"/>
    <s v="CD Sur"/>
    <s v="Tienda Fisica"/>
    <s v="Calzado"/>
    <s v="Tenis Deportivo"/>
    <n v="25.500482017056001"/>
  </r>
  <r>
    <s v="ORD-2355"/>
    <d v="2026-08-09T00:00:00"/>
    <s v="Pasto"/>
    <s v="CD Norte (Pasto)"/>
    <s v="Tienda Fisica"/>
    <s v="Electro"/>
    <s v="Monitor 38"/>
    <n v="25.561438635520901"/>
  </r>
  <r>
    <s v="ORD-2356"/>
    <d v="2026-08-09T00:00:00"/>
    <s v="Bogota"/>
    <s v="CD Centro"/>
    <s v="Online"/>
    <s v="Moda"/>
    <s v="Buzo Hooded"/>
    <n v="25.6223952539859"/>
  </r>
  <r>
    <s v="ORD-2357"/>
    <d v="2026-08-09T00:00:00"/>
    <s v="Cali"/>
    <s v="CD Sur"/>
    <s v="Online"/>
    <s v="Hogar"/>
    <s v="Cama King"/>
    <n v="25.683351872450899"/>
  </r>
  <r>
    <s v="ORD-2358"/>
    <d v="2026-08-10T00:00:00"/>
    <s v="Pasto"/>
    <s v="CD Norte (Pasto)"/>
    <s v="Online"/>
    <s v="Calzado"/>
    <s v="Botines Cuero"/>
    <n v="25.744308490915799"/>
  </r>
  <r>
    <s v="ORD-2359"/>
    <d v="2026-08-10T00:00:00"/>
    <s v="Bogota"/>
    <s v="CD Centro"/>
    <s v="Tienda Fisica"/>
    <s v="Electro"/>
    <s v="Teclado Mecanico"/>
    <n v="25.805265109380802"/>
  </r>
  <r>
    <s v="ORD-2360"/>
    <d v="2026-08-10T00:00:00"/>
    <s v="Cali"/>
    <s v="CD Sur"/>
    <s v="Online"/>
    <s v="Moda"/>
    <s v="Pantalón Cargo"/>
    <n v="25.866221727845701"/>
  </r>
  <r>
    <s v="ORD-2361"/>
    <d v="2026-08-01T00:00:00"/>
    <s v="Pasto"/>
    <s v="CD Norte (Pasto)"/>
    <s v="Online"/>
    <s v="Electro"/>
    <s v="Laptop Pro 27"/>
    <n v="25.927178346310701"/>
  </r>
  <r>
    <s v="ORD-2362"/>
    <d v="2026-08-01T00:00:00"/>
    <s v="Bogota"/>
    <s v="CD Centro"/>
    <s v="Tienda Fisica"/>
    <s v="Moda"/>
    <s v="Chaqueta Cuero"/>
    <n v="25.9881349647757"/>
  </r>
  <r>
    <s v="ORD-2363"/>
    <d v="2026-08-01T00:00:00"/>
    <s v="Cali"/>
    <s v="CD Sur"/>
    <s v="Online"/>
    <s v="Hogar"/>
    <s v="Cafetera Express"/>
    <n v="26.0490915832406"/>
  </r>
  <r>
    <s v="ORD-2364"/>
    <d v="2026-08-02T00:00:00"/>
    <s v="Pasto"/>
    <s v="CD Norte (Pasto)"/>
    <s v="Tienda Fisica"/>
    <s v="Calzado"/>
    <s v="Tenis Running"/>
    <n v="26.110048201705599"/>
  </r>
  <r>
    <s v="ORD-2365"/>
    <d v="2026-08-02T00:00:00"/>
    <s v="Bogota"/>
    <s v="CD Centro"/>
    <s v="Online"/>
    <s v="Electro"/>
    <s v="Smartphone X"/>
    <n v="26.171004820170499"/>
  </r>
  <r>
    <s v="ORD-2366"/>
    <d v="2026-08-02T00:00:00"/>
    <s v="Cali"/>
    <s v="CD Sur"/>
    <s v="Online"/>
    <s v="Moda"/>
    <s v="Jean Slim Fit"/>
    <n v="26.231961438635501"/>
  </r>
  <r>
    <s v="ORD-2367"/>
    <d v="2026-08-03T00:00:00"/>
    <s v="Pasto"/>
    <s v="CD Norte (Pasto)"/>
    <s v="Online"/>
    <s v="Hogar"/>
    <s v="Aspiradora Robot"/>
    <n v="26.292918057100501"/>
  </r>
  <r>
    <s v="ORD-2368"/>
    <d v="2026-08-03T00:00:00"/>
    <s v="Bogota"/>
    <s v="CD Centro"/>
    <s v="Tienda Fisica"/>
    <s v="Calzado"/>
    <s v="Botas Moto"/>
    <n v="26.3538746755654"/>
  </r>
  <r>
    <s v="ORD-2369"/>
    <d v="2026-08-03T00:00:00"/>
    <s v="Cali"/>
    <s v="CD Sur"/>
    <s v="Online"/>
    <s v="Electro"/>
    <s v="Smart TV 67"/>
    <n v="26.4148312940304"/>
  </r>
  <r>
    <s v="ORD-2370"/>
    <d v="2026-08-04T00:00:00"/>
    <s v="Pasto"/>
    <s v="CD Norte (Pasto)"/>
    <s v="Tienda Fisica"/>
    <s v="Moda"/>
    <s v="Camisa Lino"/>
    <n v="26.475787912495299"/>
  </r>
  <r>
    <s v="ORD-2371"/>
    <d v="2026-08-04T00:00:00"/>
    <s v="Bogota"/>
    <s v="CD Centro"/>
    <s v="Online"/>
    <s v="Hogar"/>
    <s v="Juego Comedor"/>
    <n v="26.536744530960299"/>
  </r>
  <r>
    <s v="ORD-2372"/>
    <d v="2026-08-04T00:00:00"/>
    <s v="Cali"/>
    <s v="CD Sur"/>
    <s v="Tienda Fisica"/>
    <s v="Calzado"/>
    <s v="Sandalias"/>
    <n v="26.597701149425301"/>
  </r>
  <r>
    <s v="ORD-2373"/>
    <d v="2026-08-05T00:00:00"/>
    <s v="Pasto"/>
    <s v="CD Norte (Pasto)"/>
    <s v="Online"/>
    <s v="Electro"/>
    <s v="Tablet 22"/>
    <n v="26.658657767890201"/>
  </r>
  <r>
    <s v="ORD-2374"/>
    <d v="2026-08-05T00:00:00"/>
    <s v="Bogota"/>
    <s v="CD Centro"/>
    <s v="Online"/>
    <s v="Moda"/>
    <s v="Saco Lana"/>
    <n v="26.7196143863552"/>
  </r>
  <r>
    <s v="ORD-2375"/>
    <d v="2026-08-05T00:00:00"/>
    <s v="Cali"/>
    <s v="CD Sur"/>
    <s v="Online"/>
    <s v="Hogar"/>
    <s v="Escritorio Pro"/>
    <n v="26.780571004820199"/>
  </r>
  <r>
    <s v="ORD-2376"/>
    <d v="2026-08-06T00:00:00"/>
    <s v="Pasto"/>
    <s v="CD Norte (Pasto)"/>
    <s v="Tienda Fisica"/>
    <s v="Calzado"/>
    <s v="Tenis Urbano"/>
    <n v="26.841527623285099"/>
  </r>
  <r>
    <s v="ORD-2377"/>
    <d v="2026-08-06T00:00:00"/>
    <s v="Bogota"/>
    <s v="CD Centro"/>
    <s v="Online"/>
    <s v="Electro"/>
    <s v="Audifonos BT"/>
    <n v="26.902484241750098"/>
  </r>
  <r>
    <s v="ORD-2378"/>
    <d v="2026-08-06T00:00:00"/>
    <s v="Cali"/>
    <s v="CD Sur"/>
    <s v="Tienda Fisica"/>
    <s v="Moda"/>
    <s v="Vestido Formal"/>
    <n v="26.963440860215002"/>
  </r>
  <r>
    <s v="ORD-2379"/>
    <d v="2026-08-07T00:00:00"/>
    <s v="Pasto"/>
    <s v="CD Norte (Pasto)"/>
    <s v="Online"/>
    <s v="Hogar"/>
    <s v="Lámpara LED"/>
    <n v="27.024397478680001"/>
  </r>
  <r>
    <s v="ORD-2380"/>
    <d v="2026-08-07T00:00:00"/>
    <s v="Bogota"/>
    <s v="CD Centro"/>
    <s v="Tienda Fisica"/>
    <s v="Calzado"/>
    <s v="Zapatos Formales"/>
    <n v="27.085354097145"/>
  </r>
  <r>
    <s v="ORD-2381"/>
    <d v="2026-08-07T00:00:00"/>
    <s v="Cali"/>
    <s v="CD Sur"/>
    <s v="Online"/>
    <s v="Electro"/>
    <s v="Consola Videojuegos"/>
    <n v="27.1463107156099"/>
  </r>
  <r>
    <s v="ORD-2382"/>
    <d v="2026-08-08T00:00:00"/>
    <s v="Pasto"/>
    <s v="CD Norte (Pasto)"/>
    <s v="Online"/>
    <s v="Moda"/>
    <s v="Chaqueta Impermeable"/>
    <n v="27.207267334074899"/>
  </r>
  <r>
    <s v="ORD-2383"/>
    <d v="2026-08-08T00:00:00"/>
    <s v="Bogota"/>
    <s v="CD Centro"/>
    <s v="Online"/>
    <s v="Hogar"/>
    <s v="Silla Ergonomica"/>
    <n v="27.268223952539799"/>
  </r>
  <r>
    <s v="ORD-2384"/>
    <d v="2026-08-08T00:00:00"/>
    <s v="Cali"/>
    <s v="CD Sur"/>
    <s v="Tienda Fisica"/>
    <s v="Calzado"/>
    <s v="Tenis Deportivo"/>
    <n v="27.329180571004802"/>
  </r>
  <r>
    <s v="ORD-2385"/>
    <d v="2026-08-09T00:00:00"/>
    <s v="Pasto"/>
    <s v="CD Norte (Pasto)"/>
    <s v="Tienda Fisica"/>
    <s v="Electro"/>
    <s v="Monitor 39"/>
    <n v="27.390137189469801"/>
  </r>
  <r>
    <s v="ORD-2386"/>
    <d v="2026-08-09T00:00:00"/>
    <s v="Bogota"/>
    <s v="CD Centro"/>
    <s v="Online"/>
    <s v="Moda"/>
    <s v="Buzo Hooded"/>
    <n v="27.451093807934701"/>
  </r>
  <r>
    <s v="ORD-2387"/>
    <d v="2026-08-09T00:00:00"/>
    <s v="Cali"/>
    <s v="CD Sur"/>
    <s v="Online"/>
    <s v="Hogar"/>
    <s v="Cama King"/>
    <n v="27.5120504263997"/>
  </r>
  <r>
    <s v="ORD-2388"/>
    <d v="2026-08-10T00:00:00"/>
    <s v="Pasto"/>
    <s v="CD Norte (Pasto)"/>
    <s v="Online"/>
    <s v="Calzado"/>
    <s v="Botines Cuero"/>
    <n v="27.5730070448646"/>
  </r>
  <r>
    <s v="ORD-2389"/>
    <d v="2026-08-10T00:00:00"/>
    <s v="Bogota"/>
    <s v="CD Centro"/>
    <s v="Tienda Fisica"/>
    <s v="Electro"/>
    <s v="Teclado Mecanico"/>
    <n v="27.633963663329599"/>
  </r>
  <r>
    <s v="ORD-2390"/>
    <d v="2026-08-10T00:00:00"/>
    <s v="Cali"/>
    <s v="CD Sur"/>
    <s v="Online"/>
    <s v="Moda"/>
    <s v="Pantalón Cargo"/>
    <n v="27.694920281794602"/>
  </r>
  <r>
    <s v="ORD-2391"/>
    <d v="2026-08-01T00:00:00"/>
    <s v="Pasto"/>
    <s v="CD Norte (Pasto)"/>
    <s v="Online"/>
    <s v="Electro"/>
    <s v="Laptop Pro 28"/>
    <n v="27.755876900259501"/>
  </r>
  <r>
    <s v="ORD-2392"/>
    <d v="2026-08-01T00:00:00"/>
    <s v="Bogota"/>
    <s v="CD Centro"/>
    <s v="Tienda Fisica"/>
    <s v="Moda"/>
    <s v="Chaqueta Cuero"/>
    <n v="27.816833518724501"/>
  </r>
  <r>
    <s v="ORD-2393"/>
    <d v="2026-08-01T00:00:00"/>
    <s v="Cali"/>
    <s v="CD Sur"/>
    <s v="Online"/>
    <s v="Hogar"/>
    <s v="Cafetera Express"/>
    <n v="27.8777901371895"/>
  </r>
  <r>
    <s v="ORD-2394"/>
    <d v="2026-08-02T00:00:00"/>
    <s v="Pasto"/>
    <s v="CD Norte (Pasto)"/>
    <s v="Tienda Fisica"/>
    <s v="Calzado"/>
    <s v="Tenis Running"/>
    <n v="27.9387467556544"/>
  </r>
  <r>
    <s v="ORD-2395"/>
    <d v="2026-08-02T00:00:00"/>
    <s v="Bogota"/>
    <s v="CD Centro"/>
    <s v="Online"/>
    <s v="Electro"/>
    <s v="Smartphone X"/>
    <n v="27.999703374119399"/>
  </r>
  <r>
    <s v="ORD-2396"/>
    <d v="2026-08-02T00:00:00"/>
    <s v="Cali"/>
    <s v="CD Sur"/>
    <s v="Online"/>
    <s v="Moda"/>
    <s v="Jean Slim Fit"/>
    <n v="28.060659992584299"/>
  </r>
  <r>
    <s v="ORD-2397"/>
    <d v="2026-08-03T00:00:00"/>
    <s v="Pasto"/>
    <s v="CD Norte (Pasto)"/>
    <s v="Online"/>
    <s v="Hogar"/>
    <s v="Aspiradora Robot"/>
    <n v="28.121616611049301"/>
  </r>
  <r>
    <s v="ORD-2398"/>
    <d v="2026-08-03T00:00:00"/>
    <s v="Bogota"/>
    <s v="CD Centro"/>
    <s v="Tienda Fisica"/>
    <s v="Calzado"/>
    <s v="Botas Moto"/>
    <n v="28.182573229514301"/>
  </r>
  <r>
    <s v="ORD-2399"/>
    <d v="2026-08-03T00:00:00"/>
    <s v="Cali"/>
    <s v="CD Sur"/>
    <s v="Online"/>
    <s v="Electro"/>
    <s v="Smart TV 68"/>
    <n v="28.2435298479792"/>
  </r>
  <r>
    <s v="ORD-2400"/>
    <d v="2026-08-04T00:00:00"/>
    <s v="Pasto"/>
    <s v="CD Norte (Pasto)"/>
    <s v="Tienda Fisica"/>
    <s v="Moda"/>
    <s v="Camisa Lino"/>
    <n v="28.3044864664442"/>
  </r>
  <r>
    <s v="ORD-2401"/>
    <d v="2026-08-04T00:00:00"/>
    <s v="Bogota"/>
    <s v="CD Centro"/>
    <s v="Online"/>
    <s v="Hogar"/>
    <s v="Juego Comedor"/>
    <n v="28.365443084909099"/>
  </r>
  <r>
    <s v="ORD-2402"/>
    <d v="2026-08-04T00:00:00"/>
    <s v="Cali"/>
    <s v="CD Sur"/>
    <s v="Tienda Fisica"/>
    <s v="Calzado"/>
    <s v="Sandalias"/>
    <n v="28.426399703374098"/>
  </r>
  <r>
    <s v="ORD-2403"/>
    <d v="2026-08-05T00:00:00"/>
    <s v="Pasto"/>
    <s v="CD Norte (Pasto)"/>
    <s v="Online"/>
    <s v="Electro"/>
    <s v="Tablet 23"/>
    <n v="28.487356321839101"/>
  </r>
  <r>
    <s v="ORD-2404"/>
    <d v="2026-08-05T00:00:00"/>
    <s v="Bogota"/>
    <s v="CD Centro"/>
    <s v="Online"/>
    <s v="Moda"/>
    <s v="Saco Lana"/>
    <n v="28.548312940304001"/>
  </r>
  <r>
    <s v="ORD-2405"/>
    <d v="2026-08-05T00:00:00"/>
    <s v="Cali"/>
    <s v="CD Sur"/>
    <s v="Online"/>
    <s v="Hogar"/>
    <s v="Escritorio Pro"/>
    <n v="28.609269558769"/>
  </r>
  <r>
    <s v="ORD-2406"/>
    <d v="2026-08-06T00:00:00"/>
    <s v="Pasto"/>
    <s v="CD Norte (Pasto)"/>
    <s v="Tienda Fisica"/>
    <s v="Calzado"/>
    <s v="Tenis Urbano"/>
    <n v="28.6702261772339"/>
  </r>
  <r>
    <s v="ORD-2407"/>
    <d v="2026-08-06T00:00:00"/>
    <s v="Bogota"/>
    <s v="CD Centro"/>
    <s v="Online"/>
    <s v="Electro"/>
    <s v="Audifonos BT"/>
    <n v="28.731182795698899"/>
  </r>
  <r>
    <s v="ORD-2408"/>
    <d v="2026-08-06T00:00:00"/>
    <s v="Cali"/>
    <s v="CD Sur"/>
    <s v="Tienda Fisica"/>
    <s v="Moda"/>
    <s v="Vestido Formal"/>
    <n v="28.792139414163898"/>
  </r>
  <r>
    <s v="ORD-2409"/>
    <d v="2026-08-07T00:00:00"/>
    <s v="Pasto"/>
    <s v="CD Norte (Pasto)"/>
    <s v="Online"/>
    <s v="Hogar"/>
    <s v="Lámpara LED"/>
    <n v="28.853096032628802"/>
  </r>
  <r>
    <s v="ORD-2410"/>
    <d v="2026-08-07T00:00:00"/>
    <s v="Bogota"/>
    <s v="CD Centro"/>
    <s v="Tienda Fisica"/>
    <s v="Calzado"/>
    <s v="Zapatos Formales"/>
    <n v="28.914052651093801"/>
  </r>
  <r>
    <s v="ORD-2411"/>
    <d v="2026-08-07T00:00:00"/>
    <s v="Cali"/>
    <s v="CD Sur"/>
    <s v="Online"/>
    <s v="Electro"/>
    <s v="Consola Videojuegos"/>
    <n v="28.9750092695588"/>
  </r>
  <r>
    <s v="ORD-2412"/>
    <d v="2026-08-08T00:00:00"/>
    <s v="Pasto"/>
    <s v="CD Norte (Pasto)"/>
    <s v="Online"/>
    <s v="Moda"/>
    <s v="Chaqueta Impermeable"/>
    <n v="29.0359658880237"/>
  </r>
  <r>
    <s v="ORD-2413"/>
    <d v="2026-08-08T00:00:00"/>
    <s v="Bogota"/>
    <s v="CD Centro"/>
    <s v="Online"/>
    <s v="Hogar"/>
    <s v="Silla Ergonomica"/>
    <n v="29.096922506488699"/>
  </r>
  <r>
    <s v="ORD-2414"/>
    <d v="2026-08-08T00:00:00"/>
    <s v="Cali"/>
    <s v="CD Sur"/>
    <s v="Tienda Fisica"/>
    <s v="Calzado"/>
    <s v="Tenis Deportivo"/>
    <n v="29.157879124953599"/>
  </r>
  <r>
    <s v="ORD-2415"/>
    <d v="2026-08-09T00:00:00"/>
    <s v="Pasto"/>
    <s v="CD Norte (Pasto)"/>
    <s v="Tienda Fisica"/>
    <s v="Electro"/>
    <s v="Monitor 40"/>
    <n v="29.218835743418602"/>
  </r>
  <r>
    <s v="ORD-2416"/>
    <d v="2026-08-09T00:00:00"/>
    <s v="Bogota"/>
    <s v="CD Centro"/>
    <s v="Online"/>
    <s v="Moda"/>
    <s v="Buzo Hooded"/>
    <n v="29.279792361883601"/>
  </r>
  <r>
    <s v="ORD-2417"/>
    <d v="2026-08-09T00:00:00"/>
    <s v="Cali"/>
    <s v="CD Sur"/>
    <s v="Online"/>
    <s v="Hogar"/>
    <s v="Cama King"/>
    <n v="29.340748980348501"/>
  </r>
  <r>
    <s v="ORD-2418"/>
    <d v="2026-08-10T00:00:00"/>
    <s v="Pasto"/>
    <s v="CD Norte (Pasto)"/>
    <s v="Online"/>
    <s v="Calzado"/>
    <s v="Botines Cuero"/>
    <n v="29.4017055988135"/>
  </r>
  <r>
    <s v="ORD-2419"/>
    <d v="2026-08-10T00:00:00"/>
    <s v="Bogota"/>
    <s v="CD Centro"/>
    <s v="Tienda Fisica"/>
    <s v="Electro"/>
    <s v="Teclado Mecanico"/>
    <n v="29.4626622172784"/>
  </r>
  <r>
    <s v="ORD-2420"/>
    <d v="2026-08-10T00:00:00"/>
    <s v="Cali"/>
    <s v="CD Sur"/>
    <s v="Online"/>
    <s v="Moda"/>
    <s v="Pantalón Cargo"/>
    <n v="29.523618835743399"/>
  </r>
  <r>
    <s v="ORD-2421"/>
    <d v="2026-08-01T00:00:00"/>
    <s v="Pasto"/>
    <s v="CD Norte (Pasto)"/>
    <s v="Online"/>
    <s v="Electro"/>
    <s v="Laptop Pro 29"/>
    <n v="29.584575454208402"/>
  </r>
  <r>
    <s v="ORD-2422"/>
    <d v="2026-08-01T00:00:00"/>
    <s v="Bogota"/>
    <s v="CD Centro"/>
    <s v="Tienda Fisica"/>
    <s v="Moda"/>
    <s v="Chaqueta Cuero"/>
    <n v="29.645532072673301"/>
  </r>
  <r>
    <s v="ORD-2423"/>
    <d v="2026-08-01T00:00:00"/>
    <s v="Cali"/>
    <s v="CD Sur"/>
    <s v="Online"/>
    <s v="Hogar"/>
    <s v="Cafetera Express"/>
    <n v="29.706488691138301"/>
  </r>
  <r>
    <s v="ORD-2424"/>
    <d v="2026-08-02T00:00:00"/>
    <s v="Pasto"/>
    <s v="CD Norte (Pasto)"/>
    <s v="Tienda Fisica"/>
    <s v="Calzado"/>
    <s v="Tenis Running"/>
    <n v="29.7674453096032"/>
  </r>
  <r>
    <s v="ORD-2425"/>
    <d v="2026-08-02T00:00:00"/>
    <s v="Bogota"/>
    <s v="CD Centro"/>
    <s v="Online"/>
    <s v="Electro"/>
    <s v="Smartphone X"/>
    <n v="29.8284019280682"/>
  </r>
  <r>
    <s v="ORD-2426"/>
    <d v="2026-08-02T00:00:00"/>
    <s v="Cali"/>
    <s v="CD Sur"/>
    <s v="Online"/>
    <s v="Moda"/>
    <s v="Jean Slim Fit"/>
    <n v="29.889358546533199"/>
  </r>
  <r>
    <s v="ORD-2427"/>
    <d v="2026-08-03T00:00:00"/>
    <s v="Pasto"/>
    <s v="CD Norte (Pasto)"/>
    <s v="Online"/>
    <s v="Hogar"/>
    <s v="Aspiradora Robot"/>
    <n v="29.950315164998099"/>
  </r>
  <r>
    <s v="ORD-2428"/>
    <d v="2026-08-03T00:00:00"/>
    <s v="Bogota"/>
    <s v="CD Centro"/>
    <s v="Tienda Fisica"/>
    <s v="Calzado"/>
    <s v="Botas Moto"/>
    <n v="30.011271783463101"/>
  </r>
  <r>
    <s v="ORD-2429"/>
    <d v="2026-08-03T00:00:00"/>
    <s v="Cali"/>
    <s v="CD Sur"/>
    <s v="Online"/>
    <s v="Electro"/>
    <s v="Smart TV 69"/>
    <n v="30.072228401928101"/>
  </r>
  <r>
    <s v="ORD-2430"/>
    <d v="2026-08-04T00:00:00"/>
    <s v="Pasto"/>
    <s v="CD Norte (Pasto)"/>
    <s v="Tienda Fisica"/>
    <s v="Moda"/>
    <s v="Camisa Lino"/>
    <n v="30.133185020393"/>
  </r>
  <r>
    <s v="ORD-2431"/>
    <d v="2026-08-04T00:00:00"/>
    <s v="Bogota"/>
    <s v="CD Centro"/>
    <s v="Online"/>
    <s v="Hogar"/>
    <s v="Juego Comedor"/>
    <n v="30.194141638858"/>
  </r>
  <r>
    <s v="ORD-2432"/>
    <d v="2026-08-04T00:00:00"/>
    <s v="Cali"/>
    <s v="CD Sur"/>
    <s v="Tienda Fisica"/>
    <s v="Calzado"/>
    <s v="Sandalias"/>
    <n v="30.255098257322899"/>
  </r>
  <r>
    <s v="ORD-2433"/>
    <d v="2026-08-05T00:00:00"/>
    <s v="Pasto"/>
    <s v="CD Norte (Pasto)"/>
    <s v="Online"/>
    <s v="Electro"/>
    <s v="Tablet 24"/>
    <n v="30.316054875787898"/>
  </r>
  <r>
    <s v="ORD-2434"/>
    <d v="2026-08-05T00:00:00"/>
    <s v="Bogota"/>
    <s v="CD Centro"/>
    <s v="Online"/>
    <s v="Moda"/>
    <s v="Saco Lana"/>
    <n v="30.377011494252901"/>
  </r>
  <r>
    <s v="ORD-2435"/>
    <d v="2026-08-05T00:00:00"/>
    <s v="Cali"/>
    <s v="CD Sur"/>
    <s v="Online"/>
    <s v="Hogar"/>
    <s v="Escritorio Pro"/>
    <n v="30.437968112717801"/>
  </r>
  <r>
    <s v="ORD-2436"/>
    <d v="2026-08-06T00:00:00"/>
    <s v="Pasto"/>
    <s v="CD Norte (Pasto)"/>
    <s v="Tienda Fisica"/>
    <s v="Calzado"/>
    <s v="Tenis Urbano"/>
    <n v="30.4989247311828"/>
  </r>
  <r>
    <s v="ORD-2437"/>
    <d v="2026-08-06T00:00:00"/>
    <s v="Bogota"/>
    <s v="CD Centro"/>
    <s v="Online"/>
    <s v="Electro"/>
    <s v="Audifonos BT"/>
    <n v="30.5598813496477"/>
  </r>
  <r>
    <s v="ORD-2438"/>
    <d v="2026-08-06T00:00:00"/>
    <s v="Cali"/>
    <s v="CD Sur"/>
    <s v="Tienda Fisica"/>
    <s v="Moda"/>
    <s v="Vestido Formal"/>
    <n v="30.620837968112699"/>
  </r>
  <r>
    <s v="ORD-2439"/>
    <d v="2026-08-07T00:00:00"/>
    <s v="Pasto"/>
    <s v="CD Norte (Pasto)"/>
    <s v="Online"/>
    <s v="Hogar"/>
    <s v="Lámpara LED"/>
    <n v="30.681794586577698"/>
  </r>
  <r>
    <s v="ORD-2440"/>
    <d v="2026-08-07T00:00:00"/>
    <s v="Bogota"/>
    <s v="CD Centro"/>
    <s v="Tienda Fisica"/>
    <s v="Calzado"/>
    <s v="Zapatos Formales"/>
    <n v="30.742751205042602"/>
  </r>
  <r>
    <s v="ORD-2441"/>
    <d v="2026-08-07T00:00:00"/>
    <s v="Cali"/>
    <s v="CD Sur"/>
    <s v="Online"/>
    <s v="Electro"/>
    <s v="Consola Videojuegos"/>
    <n v="30.803707823507601"/>
  </r>
  <r>
    <s v="ORD-2442"/>
    <d v="2026-08-08T00:00:00"/>
    <s v="Pasto"/>
    <s v="CD Norte (Pasto)"/>
    <s v="Online"/>
    <s v="Moda"/>
    <s v="Chaqueta Impermeable"/>
    <n v="30.864664441972501"/>
  </r>
  <r>
    <s v="ORD-2443"/>
    <d v="2026-08-08T00:00:00"/>
    <s v="Bogota"/>
    <s v="CD Centro"/>
    <s v="Online"/>
    <s v="Hogar"/>
    <s v="Silla Ergonomica"/>
    <n v="30.9256210604375"/>
  </r>
  <r>
    <s v="ORD-2444"/>
    <d v="2026-08-08T00:00:00"/>
    <s v="Cali"/>
    <s v="CD Sur"/>
    <s v="Tienda Fisica"/>
    <s v="Calzado"/>
    <s v="Tenis Deportivo"/>
    <n v="30.986577678902499"/>
  </r>
  <r>
    <s v="ORD-2445"/>
    <d v="2026-08-09T00:00:00"/>
    <s v="Pasto"/>
    <s v="CD Norte (Pasto)"/>
    <s v="Tienda Fisica"/>
    <s v="Electro"/>
    <s v="Monitor 41"/>
    <n v="31.047534297367399"/>
  </r>
  <r>
    <s v="ORD-2446"/>
    <d v="2026-08-09T00:00:00"/>
    <s v="Bogota"/>
    <s v="CD Centro"/>
    <s v="Online"/>
    <s v="Moda"/>
    <s v="Buzo Hooded"/>
    <n v="31.108490915832402"/>
  </r>
  <r>
    <s v="ORD-2447"/>
    <d v="2026-08-09T00:00:00"/>
    <s v="Cali"/>
    <s v="CD Sur"/>
    <s v="Online"/>
    <s v="Hogar"/>
    <s v="Cama King"/>
    <n v="31.169447534297401"/>
  </r>
  <r>
    <s v="ORD-2448"/>
    <d v="2026-08-10T00:00:00"/>
    <s v="Pasto"/>
    <s v="CD Norte (Pasto)"/>
    <s v="Online"/>
    <s v="Calzado"/>
    <s v="Botines Cuero"/>
    <n v="31.230404152762301"/>
  </r>
  <r>
    <s v="ORD-2449"/>
    <d v="2026-08-10T00:00:00"/>
    <s v="Bogota"/>
    <s v="CD Centro"/>
    <s v="Tienda Fisica"/>
    <s v="Electro"/>
    <s v="Teclado Mecanico"/>
    <n v="31.2913607712273"/>
  </r>
  <r>
    <s v="ORD-2450"/>
    <d v="2026-08-10T00:00:00"/>
    <s v="Cali"/>
    <s v="CD Sur"/>
    <s v="Online"/>
    <s v="Moda"/>
    <s v="Pantalón Cargo"/>
    <n v="31.3523173896922"/>
  </r>
  <r>
    <s v="ORD-2451"/>
    <d v="2026-08-01T00:00:00"/>
    <s v="Pasto"/>
    <s v="CD Norte (Pasto)"/>
    <s v="Online"/>
    <s v="Electro"/>
    <s v="Laptop Pro 30"/>
    <n v="31.413274008157199"/>
  </r>
  <r>
    <s v="ORD-2452"/>
    <d v="2026-08-01T00:00:00"/>
    <s v="Bogota"/>
    <s v="CD Centro"/>
    <s v="Tienda Fisica"/>
    <s v="Moda"/>
    <s v="Chaqueta Cuero"/>
    <n v="31.474230626622202"/>
  </r>
  <r>
    <s v="ORD-2453"/>
    <d v="2026-08-01T00:00:00"/>
    <s v="Cali"/>
    <s v="CD Sur"/>
    <s v="Online"/>
    <s v="Hogar"/>
    <s v="Cafetera Express"/>
    <n v="31.535187245087101"/>
  </r>
  <r>
    <s v="ORD-2454"/>
    <d v="2026-08-02T00:00:00"/>
    <s v="Pasto"/>
    <s v="CD Norte (Pasto)"/>
    <s v="Tienda Fisica"/>
    <s v="Calzado"/>
    <s v="Tenis Running"/>
    <n v="31.596143863552101"/>
  </r>
  <r>
    <s v="ORD-2455"/>
    <d v="2026-08-02T00:00:00"/>
    <s v="Bogota"/>
    <s v="CD Centro"/>
    <s v="Online"/>
    <s v="Electro"/>
    <s v="Smartphone X"/>
    <n v="31.657100482017"/>
  </r>
  <r>
    <s v="ORD-2456"/>
    <d v="2026-08-02T00:00:00"/>
    <s v="Cali"/>
    <s v="CD Sur"/>
    <s v="Online"/>
    <s v="Moda"/>
    <s v="Jean Slim Fit"/>
    <n v="31.718057100482"/>
  </r>
  <r>
    <s v="ORD-2457"/>
    <d v="2026-08-03T00:00:00"/>
    <s v="Pasto"/>
    <s v="CD Norte (Pasto)"/>
    <s v="Online"/>
    <s v="Hogar"/>
    <s v="Aspiradora Robot"/>
    <n v="31.779013718946999"/>
  </r>
  <r>
    <s v="ORD-2458"/>
    <d v="2026-08-03T00:00:00"/>
    <s v="Bogota"/>
    <s v="CD Centro"/>
    <s v="Tienda Fisica"/>
    <s v="Calzado"/>
    <s v="Botas Moto"/>
    <n v="31.839970337411899"/>
  </r>
  <r>
    <s v="ORD-2459"/>
    <d v="2026-08-03T00:00:00"/>
    <s v="Cali"/>
    <s v="CD Sur"/>
    <s v="Online"/>
    <s v="Electro"/>
    <s v="Smart TV 70"/>
    <n v="31.900926955876901"/>
  </r>
  <r>
    <s v="ORD-2460"/>
    <d v="2026-08-04T00:00:00"/>
    <s v="Pasto"/>
    <s v="CD Norte (Pasto)"/>
    <s v="Tienda Fisica"/>
    <s v="Moda"/>
    <s v="Camisa Lino"/>
    <n v="31.961883574341801"/>
  </r>
  <r>
    <s v="ORD-2461"/>
    <d v="2026-08-04T00:00:00"/>
    <s v="Bogota"/>
    <s v="CD Centro"/>
    <s v="Online"/>
    <s v="Hogar"/>
    <s v="Juego Comedor"/>
    <n v="32.022840192806797"/>
  </r>
  <r>
    <s v="ORD-2462"/>
    <d v="2026-08-04T00:00:00"/>
    <s v="Cali"/>
    <s v="CD Sur"/>
    <s v="Tienda Fisica"/>
    <s v="Calzado"/>
    <s v="Sandalias"/>
    <n v="32.083796811271803"/>
  </r>
  <r>
    <s v="ORD-2463"/>
    <d v="2026-08-05T00:00:00"/>
    <s v="Pasto"/>
    <s v="CD Norte (Pasto)"/>
    <s v="Online"/>
    <s v="Electro"/>
    <s v="Tablet 25"/>
    <n v="32.144753429736703"/>
  </r>
  <r>
    <s v="ORD-2464"/>
    <d v="2026-08-05T00:00:00"/>
    <s v="Bogota"/>
    <s v="CD Centro"/>
    <s v="Online"/>
    <s v="Moda"/>
    <s v="Saco Lana"/>
    <n v="32.205710048201702"/>
  </r>
  <r>
    <s v="ORD-2465"/>
    <d v="2026-08-05T00:00:00"/>
    <s v="Cali"/>
    <s v="CD Sur"/>
    <s v="Online"/>
    <s v="Hogar"/>
    <s v="Escritorio Pro"/>
    <n v="32.266666666666701"/>
  </r>
  <r>
    <s v="ORD-2466"/>
    <d v="2026-08-06T00:00:00"/>
    <s v="Pasto"/>
    <s v="CD Norte (Pasto)"/>
    <s v="Tienda Fisica"/>
    <s v="Calzado"/>
    <s v="Tenis Urbano"/>
    <n v="32.327623285131601"/>
  </r>
  <r>
    <s v="ORD-2467"/>
    <d v="2026-08-06T00:00:00"/>
    <s v="Bogota"/>
    <s v="CD Centro"/>
    <s v="Online"/>
    <s v="Electro"/>
    <s v="Audifonos BT"/>
    <n v="32.3885799035966"/>
  </r>
  <r>
    <s v="ORD-2468"/>
    <d v="2026-08-06T00:00:00"/>
    <s v="Cali"/>
    <s v="CD Sur"/>
    <s v="Tienda Fisica"/>
    <s v="Moda"/>
    <s v="Vestido Formal"/>
    <n v="32.4495365220615"/>
  </r>
  <r>
    <s v="ORD-2469"/>
    <d v="2026-08-07T00:00:00"/>
    <s v="Pasto"/>
    <s v="CD Norte (Pasto)"/>
    <s v="Online"/>
    <s v="Hogar"/>
    <s v="Lámpara LED"/>
    <n v="32.510493140526499"/>
  </r>
  <r>
    <s v="ORD-2470"/>
    <d v="2026-08-07T00:00:00"/>
    <s v="Bogota"/>
    <s v="CD Centro"/>
    <s v="Tienda Fisica"/>
    <s v="Calzado"/>
    <s v="Zapatos Formales"/>
    <n v="32.571449758991498"/>
  </r>
  <r>
    <s v="ORD-2471"/>
    <d v="2026-08-07T00:00:00"/>
    <s v="Cali"/>
    <s v="CD Sur"/>
    <s v="Online"/>
    <s v="Electro"/>
    <s v="Consola Videojuegos"/>
    <n v="32.632406377456398"/>
  </r>
  <r>
    <s v="ORD-2472"/>
    <d v="2026-08-08T00:00:00"/>
    <s v="Pasto"/>
    <s v="CD Norte (Pasto)"/>
    <s v="Online"/>
    <s v="Moda"/>
    <s v="Chaqueta Impermeable"/>
    <n v="32.693362995921397"/>
  </r>
  <r>
    <s v="ORD-2473"/>
    <d v="2026-08-08T00:00:00"/>
    <s v="Bogota"/>
    <s v="CD Centro"/>
    <s v="Online"/>
    <s v="Hogar"/>
    <s v="Silla Ergonomica"/>
    <n v="32.754319614386297"/>
  </r>
  <r>
    <s v="ORD-2474"/>
    <d v="2026-08-08T00:00:00"/>
    <s v="Cali"/>
    <s v="CD Sur"/>
    <s v="Tienda Fisica"/>
    <s v="Calzado"/>
    <s v="Tenis Deportivo"/>
    <n v="32.815276232851303"/>
  </r>
  <r>
    <s v="ORD-2475"/>
    <d v="2026-08-09T00:00:00"/>
    <s v="Pasto"/>
    <s v="CD Norte (Pasto)"/>
    <s v="Tienda Fisica"/>
    <s v="Electro"/>
    <s v="Monitor 42"/>
    <n v="32.876232851316303"/>
  </r>
  <r>
    <s v="ORD-2476"/>
    <d v="2026-08-09T00:00:00"/>
    <s v="Bogota"/>
    <s v="CD Centro"/>
    <s v="Online"/>
    <s v="Moda"/>
    <s v="Buzo Hooded"/>
    <n v="32.937189469781202"/>
  </r>
  <r>
    <s v="ORD-2477"/>
    <d v="2026-08-09T00:00:00"/>
    <s v="Cali"/>
    <s v="CD Sur"/>
    <s v="Online"/>
    <s v="Hogar"/>
    <s v="Cama King"/>
    <n v="32.998146088246202"/>
  </r>
  <r>
    <s v="ORD-2478"/>
    <d v="2026-08-10T00:00:00"/>
    <s v="Pasto"/>
    <s v="CD Norte (Pasto)"/>
    <s v="Online"/>
    <s v="Calzado"/>
    <s v="Botines Cuero"/>
    <n v="33.059102706711101"/>
  </r>
  <r>
    <s v="ORD-2479"/>
    <d v="2026-08-10T00:00:00"/>
    <s v="Bogota"/>
    <s v="CD Centro"/>
    <s v="Tienda Fisica"/>
    <s v="Electro"/>
    <s v="Teclado Mecanico"/>
    <n v="33.120059325176101"/>
  </r>
  <r>
    <s v="ORD-2480"/>
    <d v="2026-08-10T00:00:00"/>
    <s v="Cali"/>
    <s v="CD Sur"/>
    <s v="Online"/>
    <s v="Moda"/>
    <s v="Pantalón Cargo"/>
    <n v="33.1810159436411"/>
  </r>
  <r>
    <s v="ORD-2481"/>
    <d v="2026-08-01T00:00:00"/>
    <s v="Pasto"/>
    <s v="CD Norte (Pasto)"/>
    <s v="Online"/>
    <s v="Electro"/>
    <s v="Laptop Pro 31"/>
    <n v="33.241972562106"/>
  </r>
  <r>
    <s v="ORD-2482"/>
    <d v="2026-08-01T00:00:00"/>
    <s v="Bogota"/>
    <s v="CD Centro"/>
    <s v="Tienda Fisica"/>
    <s v="Moda"/>
    <s v="Chaqueta Cuero"/>
    <n v="33.302929180570999"/>
  </r>
  <r>
    <s v="ORD-2483"/>
    <d v="2026-08-01T00:00:00"/>
    <s v="Cali"/>
    <s v="CD Sur"/>
    <s v="Online"/>
    <s v="Hogar"/>
    <s v="Cafetera Express"/>
    <n v="33.363885799035998"/>
  </r>
  <r>
    <s v="ORD-2484"/>
    <d v="2026-08-02T00:00:00"/>
    <s v="Pasto"/>
    <s v="CD Norte (Pasto)"/>
    <s v="Tienda Fisica"/>
    <s v="Calzado"/>
    <s v="Tenis Running"/>
    <n v="33.424842417500898"/>
  </r>
  <r>
    <s v="ORD-2485"/>
    <d v="2026-08-02T00:00:00"/>
    <s v="Bogota"/>
    <s v="CD Centro"/>
    <s v="Online"/>
    <s v="Electro"/>
    <s v="Smartphone X"/>
    <n v="33.485799035965897"/>
  </r>
  <r>
    <s v="ORD-2486"/>
    <d v="2026-08-02T00:00:00"/>
    <s v="Cali"/>
    <s v="CD Sur"/>
    <s v="Online"/>
    <s v="Moda"/>
    <s v="Jean Slim Fit"/>
    <n v="33.546755654430797"/>
  </r>
  <r>
    <s v="ORD-2487"/>
    <d v="2026-08-03T00:00:00"/>
    <s v="Pasto"/>
    <s v="CD Norte (Pasto)"/>
    <s v="Online"/>
    <s v="Hogar"/>
    <s v="Aspiradora Robot"/>
    <n v="33.607712272895803"/>
  </r>
  <r>
    <s v="ORD-2488"/>
    <d v="2026-08-03T00:00:00"/>
    <s v="Bogota"/>
    <s v="CD Centro"/>
    <s v="Tienda Fisica"/>
    <s v="Calzado"/>
    <s v="Botas Moto"/>
    <n v="33.668668891360802"/>
  </r>
  <r>
    <s v="ORD-2489"/>
    <d v="2026-08-03T00:00:00"/>
    <s v="Cali"/>
    <s v="CD Sur"/>
    <s v="Online"/>
    <s v="Electro"/>
    <s v="Smart TV 71"/>
    <n v="33.729625509825702"/>
  </r>
  <r>
    <s v="ORD-2490"/>
    <d v="2026-08-04T00:00:00"/>
    <s v="Pasto"/>
    <s v="CD Norte (Pasto)"/>
    <s v="Tienda Fisica"/>
    <s v="Moda"/>
    <s v="Camisa Lino"/>
    <n v="33.790582128290701"/>
  </r>
  <r>
    <s v="ORD-2491"/>
    <d v="2026-08-04T00:00:00"/>
    <s v="Bogota"/>
    <s v="CD Centro"/>
    <s v="Online"/>
    <s v="Hogar"/>
    <s v="Juego Comedor"/>
    <n v="33.851538746755601"/>
  </r>
  <r>
    <s v="ORD-2492"/>
    <d v="2026-08-04T00:00:00"/>
    <s v="Cali"/>
    <s v="CD Sur"/>
    <s v="Tienda Fisica"/>
    <s v="Calzado"/>
    <s v="Sandalias"/>
    <n v="33.9124953652206"/>
  </r>
  <r>
    <s v="ORD-2493"/>
    <d v="2026-08-05T00:00:00"/>
    <s v="Pasto"/>
    <s v="CD Norte (Pasto)"/>
    <s v="Online"/>
    <s v="Electro"/>
    <s v="Tablet 26"/>
    <n v="33.973451983685599"/>
  </r>
  <r>
    <s v="ORD-2494"/>
    <d v="2026-08-05T00:00:00"/>
    <s v="Bogota"/>
    <s v="CD Centro"/>
    <s v="Online"/>
    <s v="Moda"/>
    <s v="Saco Lana"/>
    <n v="34.034408602150499"/>
  </r>
  <r>
    <s v="ORD-2495"/>
    <d v="2026-08-05T00:00:00"/>
    <s v="Cali"/>
    <s v="CD Sur"/>
    <s v="Online"/>
    <s v="Hogar"/>
    <s v="Escritorio Pro"/>
    <n v="34.095365220615498"/>
  </r>
  <r>
    <s v="ORD-2496"/>
    <d v="2026-08-06T00:00:00"/>
    <s v="Pasto"/>
    <s v="CD Norte (Pasto)"/>
    <s v="Tienda Fisica"/>
    <s v="Calzado"/>
    <s v="Tenis Urbano"/>
    <n v="34.156321839080398"/>
  </r>
  <r>
    <s v="ORD-2497"/>
    <d v="2026-08-06T00:00:00"/>
    <s v="Bogota"/>
    <s v="CD Centro"/>
    <s v="Online"/>
    <s v="Electro"/>
    <s v="Audifonos BT"/>
    <n v="34.217278457545397"/>
  </r>
  <r>
    <s v="ORD-2498"/>
    <d v="2026-08-06T00:00:00"/>
    <s v="Cali"/>
    <s v="CD Sur"/>
    <s v="Tienda Fisica"/>
    <s v="Moda"/>
    <s v="Vestido Formal"/>
    <n v="34.278235076010397"/>
  </r>
  <r>
    <s v="ORD-2499"/>
    <d v="2026-08-07T00:00:00"/>
    <s v="Pasto"/>
    <s v="CD Norte (Pasto)"/>
    <s v="Online"/>
    <s v="Hogar"/>
    <s v="Lámpara LED"/>
    <n v="34.339191694475304"/>
  </r>
  <r>
    <s v="ORD-2500"/>
    <d v="2026-08-07T00:00:00"/>
    <s v="Bogota"/>
    <s v="CD Centro"/>
    <s v="Tienda Fisica"/>
    <s v="Calzado"/>
    <s v="Zapatos Formales"/>
    <n v="34.400148312940303"/>
  </r>
  <r>
    <s v="ORD-2501"/>
    <d v="2026-08-07T00:00:00"/>
    <s v="Cali"/>
    <s v="CD Sur"/>
    <s v="Online"/>
    <s v="Electro"/>
    <s v="Consola Videojuegos"/>
    <n v="34.461104931405302"/>
  </r>
  <r>
    <s v="ORD-2502"/>
    <d v="2026-08-08T00:00:00"/>
    <s v="Pasto"/>
    <s v="CD Norte (Pasto)"/>
    <s v="Online"/>
    <s v="Moda"/>
    <s v="Chaqueta Impermeable"/>
    <n v="34.522061549870202"/>
  </r>
  <r>
    <s v="ORD-2503"/>
    <d v="2026-08-08T00:00:00"/>
    <s v="Bogota"/>
    <s v="CD Centro"/>
    <s v="Online"/>
    <s v="Hogar"/>
    <s v="Silla Ergonomica"/>
    <n v="34.583018168335201"/>
  </r>
  <r>
    <s v="ORD-2504"/>
    <d v="2026-08-08T00:00:00"/>
    <s v="Cali"/>
    <s v="CD Sur"/>
    <s v="Tienda Fisica"/>
    <s v="Calzado"/>
    <s v="Tenis Deportivo"/>
    <n v="34.643974786800101"/>
  </r>
  <r>
    <s v="ORD-2505"/>
    <d v="2026-08-09T00:00:00"/>
    <s v="Pasto"/>
    <s v="CD Norte (Pasto)"/>
    <s v="Tienda Fisica"/>
    <s v="Electro"/>
    <s v="Monitor 43"/>
    <n v="34.7049314052651"/>
  </r>
  <r>
    <s v="ORD-2506"/>
    <d v="2026-08-09T00:00:00"/>
    <s v="Bogota"/>
    <s v="CD Centro"/>
    <s v="Online"/>
    <s v="Moda"/>
    <s v="Buzo Hooded"/>
    <n v="34.765888023730099"/>
  </r>
  <r>
    <s v="ORD-2507"/>
    <d v="2026-08-09T00:00:00"/>
    <s v="Cali"/>
    <s v="CD Sur"/>
    <s v="Online"/>
    <s v="Hogar"/>
    <s v="Cama King"/>
    <n v="34.826844642194999"/>
  </r>
  <r>
    <s v="ORD-2508"/>
    <d v="2026-08-10T00:00:00"/>
    <s v="Pasto"/>
    <s v="CD Norte (Pasto)"/>
    <s v="Online"/>
    <s v="Calzado"/>
    <s v="Botines Cuero"/>
    <n v="34.887801260659998"/>
  </r>
  <r>
    <s v="ORD-2509"/>
    <d v="2026-08-10T00:00:00"/>
    <s v="Bogota"/>
    <s v="CD Centro"/>
    <s v="Tienda Fisica"/>
    <s v="Electro"/>
    <s v="Teclado Mecanico"/>
    <n v="34.948757879124898"/>
  </r>
  <r>
    <s v="ORD-2510"/>
    <d v="2026-08-10T00:00:00"/>
    <s v="Cali"/>
    <s v="CD Sur"/>
    <s v="Online"/>
    <s v="Moda"/>
    <s v="Pantalón Cargo"/>
    <n v="35.009714497589897"/>
  </r>
  <r>
    <s v="ORD-2511"/>
    <d v="2026-08-01T00:00:00"/>
    <s v="Pasto"/>
    <s v="CD Norte (Pasto)"/>
    <s v="Online"/>
    <s v="Electro"/>
    <s v="Laptop Pro 32"/>
    <n v="35.070671116054903"/>
  </r>
  <r>
    <s v="ORD-2512"/>
    <d v="2026-08-01T00:00:00"/>
    <s v="Bogota"/>
    <s v="CD Centro"/>
    <s v="Tienda Fisica"/>
    <s v="Moda"/>
    <s v="Chaqueta Cuero"/>
    <n v="35.131627734519803"/>
  </r>
  <r>
    <s v="ORD-2513"/>
    <d v="2026-08-01T00:00:00"/>
    <s v="Cali"/>
    <s v="CD Sur"/>
    <s v="Online"/>
    <s v="Hogar"/>
    <s v="Cafetera Express"/>
    <n v="35.192584352984802"/>
  </r>
  <r>
    <s v="ORD-2514"/>
    <d v="2026-08-02T00:00:00"/>
    <s v="Pasto"/>
    <s v="CD Norte (Pasto)"/>
    <s v="Tienda Fisica"/>
    <s v="Calzado"/>
    <s v="Tenis Running"/>
    <n v="35.253540971449702"/>
  </r>
  <r>
    <s v="ORD-2515"/>
    <d v="2026-08-02T00:00:00"/>
    <s v="Bogota"/>
    <s v="CD Centro"/>
    <s v="Online"/>
    <s v="Electro"/>
    <s v="Smartphone X"/>
    <n v="35.314497589914701"/>
  </r>
  <r>
    <s v="ORD-2516"/>
    <d v="2026-08-02T00:00:00"/>
    <s v="Cali"/>
    <s v="CD Sur"/>
    <s v="Online"/>
    <s v="Moda"/>
    <s v="Jean Slim Fit"/>
    <n v="35.375454208379701"/>
  </r>
  <r>
    <s v="ORD-2517"/>
    <d v="2026-08-03T00:00:00"/>
    <s v="Pasto"/>
    <s v="CD Norte (Pasto)"/>
    <s v="Online"/>
    <s v="Hogar"/>
    <s v="Aspiradora Robot"/>
    <n v="35.4364108268446"/>
  </r>
  <r>
    <s v="ORD-2518"/>
    <d v="2026-08-03T00:00:00"/>
    <s v="Bogota"/>
    <s v="CD Centro"/>
    <s v="Tienda Fisica"/>
    <s v="Calzado"/>
    <s v="Botas Moto"/>
    <n v="35.4973674453096"/>
  </r>
  <r>
    <s v="ORD-2519"/>
    <d v="2026-08-03T00:00:00"/>
    <s v="Cali"/>
    <s v="CD Sur"/>
    <s v="Online"/>
    <s v="Electro"/>
    <s v="Smart TV 72"/>
    <n v="35.558324063774599"/>
  </r>
  <r>
    <s v="ORD-2520"/>
    <d v="2026-08-04T00:00:00"/>
    <s v="Pasto"/>
    <s v="CD Norte (Pasto)"/>
    <s v="Tienda Fisica"/>
    <s v="Moda"/>
    <s v="Camisa Lino"/>
    <n v="35.619280682239499"/>
  </r>
  <r>
    <s v="ORD-2521"/>
    <d v="2026-08-04T00:00:00"/>
    <s v="Bogota"/>
    <s v="CD Centro"/>
    <s v="Online"/>
    <s v="Hogar"/>
    <s v="Juego Comedor"/>
    <n v="35.680237300704498"/>
  </r>
  <r>
    <s v="ORD-2522"/>
    <d v="2026-08-04T00:00:00"/>
    <s v="Cali"/>
    <s v="CD Sur"/>
    <s v="Tienda Fisica"/>
    <s v="Calzado"/>
    <s v="Sandalias"/>
    <n v="35.741193919169397"/>
  </r>
  <r>
    <s v="ORD-2523"/>
    <d v="2026-08-05T00:00:00"/>
    <s v="Pasto"/>
    <s v="CD Norte (Pasto)"/>
    <s v="Online"/>
    <s v="Electro"/>
    <s v="Tablet 27"/>
    <n v="35.802150537634397"/>
  </r>
  <r>
    <s v="ORD-2524"/>
    <d v="2026-08-05T00:00:00"/>
    <s v="Bogota"/>
    <s v="CD Centro"/>
    <s v="Online"/>
    <s v="Moda"/>
    <s v="Saco Lana"/>
    <n v="35.863107156099403"/>
  </r>
  <r>
    <s v="ORD-2525"/>
    <d v="2026-08-05T00:00:00"/>
    <s v="Cali"/>
    <s v="CD Sur"/>
    <s v="Online"/>
    <s v="Hogar"/>
    <s v="Escritorio Pro"/>
    <n v="35.924063774564303"/>
  </r>
  <r>
    <s v="ORD-2526"/>
    <d v="2026-08-06T00:00:00"/>
    <s v="Pasto"/>
    <s v="CD Norte (Pasto)"/>
    <s v="Tienda Fisica"/>
    <s v="Calzado"/>
    <s v="Tenis Urbano"/>
    <n v="35.985020393029302"/>
  </r>
  <r>
    <s v="ORD-2527"/>
    <d v="2026-08-06T00:00:00"/>
    <s v="Bogota"/>
    <s v="CD Centro"/>
    <s v="Online"/>
    <s v="Electro"/>
    <s v="Audifonos BT"/>
    <n v="36.045977011494202"/>
  </r>
  <r>
    <s v="ORD-2528"/>
    <d v="2026-08-06T00:00:00"/>
    <s v="Cali"/>
    <s v="CD Sur"/>
    <s v="Tienda Fisica"/>
    <s v="Moda"/>
    <s v="Vestido Formal"/>
    <n v="36.106933629959201"/>
  </r>
  <r>
    <s v="ORD-2529"/>
    <d v="2026-08-07T00:00:00"/>
    <s v="Pasto"/>
    <s v="CD Norte (Pasto)"/>
    <s v="Online"/>
    <s v="Hogar"/>
    <s v="Lámpara LED"/>
    <n v="36.1678902484242"/>
  </r>
  <r>
    <s v="ORD-2530"/>
    <d v="2026-08-07T00:00:00"/>
    <s v="Bogota"/>
    <s v="CD Centro"/>
    <s v="Tienda Fisica"/>
    <s v="Calzado"/>
    <s v="Zapatos Formales"/>
    <n v="36.2288468668891"/>
  </r>
  <r>
    <s v="ORD-2531"/>
    <d v="2026-08-07T00:00:00"/>
    <s v="Cali"/>
    <s v="CD Sur"/>
    <s v="Online"/>
    <s v="Electro"/>
    <s v="Consola Videojuegos"/>
    <n v="36.289803485354099"/>
  </r>
  <r>
    <s v="ORD-2532"/>
    <d v="2026-08-08T00:00:00"/>
    <s v="Pasto"/>
    <s v="CD Norte (Pasto)"/>
    <s v="Online"/>
    <s v="Moda"/>
    <s v="Chaqueta Impermeable"/>
    <n v="36.350760103818999"/>
  </r>
  <r>
    <s v="ORD-2533"/>
    <d v="2026-08-08T00:00:00"/>
    <s v="Bogota"/>
    <s v="CD Centro"/>
    <s v="Online"/>
    <s v="Hogar"/>
    <s v="Silla Ergonomica"/>
    <n v="36.411716722283998"/>
  </r>
  <r>
    <s v="ORD-2534"/>
    <d v="2026-08-08T00:00:00"/>
    <s v="Cali"/>
    <s v="CD Sur"/>
    <s v="Tienda Fisica"/>
    <s v="Calzado"/>
    <s v="Tenis Deportivo"/>
    <n v="36.472673340748997"/>
  </r>
  <r>
    <s v="ORD-2535"/>
    <d v="2026-08-09T00:00:00"/>
    <s v="Pasto"/>
    <s v="CD Norte (Pasto)"/>
    <s v="Tienda Fisica"/>
    <s v="Electro"/>
    <s v="Monitor 44"/>
    <n v="36.533629959213897"/>
  </r>
  <r>
    <s v="ORD-2536"/>
    <d v="2026-08-09T00:00:00"/>
    <s v="Bogota"/>
    <s v="CD Centro"/>
    <s v="Online"/>
    <s v="Moda"/>
    <s v="Buzo Hooded"/>
    <n v="36.594586577678903"/>
  </r>
  <r>
    <s v="ORD-2537"/>
    <d v="2026-08-09T00:00:00"/>
    <s v="Cali"/>
    <s v="CD Sur"/>
    <s v="Online"/>
    <s v="Hogar"/>
    <s v="Cama King"/>
    <n v="36.655543196143803"/>
  </r>
  <r>
    <s v="ORD-2538"/>
    <d v="2026-08-10T00:00:00"/>
    <s v="Pasto"/>
    <s v="CD Norte (Pasto)"/>
    <s v="Online"/>
    <s v="Calzado"/>
    <s v="Botines Cuero"/>
    <n v="36.716499814608802"/>
  </r>
  <r>
    <s v="ORD-2539"/>
    <d v="2026-08-10T00:00:00"/>
    <s v="Bogota"/>
    <s v="CD Centro"/>
    <s v="Tienda Fisica"/>
    <s v="Electro"/>
    <s v="Teclado Mecanico"/>
    <n v="36.777456433073802"/>
  </r>
  <r>
    <s v="ORD-2540"/>
    <d v="2026-08-10T00:00:00"/>
    <s v="Cali"/>
    <s v="CD Sur"/>
    <s v="Online"/>
    <s v="Moda"/>
    <s v="Pantalón Cargo"/>
    <n v="36.838413051538701"/>
  </r>
  <r>
    <s v="ORD-2541"/>
    <d v="2026-08-01T00:00:00"/>
    <s v="Pasto"/>
    <s v="CD Norte (Pasto)"/>
    <s v="Online"/>
    <s v="Electro"/>
    <s v="Laptop Pro 33"/>
    <n v="36.899369670003701"/>
  </r>
  <r>
    <s v="ORD-2542"/>
    <d v="2026-08-01T00:00:00"/>
    <s v="Bogota"/>
    <s v="CD Centro"/>
    <s v="Tienda Fisica"/>
    <s v="Moda"/>
    <s v="Chaqueta Cuero"/>
    <n v="36.9603262884687"/>
  </r>
  <r>
    <s v="ORD-2543"/>
    <d v="2026-08-01T00:00:00"/>
    <s v="Cali"/>
    <s v="CD Sur"/>
    <s v="Online"/>
    <s v="Hogar"/>
    <s v="Cafetera Express"/>
    <n v="37.0212829069336"/>
  </r>
  <r>
    <s v="ORD-2544"/>
    <d v="2026-08-02T00:00:00"/>
    <s v="Pasto"/>
    <s v="CD Norte (Pasto)"/>
    <s v="Tienda Fisica"/>
    <s v="Calzado"/>
    <s v="Tenis Running"/>
    <n v="37.082239525398599"/>
  </r>
  <r>
    <s v="ORD-2545"/>
    <d v="2026-08-02T00:00:00"/>
    <s v="Bogota"/>
    <s v="CD Centro"/>
    <s v="Online"/>
    <s v="Electro"/>
    <s v="Smartphone X"/>
    <n v="37.143196143863499"/>
  </r>
  <r>
    <s v="ORD-2546"/>
    <d v="2026-08-02T00:00:00"/>
    <s v="Cali"/>
    <s v="CD Sur"/>
    <s v="Online"/>
    <s v="Moda"/>
    <s v="Jean Slim Fit"/>
    <n v="37.204152762328498"/>
  </r>
  <r>
    <s v="ORD-2547"/>
    <d v="2026-08-03T00:00:00"/>
    <s v="Pasto"/>
    <s v="CD Norte (Pasto)"/>
    <s v="Online"/>
    <s v="Hogar"/>
    <s v="Aspiradora Robot"/>
    <n v="37.265109380793497"/>
  </r>
  <r>
    <s v="ORD-2548"/>
    <d v="2026-08-03T00:00:00"/>
    <s v="Bogota"/>
    <s v="CD Centro"/>
    <s v="Tienda Fisica"/>
    <s v="Calzado"/>
    <s v="Botas Moto"/>
    <n v="37.326065999258397"/>
  </r>
  <r>
    <s v="ORD-2549"/>
    <d v="2026-08-03T00:00:00"/>
    <s v="Cali"/>
    <s v="CD Sur"/>
    <s v="Online"/>
    <s v="Electro"/>
    <s v="Smart TV 73"/>
    <n v="37.387022617723403"/>
  </r>
  <r>
    <s v="ORD-2550"/>
    <d v="2026-08-04T00:00:00"/>
    <s v="Pasto"/>
    <s v="CD Norte (Pasto)"/>
    <s v="Tienda Fisica"/>
    <s v="Moda"/>
    <s v="Camisa Lino"/>
    <n v="37.447979236188303"/>
  </r>
  <r>
    <s v="ORD-2551"/>
    <d v="2026-08-04T00:00:00"/>
    <s v="Bogota"/>
    <s v="CD Centro"/>
    <s v="Online"/>
    <s v="Hogar"/>
    <s v="Juego Comedor"/>
    <n v="37.508935854653302"/>
  </r>
  <r>
    <s v="ORD-2552"/>
    <d v="2026-08-04T00:00:00"/>
    <s v="Cali"/>
    <s v="CD Sur"/>
    <s v="Tienda Fisica"/>
    <s v="Calzado"/>
    <s v="Sandalias"/>
    <n v="37.569892473118301"/>
  </r>
  <r>
    <s v="ORD-2553"/>
    <d v="2026-08-05T00:00:00"/>
    <s v="Pasto"/>
    <s v="CD Norte (Pasto)"/>
    <s v="Online"/>
    <s v="Electro"/>
    <s v="Tablet 28"/>
    <n v="37.630849091583201"/>
  </r>
  <r>
    <s v="ORD-2554"/>
    <d v="2026-08-05T00:00:00"/>
    <s v="Bogota"/>
    <s v="CD Centro"/>
    <s v="Online"/>
    <s v="Moda"/>
    <s v="Saco Lana"/>
    <n v="37.6918057100482"/>
  </r>
  <r>
    <s v="ORD-2555"/>
    <d v="2026-08-05T00:00:00"/>
    <s v="Cali"/>
    <s v="CD Sur"/>
    <s v="Online"/>
    <s v="Hogar"/>
    <s v="Escritorio Pro"/>
    <n v="37.752762328513199"/>
  </r>
  <r>
    <s v="ORD-2556"/>
    <d v="2026-08-06T00:00:00"/>
    <s v="Pasto"/>
    <s v="CD Norte (Pasto)"/>
    <s v="Tienda Fisica"/>
    <s v="Calzado"/>
    <s v="Tenis Urbano"/>
    <n v="37.813718946978099"/>
  </r>
  <r>
    <s v="ORD-2557"/>
    <d v="2026-08-06T00:00:00"/>
    <s v="Bogota"/>
    <s v="CD Centro"/>
    <s v="Online"/>
    <s v="Electro"/>
    <s v="Audifonos BT"/>
    <n v="37.874675565443098"/>
  </r>
  <r>
    <s v="ORD-2558"/>
    <d v="2026-08-06T00:00:00"/>
    <s v="Cali"/>
    <s v="CD Sur"/>
    <s v="Tienda Fisica"/>
    <s v="Moda"/>
    <s v="Vestido Formal"/>
    <n v="37.935632183907998"/>
  </r>
  <r>
    <s v="ORD-2559"/>
    <d v="2026-08-07T00:00:00"/>
    <s v="Pasto"/>
    <s v="CD Norte (Pasto)"/>
    <s v="Online"/>
    <s v="Hogar"/>
    <s v="Lámpara LED"/>
    <n v="37.996588802372997"/>
  </r>
  <r>
    <s v="ORD-2560"/>
    <d v="2026-08-07T00:00:00"/>
    <s v="Bogota"/>
    <s v="CD Centro"/>
    <s v="Tienda Fisica"/>
    <s v="Calzado"/>
    <s v="Zapatos Formales"/>
    <n v="38.057545420837997"/>
  </r>
  <r>
    <s v="ORD-2561"/>
    <d v="2026-08-07T00:00:00"/>
    <s v="Cali"/>
    <s v="CD Sur"/>
    <s v="Online"/>
    <s v="Electro"/>
    <s v="Consola Videojuegos"/>
    <n v="38.118502039302903"/>
  </r>
  <r>
    <s v="ORD-2562"/>
    <d v="2026-08-08T00:00:00"/>
    <s v="Pasto"/>
    <s v="CD Norte (Pasto)"/>
    <s v="Online"/>
    <s v="Moda"/>
    <s v="Chaqueta Impermeable"/>
    <n v="38.179458657767903"/>
  </r>
  <r>
    <s v="ORD-2563"/>
    <d v="2026-08-08T00:00:00"/>
    <s v="Bogota"/>
    <s v="CD Centro"/>
    <s v="Online"/>
    <s v="Hogar"/>
    <s v="Silla Ergonomica"/>
    <n v="38.240415276232802"/>
  </r>
  <r>
    <s v="ORD-2564"/>
    <d v="2026-08-08T00:00:00"/>
    <s v="Cali"/>
    <s v="CD Sur"/>
    <s v="Tienda Fisica"/>
    <s v="Calzado"/>
    <s v="Tenis Deportivo"/>
    <n v="38.301371894697802"/>
  </r>
  <r>
    <s v="ORD-2565"/>
    <d v="2026-08-09T00:00:00"/>
    <s v="Pasto"/>
    <s v="CD Norte (Pasto)"/>
    <s v="Tienda Fisica"/>
    <s v="Electro"/>
    <s v="Monitor 45"/>
    <n v="38.362328513162801"/>
  </r>
  <r>
    <s v="ORD-2566"/>
    <d v="2026-08-09T00:00:00"/>
    <s v="Bogota"/>
    <s v="CD Centro"/>
    <s v="Online"/>
    <s v="Moda"/>
    <s v="Buzo Hooded"/>
    <n v="38.423285131627701"/>
  </r>
  <r>
    <s v="ORD-2567"/>
    <d v="2026-08-09T00:00:00"/>
    <s v="Cali"/>
    <s v="CD Sur"/>
    <s v="Online"/>
    <s v="Hogar"/>
    <s v="Cama King"/>
    <n v="38.4842417500927"/>
  </r>
  <r>
    <s v="ORD-2568"/>
    <d v="2026-08-10T00:00:00"/>
    <s v="Pasto"/>
    <s v="CD Norte (Pasto)"/>
    <s v="Online"/>
    <s v="Calzado"/>
    <s v="Botines Cuero"/>
    <n v="38.5451983685576"/>
  </r>
  <r>
    <s v="ORD-2569"/>
    <d v="2026-08-10T00:00:00"/>
    <s v="Bogota"/>
    <s v="CD Centro"/>
    <s v="Tienda Fisica"/>
    <s v="Electro"/>
    <s v="Teclado Mecanico"/>
    <n v="38.606154987022599"/>
  </r>
  <r>
    <s v="ORD-2570"/>
    <d v="2026-08-10T00:00:00"/>
    <s v="Cali"/>
    <s v="CD Sur"/>
    <s v="Online"/>
    <s v="Moda"/>
    <s v="Pantalón Cargo"/>
    <n v="38.667111605487598"/>
  </r>
  <r>
    <s v="ORD-2571"/>
    <d v="2026-08-01T00:00:00"/>
    <s v="Pasto"/>
    <s v="CD Norte (Pasto)"/>
    <s v="Online"/>
    <s v="Electro"/>
    <s v="Laptop Pro 34"/>
    <n v="38.728068223952498"/>
  </r>
  <r>
    <s v="ORD-2572"/>
    <d v="2026-08-01T00:00:00"/>
    <s v="Bogota"/>
    <s v="CD Centro"/>
    <s v="Tienda Fisica"/>
    <s v="Moda"/>
    <s v="Chaqueta Cuero"/>
    <n v="38.789024842417497"/>
  </r>
  <r>
    <s v="ORD-2573"/>
    <d v="2026-08-01T00:00:00"/>
    <s v="Cali"/>
    <s v="CD Sur"/>
    <s v="Online"/>
    <s v="Hogar"/>
    <s v="Cafetera Express"/>
    <n v="38.849981460882397"/>
  </r>
  <r>
    <s v="ORD-2574"/>
    <d v="2026-08-02T00:00:00"/>
    <s v="Pasto"/>
    <s v="CD Norte (Pasto)"/>
    <s v="Tienda Fisica"/>
    <s v="Calzado"/>
    <s v="Tenis Running"/>
    <n v="38.910938079347403"/>
  </r>
  <r>
    <s v="ORD-2575"/>
    <d v="2026-08-02T00:00:00"/>
    <s v="Bogota"/>
    <s v="CD Centro"/>
    <s v="Online"/>
    <s v="Electro"/>
    <s v="Smartphone X"/>
    <n v="38.971894697812402"/>
  </r>
  <r>
    <s v="ORD-2576"/>
    <d v="2026-08-02T00:00:00"/>
    <s v="Cali"/>
    <s v="CD Sur"/>
    <s v="Online"/>
    <s v="Moda"/>
    <s v="Jean Slim Fit"/>
    <n v="39.032851316277302"/>
  </r>
  <r>
    <s v="ORD-2577"/>
    <d v="2026-08-03T00:00:00"/>
    <s v="Pasto"/>
    <s v="CD Norte (Pasto)"/>
    <s v="Online"/>
    <s v="Hogar"/>
    <s v="Aspiradora Robot"/>
    <n v="39.093807934742301"/>
  </r>
  <r>
    <s v="ORD-2578"/>
    <d v="2026-08-03T00:00:00"/>
    <s v="Bogota"/>
    <s v="CD Centro"/>
    <s v="Tienda Fisica"/>
    <s v="Calzado"/>
    <s v="Botas Moto"/>
    <n v="39.154764553207301"/>
  </r>
  <r>
    <s v="ORD-2579"/>
    <d v="2026-08-03T00:00:00"/>
    <s v="Cali"/>
    <s v="CD Sur"/>
    <s v="Online"/>
    <s v="Electro"/>
    <s v="Smart TV 74"/>
    <n v="39.2157211716722"/>
  </r>
  <r>
    <s v="ORD-2580"/>
    <d v="2026-08-04T00:00:00"/>
    <s v="Pasto"/>
    <s v="CD Norte (Pasto)"/>
    <s v="Tienda Fisica"/>
    <s v="Moda"/>
    <s v="Camisa Lino"/>
    <n v="39.2766777901372"/>
  </r>
  <r>
    <s v="ORD-2581"/>
    <d v="2026-08-04T00:00:00"/>
    <s v="Bogota"/>
    <s v="CD Centro"/>
    <s v="Online"/>
    <s v="Hogar"/>
    <s v="Juego Comedor"/>
    <n v="39.337634408602099"/>
  </r>
  <r>
    <s v="ORD-2582"/>
    <d v="2026-08-04T00:00:00"/>
    <s v="Cali"/>
    <s v="CD Sur"/>
    <s v="Tienda Fisica"/>
    <s v="Calzado"/>
    <s v="Sandalias"/>
    <n v="39.398591027067098"/>
  </r>
  <r>
    <s v="ORD-2583"/>
    <d v="2026-08-05T00:00:00"/>
    <s v="Pasto"/>
    <s v="CD Norte (Pasto)"/>
    <s v="Online"/>
    <s v="Electro"/>
    <s v="Tablet 29"/>
    <n v="39.459547645532098"/>
  </r>
  <r>
    <s v="ORD-2584"/>
    <d v="2026-08-05T00:00:00"/>
    <s v="Bogota"/>
    <s v="CD Centro"/>
    <s v="Online"/>
    <s v="Moda"/>
    <s v="Saco Lana"/>
    <n v="39.520504263996997"/>
  </r>
  <r>
    <s v="ORD-2585"/>
    <d v="2026-08-05T00:00:00"/>
    <s v="Cali"/>
    <s v="CD Sur"/>
    <s v="Online"/>
    <s v="Hogar"/>
    <s v="Escritorio Pro"/>
    <n v="39.581460882461997"/>
  </r>
  <r>
    <s v="ORD-2586"/>
    <d v="2026-08-06T00:00:00"/>
    <s v="Pasto"/>
    <s v="CD Norte (Pasto)"/>
    <s v="Tienda Fisica"/>
    <s v="Calzado"/>
    <s v="Tenis Urbano"/>
    <n v="39.642417500926904"/>
  </r>
  <r>
    <s v="ORD-2587"/>
    <d v="2026-08-06T00:00:00"/>
    <s v="Bogota"/>
    <s v="CD Centro"/>
    <s v="Online"/>
    <s v="Electro"/>
    <s v="Audifonos BT"/>
    <n v="39.703374119391903"/>
  </r>
  <r>
    <s v="ORD-2588"/>
    <d v="2026-08-06T00:00:00"/>
    <s v="Cali"/>
    <s v="CD Sur"/>
    <s v="Tienda Fisica"/>
    <s v="Moda"/>
    <s v="Vestido Formal"/>
    <n v="39.764330737856902"/>
  </r>
  <r>
    <s v="ORD-2589"/>
    <d v="2026-08-07T00:00:00"/>
    <s v="Pasto"/>
    <s v="CD Norte (Pasto)"/>
    <s v="Online"/>
    <s v="Hogar"/>
    <s v="Lámpara LED"/>
    <n v="39.825287356321802"/>
  </r>
  <r>
    <s v="ORD-2590"/>
    <d v="2026-08-07T00:00:00"/>
    <s v="Bogota"/>
    <s v="CD Centro"/>
    <s v="Tienda Fisica"/>
    <s v="Calzado"/>
    <s v="Zapatos Formales"/>
    <n v="39.886243974786801"/>
  </r>
  <r>
    <s v="ORD-2591"/>
    <d v="2026-08-07T00:00:00"/>
    <s v="Cali"/>
    <s v="CD Sur"/>
    <s v="Online"/>
    <s v="Electro"/>
    <s v="Consola Videojuegos"/>
    <n v="39.9472005932518"/>
  </r>
  <r>
    <s v="ORD-2592"/>
    <d v="2026-08-08T00:00:00"/>
    <s v="Pasto"/>
    <s v="CD Norte (Pasto)"/>
    <s v="Online"/>
    <s v="Moda"/>
    <s v="Chaqueta Impermeable"/>
    <n v="40.0081572117167"/>
  </r>
  <r>
    <s v="ORD-2593"/>
    <d v="2026-08-08T00:00:00"/>
    <s v="Bogota"/>
    <s v="CD Centro"/>
    <s v="Online"/>
    <s v="Hogar"/>
    <s v="Silla Ergonomica"/>
    <n v="40.069113830181699"/>
  </r>
  <r>
    <s v="ORD-2594"/>
    <d v="2026-08-08T00:00:00"/>
    <s v="Cali"/>
    <s v="CD Sur"/>
    <s v="Tienda Fisica"/>
    <s v="Calzado"/>
    <s v="Tenis Deportivo"/>
    <n v="40.130070448646599"/>
  </r>
  <r>
    <s v="ORD-2595"/>
    <d v="2026-08-09T00:00:00"/>
    <s v="Pasto"/>
    <s v="CD Norte (Pasto)"/>
    <s v="Tienda Fisica"/>
    <s v="Electro"/>
    <s v="Monitor 46"/>
    <n v="40.191027067111598"/>
  </r>
  <r>
    <s v="ORD-2596"/>
    <d v="2026-08-09T00:00:00"/>
    <s v="Bogota"/>
    <s v="CD Centro"/>
    <s v="Online"/>
    <s v="Moda"/>
    <s v="Buzo Hooded"/>
    <n v="40.251983685576597"/>
  </r>
  <r>
    <s v="ORD-2597"/>
    <d v="2026-08-09T00:00:00"/>
    <s v="Cali"/>
    <s v="CD Sur"/>
    <s v="Online"/>
    <s v="Hogar"/>
    <s v="Cama King"/>
    <n v="40.312940304041497"/>
  </r>
  <r>
    <s v="ORD-2598"/>
    <d v="2026-08-10T00:00:00"/>
    <s v="Pasto"/>
    <s v="CD Norte (Pasto)"/>
    <s v="Online"/>
    <s v="Calzado"/>
    <s v="Botines Cuero"/>
    <n v="40.373896922506503"/>
  </r>
  <r>
    <s v="ORD-2599"/>
    <d v="2026-08-10T00:00:00"/>
    <s v="Bogota"/>
    <s v="CD Centro"/>
    <s v="Tienda Fisica"/>
    <s v="Electro"/>
    <s v="Teclado Mecanico"/>
    <n v="40.434853540971403"/>
  </r>
  <r>
    <s v="ORD-2600"/>
    <d v="2026-08-10T00:00:00"/>
    <s v="Cali"/>
    <s v="CD Sur"/>
    <s v="Online"/>
    <s v="Moda"/>
    <s v="Pantalón Cargo"/>
    <n v="40.495810159436402"/>
  </r>
  <r>
    <s v="ORD-2601"/>
    <d v="2026-08-01T00:00:00"/>
    <s v="Pasto"/>
    <s v="CD Norte (Pasto)"/>
    <s v="Online"/>
    <s v="Electro"/>
    <s v="Laptop Pro 35"/>
    <n v="40.556766777901402"/>
  </r>
  <r>
    <s v="ORD-2602"/>
    <d v="2026-08-01T00:00:00"/>
    <s v="Bogota"/>
    <s v="CD Centro"/>
    <s v="Tienda Fisica"/>
    <s v="Moda"/>
    <s v="Chaqueta Cuero"/>
    <n v="40.617723396366301"/>
  </r>
  <r>
    <s v="ORD-2603"/>
    <d v="2026-08-01T00:00:00"/>
    <s v="Cali"/>
    <s v="CD Sur"/>
    <s v="Online"/>
    <s v="Hogar"/>
    <s v="Cafetera Express"/>
    <n v="40.678680014831301"/>
  </r>
  <r>
    <s v="ORD-2604"/>
    <d v="2026-08-02T00:00:00"/>
    <s v="Pasto"/>
    <s v="CD Norte (Pasto)"/>
    <s v="Tienda Fisica"/>
    <s v="Calzado"/>
    <s v="Tenis Running"/>
    <n v="40.7396366332962"/>
  </r>
  <r>
    <s v="ORD-2605"/>
    <d v="2026-08-02T00:00:00"/>
    <s v="Bogota"/>
    <s v="CD Centro"/>
    <s v="Online"/>
    <s v="Electro"/>
    <s v="Smartphone X"/>
    <n v="40.8005932517612"/>
  </r>
  <r>
    <s v="ORD-2606"/>
    <d v="2026-08-02T00:00:00"/>
    <s v="Cali"/>
    <s v="CD Sur"/>
    <s v="Online"/>
    <s v="Moda"/>
    <s v="Jean Slim Fit"/>
    <n v="40.861549870226199"/>
  </r>
  <r>
    <s v="ORD-2607"/>
    <d v="2026-08-03T00:00:00"/>
    <s v="Pasto"/>
    <s v="CD Norte (Pasto)"/>
    <s v="Online"/>
    <s v="Hogar"/>
    <s v="Aspiradora Robot"/>
    <n v="40.922506488691099"/>
  </r>
  <r>
    <s v="ORD-2608"/>
    <d v="2026-08-03T00:00:00"/>
    <s v="Bogota"/>
    <s v="CD Centro"/>
    <s v="Tienda Fisica"/>
    <s v="Calzado"/>
    <s v="Botas Moto"/>
    <n v="40.983463107156098"/>
  </r>
  <r>
    <s v="ORD-2609"/>
    <d v="2026-08-03T00:00:00"/>
    <s v="Cali"/>
    <s v="CD Sur"/>
    <s v="Online"/>
    <s v="Electro"/>
    <s v="Smart TV 75"/>
    <n v="41.044419725621097"/>
  </r>
  <r>
    <s v="ORD-2610"/>
    <d v="2026-08-04T00:00:00"/>
    <s v="Pasto"/>
    <s v="CD Norte (Pasto)"/>
    <s v="Tienda Fisica"/>
    <s v="Moda"/>
    <s v="Camisa Lino"/>
    <n v="41.105376344085997"/>
  </r>
  <r>
    <s v="ORD-2611"/>
    <d v="2026-08-04T00:00:00"/>
    <s v="Bogota"/>
    <s v="CD Centro"/>
    <s v="Online"/>
    <s v="Hogar"/>
    <s v="Juego Comedor"/>
    <n v="41.166332962551003"/>
  </r>
  <r>
    <s v="ORD-2612"/>
    <d v="2026-08-04T00:00:00"/>
    <s v="Cali"/>
    <s v="CD Sur"/>
    <s v="Tienda Fisica"/>
    <s v="Calzado"/>
    <s v="Sandalias"/>
    <n v="41.227289581015903"/>
  </r>
  <r>
    <s v="ORD-2613"/>
    <d v="2026-08-05T00:00:00"/>
    <s v="Pasto"/>
    <s v="CD Norte (Pasto)"/>
    <s v="Online"/>
    <s v="Electro"/>
    <s v="Tablet 30"/>
    <n v="41.288246199480902"/>
  </r>
  <r>
    <s v="ORD-2614"/>
    <d v="2026-08-05T00:00:00"/>
    <s v="Bogota"/>
    <s v="CD Centro"/>
    <s v="Online"/>
    <s v="Moda"/>
    <s v="Saco Lana"/>
    <n v="41.349202817945901"/>
  </r>
  <r>
    <s v="ORD-2615"/>
    <d v="2026-08-05T00:00:00"/>
    <s v="Cali"/>
    <s v="CD Sur"/>
    <s v="Online"/>
    <s v="Hogar"/>
    <s v="Escritorio Pro"/>
    <n v="41.410159436410801"/>
  </r>
  <r>
    <s v="ORD-2616"/>
    <d v="2026-08-06T00:00:00"/>
    <s v="Pasto"/>
    <s v="CD Norte (Pasto)"/>
    <s v="Tienda Fisica"/>
    <s v="Calzado"/>
    <s v="Tenis Urbano"/>
    <n v="41.4711160548758"/>
  </r>
  <r>
    <s v="ORD-2617"/>
    <d v="2026-08-06T00:00:00"/>
    <s v="Bogota"/>
    <s v="CD Centro"/>
    <s v="Online"/>
    <s v="Electro"/>
    <s v="Audifonos BT"/>
    <n v="41.5320726733407"/>
  </r>
  <r>
    <s v="ORD-2618"/>
    <d v="2026-08-06T00:00:00"/>
    <s v="Cali"/>
    <s v="CD Sur"/>
    <s v="Tienda Fisica"/>
    <s v="Moda"/>
    <s v="Vestido Formal"/>
    <n v="41.593029291805699"/>
  </r>
  <r>
    <s v="ORD-2619"/>
    <d v="2026-08-07T00:00:00"/>
    <s v="Pasto"/>
    <s v="CD Norte (Pasto)"/>
    <s v="Online"/>
    <s v="Hogar"/>
    <s v="Lámpara LED"/>
    <n v="41.653985910270698"/>
  </r>
  <r>
    <s v="ORD-2620"/>
    <d v="2026-08-07T00:00:00"/>
    <s v="Bogota"/>
    <s v="CD Centro"/>
    <s v="Tienda Fisica"/>
    <s v="Calzado"/>
    <s v="Zapatos Formales"/>
    <n v="41.714942528735598"/>
  </r>
  <r>
    <s v="ORD-2621"/>
    <d v="2026-08-07T00:00:00"/>
    <s v="Cali"/>
    <s v="CD Sur"/>
    <s v="Online"/>
    <s v="Electro"/>
    <s v="Consola Videojuegos"/>
    <n v="41.775899147200597"/>
  </r>
  <r>
    <s v="ORD-2622"/>
    <d v="2026-08-08T00:00:00"/>
    <s v="Pasto"/>
    <s v="CD Norte (Pasto)"/>
    <s v="Online"/>
    <s v="Moda"/>
    <s v="Chaqueta Impermeable"/>
    <n v="41.836855765665497"/>
  </r>
  <r>
    <s v="ORD-2623"/>
    <d v="2026-08-08T00:00:00"/>
    <s v="Bogota"/>
    <s v="CD Centro"/>
    <s v="Online"/>
    <s v="Hogar"/>
    <s v="Silla Ergonomica"/>
    <n v="41.897812384130503"/>
  </r>
  <r>
    <s v="ORD-2624"/>
    <d v="2026-08-08T00:00:00"/>
    <s v="Cali"/>
    <s v="CD Sur"/>
    <s v="Tienda Fisica"/>
    <s v="Calzado"/>
    <s v="Tenis Deportivo"/>
    <n v="41.958769002595503"/>
  </r>
  <r>
    <s v="ORD-2625"/>
    <d v="2026-08-09T00:00:00"/>
    <s v="Pasto"/>
    <s v="CD Norte (Pasto)"/>
    <s v="Tienda Fisica"/>
    <s v="Electro"/>
    <s v="Monitor 47"/>
    <n v="42.019725621060402"/>
  </r>
  <r>
    <s v="ORD-2626"/>
    <d v="2026-08-09T00:00:00"/>
    <s v="Bogota"/>
    <s v="CD Centro"/>
    <s v="Online"/>
    <s v="Moda"/>
    <s v="Buzo Hooded"/>
    <n v="42.080682239525402"/>
  </r>
  <r>
    <s v="ORD-2627"/>
    <d v="2026-08-09T00:00:00"/>
    <s v="Cali"/>
    <s v="CD Sur"/>
    <s v="Online"/>
    <s v="Hogar"/>
    <s v="Cama King"/>
    <n v="42.141638857990301"/>
  </r>
  <r>
    <s v="ORD-2628"/>
    <d v="2026-08-10T00:00:00"/>
    <s v="Pasto"/>
    <s v="CD Norte (Pasto)"/>
    <s v="Online"/>
    <s v="Calzado"/>
    <s v="Botines Cuero"/>
    <n v="42.202595476455301"/>
  </r>
  <r>
    <s v="ORD-2629"/>
    <d v="2026-08-10T00:00:00"/>
    <s v="Bogota"/>
    <s v="CD Centro"/>
    <s v="Tienda Fisica"/>
    <s v="Electro"/>
    <s v="Teclado Mecanico"/>
    <n v="42.2635520949203"/>
  </r>
  <r>
    <s v="ORD-2630"/>
    <d v="2026-08-10T00:00:00"/>
    <s v="Cali"/>
    <s v="CD Sur"/>
    <s v="Online"/>
    <s v="Moda"/>
    <s v="Pantalón Cargo"/>
    <n v="42.3245087133852"/>
  </r>
  <r>
    <s v="ORD-2631"/>
    <d v="2026-08-01T00:00:00"/>
    <s v="Pasto"/>
    <s v="CD Norte (Pasto)"/>
    <s v="Online"/>
    <s v="Electro"/>
    <s v="Laptop Pro 36"/>
    <n v="42.385465331850199"/>
  </r>
  <r>
    <s v="ORD-2632"/>
    <d v="2026-08-01T00:00:00"/>
    <s v="Bogota"/>
    <s v="CD Centro"/>
    <s v="Tienda Fisica"/>
    <s v="Moda"/>
    <s v="Chaqueta Cuero"/>
    <n v="42.446421950315198"/>
  </r>
  <r>
    <s v="ORD-2633"/>
    <d v="2026-08-01T00:00:00"/>
    <s v="Cali"/>
    <s v="CD Sur"/>
    <s v="Online"/>
    <s v="Hogar"/>
    <s v="Cafetera Express"/>
    <n v="42.507378568780098"/>
  </r>
  <r>
    <s v="ORD-2634"/>
    <d v="2026-08-02T00:00:00"/>
    <s v="Pasto"/>
    <s v="CD Norte (Pasto)"/>
    <s v="Tienda Fisica"/>
    <s v="Calzado"/>
    <s v="Tenis Running"/>
    <n v="42.568335187245097"/>
  </r>
  <r>
    <s v="ORD-2635"/>
    <d v="2026-08-02T00:00:00"/>
    <s v="Bogota"/>
    <s v="CD Centro"/>
    <s v="Online"/>
    <s v="Electro"/>
    <s v="Smartphone X"/>
    <n v="42.629291805709997"/>
  </r>
  <r>
    <s v="ORD-2636"/>
    <d v="2026-08-02T00:00:00"/>
    <s v="Cali"/>
    <s v="CD Sur"/>
    <s v="Online"/>
    <s v="Moda"/>
    <s v="Jean Slim Fit"/>
    <n v="42.690248424175003"/>
  </r>
  <r>
    <s v="ORD-2637"/>
    <d v="2026-08-03T00:00:00"/>
    <s v="Pasto"/>
    <s v="CD Norte (Pasto)"/>
    <s v="Online"/>
    <s v="Hogar"/>
    <s v="Aspiradora Robot"/>
    <n v="42.751205042640002"/>
  </r>
  <r>
    <s v="ORD-2638"/>
    <d v="2026-08-03T00:00:00"/>
    <s v="Bogota"/>
    <s v="CD Centro"/>
    <s v="Tienda Fisica"/>
    <s v="Calzado"/>
    <s v="Botas Moto"/>
    <n v="42.812161661104902"/>
  </r>
  <r>
    <s v="ORD-2639"/>
    <d v="2026-08-03T00:00:00"/>
    <s v="Cali"/>
    <s v="CD Sur"/>
    <s v="Online"/>
    <s v="Electro"/>
    <s v="Smart TV 76"/>
    <n v="42.873118279569901"/>
  </r>
  <r>
    <s v="ORD-2640"/>
    <d v="2026-08-04T00:00:00"/>
    <s v="Pasto"/>
    <s v="CD Norte (Pasto)"/>
    <s v="Tienda Fisica"/>
    <s v="Moda"/>
    <s v="Camisa Lino"/>
    <n v="42.934074898034801"/>
  </r>
  <r>
    <s v="ORD-2641"/>
    <d v="2026-08-04T00:00:00"/>
    <s v="Bogota"/>
    <s v="CD Centro"/>
    <s v="Online"/>
    <s v="Hogar"/>
    <s v="Juego Comedor"/>
    <n v="42.9950315164998"/>
  </r>
  <r>
    <s v="ORD-2642"/>
    <d v="2026-08-04T00:00:00"/>
    <s v="Cali"/>
    <s v="CD Sur"/>
    <s v="Tienda Fisica"/>
    <s v="Calzado"/>
    <s v="Sandalias"/>
    <n v="43.055988134964799"/>
  </r>
  <r>
    <s v="ORD-2643"/>
    <d v="2026-08-05T00:00:00"/>
    <s v="Pasto"/>
    <s v="CD Norte (Pasto)"/>
    <s v="Online"/>
    <s v="Electro"/>
    <s v="Tablet 31"/>
    <n v="43.116944753429699"/>
  </r>
  <r>
    <s v="ORD-2644"/>
    <d v="2026-08-05T00:00:00"/>
    <s v="Bogota"/>
    <s v="CD Centro"/>
    <s v="Online"/>
    <s v="Moda"/>
    <s v="Saco Lana"/>
    <n v="43.177901371894698"/>
  </r>
  <r>
    <s v="ORD-2645"/>
    <d v="2026-08-05T00:00:00"/>
    <s v="Cali"/>
    <s v="CD Sur"/>
    <s v="Online"/>
    <s v="Hogar"/>
    <s v="Escritorio Pro"/>
    <n v="43.238857990359698"/>
  </r>
  <r>
    <s v="ORD-2646"/>
    <d v="2026-08-06T00:00:00"/>
    <s v="Pasto"/>
    <s v="CD Norte (Pasto)"/>
    <s v="Tienda Fisica"/>
    <s v="Calzado"/>
    <s v="Tenis Urbano"/>
    <n v="43.299814608824597"/>
  </r>
  <r>
    <s v="ORD-2647"/>
    <d v="2026-08-06T00:00:00"/>
    <s v="Bogota"/>
    <s v="CD Centro"/>
    <s v="Online"/>
    <s v="Electro"/>
    <s v="Audifonos BT"/>
    <n v="43.360771227289597"/>
  </r>
  <r>
    <s v="ORD-2648"/>
    <d v="2026-08-06T00:00:00"/>
    <s v="Cali"/>
    <s v="CD Sur"/>
    <s v="Tienda Fisica"/>
    <s v="Moda"/>
    <s v="Vestido Formal"/>
    <n v="43.421727845754504"/>
  </r>
  <r>
    <s v="ORD-2649"/>
    <d v="2026-08-07T00:00:00"/>
    <s v="Pasto"/>
    <s v="CD Norte (Pasto)"/>
    <s v="Online"/>
    <s v="Hogar"/>
    <s v="Lámpara LED"/>
    <n v="43.482684464219503"/>
  </r>
  <r>
    <s v="ORD-2650"/>
    <d v="2026-08-07T00:00:00"/>
    <s v="Bogota"/>
    <s v="CD Centro"/>
    <s v="Tienda Fisica"/>
    <s v="Calzado"/>
    <s v="Zapatos Formales"/>
    <n v="43.543641082684502"/>
  </r>
  <r>
    <s v="ORD-2651"/>
    <d v="2026-08-07T00:00:00"/>
    <s v="Cali"/>
    <s v="CD Sur"/>
    <s v="Online"/>
    <s v="Electro"/>
    <s v="Consola Videojuegos"/>
    <n v="43.604597701149402"/>
  </r>
  <r>
    <s v="ORD-2652"/>
    <d v="2026-08-08T00:00:00"/>
    <s v="Pasto"/>
    <s v="CD Norte (Pasto)"/>
    <s v="Online"/>
    <s v="Moda"/>
    <s v="Chaqueta Impermeable"/>
    <n v="43.665554319614401"/>
  </r>
  <r>
    <s v="ORD-2653"/>
    <d v="2026-08-08T00:00:00"/>
    <s v="Bogota"/>
    <s v="CD Centro"/>
    <s v="Online"/>
    <s v="Hogar"/>
    <s v="Silla Ergonomica"/>
    <n v="43.726510938079301"/>
  </r>
  <r>
    <s v="ORD-2654"/>
    <d v="2026-08-08T00:00:00"/>
    <s v="Cali"/>
    <s v="CD Sur"/>
    <s v="Tienda Fisica"/>
    <s v="Calzado"/>
    <s v="Tenis Deportivo"/>
    <n v="43.7874675565443"/>
  </r>
  <r>
    <s v="ORD-2655"/>
    <d v="2026-08-09T00:00:00"/>
    <s v="Pasto"/>
    <s v="CD Norte (Pasto)"/>
    <s v="Tienda Fisica"/>
    <s v="Electro"/>
    <s v="Monitor 48"/>
    <n v="43.848424175009299"/>
  </r>
  <r>
    <s v="ORD-2656"/>
    <d v="2026-08-09T00:00:00"/>
    <s v="Bogota"/>
    <s v="CD Centro"/>
    <s v="Online"/>
    <s v="Moda"/>
    <s v="Buzo Hooded"/>
    <n v="43.909380793474199"/>
  </r>
  <r>
    <s v="ORD-2657"/>
    <d v="2026-08-09T00:00:00"/>
    <s v="Cali"/>
    <s v="CD Sur"/>
    <s v="Online"/>
    <s v="Hogar"/>
    <s v="Cama King"/>
    <n v="43.970337411939198"/>
  </r>
  <r>
    <s v="ORD-2658"/>
    <d v="2026-08-10T00:00:00"/>
    <s v="Pasto"/>
    <s v="CD Norte (Pasto)"/>
    <s v="Online"/>
    <s v="Calzado"/>
    <s v="Botines Cuero"/>
    <n v="44.031294030404098"/>
  </r>
  <r>
    <s v="ORD-2659"/>
    <d v="2026-08-10T00:00:00"/>
    <s v="Bogota"/>
    <s v="CD Centro"/>
    <s v="Tienda Fisica"/>
    <s v="Electro"/>
    <s v="Teclado Mecanico"/>
    <n v="44.092250648869097"/>
  </r>
  <r>
    <s v="ORD-2660"/>
    <d v="2026-08-10T00:00:00"/>
    <s v="Cali"/>
    <s v="CD Sur"/>
    <s v="Online"/>
    <s v="Moda"/>
    <s v="Pantalón Cargo"/>
    <n v="44.153207267334103"/>
  </r>
  <r>
    <s v="ORD-2661"/>
    <d v="2026-08-01T00:00:00"/>
    <s v="Pasto"/>
    <s v="CD Norte (Pasto)"/>
    <s v="Online"/>
    <s v="Electro"/>
    <s v="Laptop Pro 37"/>
    <n v="44.214163885799003"/>
  </r>
  <r>
    <s v="ORD-2662"/>
    <d v="2026-08-01T00:00:00"/>
    <s v="Bogota"/>
    <s v="CD Centro"/>
    <s v="Tienda Fisica"/>
    <s v="Moda"/>
    <s v="Chaqueta Cuero"/>
    <n v="44.275120504264002"/>
  </r>
  <r>
    <s v="ORD-2663"/>
    <d v="2026-08-01T00:00:00"/>
    <s v="Cali"/>
    <s v="CD Sur"/>
    <s v="Online"/>
    <s v="Hogar"/>
    <s v="Cafetera Express"/>
    <n v="44.336077122728902"/>
  </r>
  <r>
    <s v="ORD-2664"/>
    <d v="2026-08-02T00:00:00"/>
    <s v="Pasto"/>
    <s v="CD Norte (Pasto)"/>
    <s v="Tienda Fisica"/>
    <s v="Calzado"/>
    <s v="Tenis Running"/>
    <n v="44.397033741193901"/>
  </r>
  <r>
    <s v="ORD-2665"/>
    <d v="2026-08-02T00:00:00"/>
    <s v="Bogota"/>
    <s v="CD Centro"/>
    <s v="Online"/>
    <s v="Electro"/>
    <s v="Smartphone X"/>
    <n v="44.457990359658901"/>
  </r>
  <r>
    <s v="ORD-2666"/>
    <d v="2026-08-02T00:00:00"/>
    <s v="Cali"/>
    <s v="CD Sur"/>
    <s v="Online"/>
    <s v="Moda"/>
    <s v="Jean Slim Fit"/>
    <n v="44.5189469781238"/>
  </r>
  <r>
    <s v="ORD-2667"/>
    <d v="2026-08-03T00:00:00"/>
    <s v="Pasto"/>
    <s v="CD Norte (Pasto)"/>
    <s v="Online"/>
    <s v="Hogar"/>
    <s v="Aspiradora Robot"/>
    <n v="44.5799035965888"/>
  </r>
  <r>
    <s v="ORD-2668"/>
    <d v="2026-08-03T00:00:00"/>
    <s v="Bogota"/>
    <s v="CD Centro"/>
    <s v="Tienda Fisica"/>
    <s v="Calzado"/>
    <s v="Botas Moto"/>
    <n v="44.640860215053799"/>
  </r>
  <r>
    <s v="ORD-2669"/>
    <d v="2026-08-03T00:00:00"/>
    <s v="Cali"/>
    <s v="CD Sur"/>
    <s v="Online"/>
    <s v="Electro"/>
    <s v="Smart TV 77"/>
    <n v="44.701816833518699"/>
  </r>
  <r>
    <s v="ORD-2670"/>
    <d v="2026-08-04T00:00:00"/>
    <s v="Pasto"/>
    <s v="CD Norte (Pasto)"/>
    <s v="Tienda Fisica"/>
    <s v="Moda"/>
    <s v="Camisa Lino"/>
    <n v="44.762773451983698"/>
  </r>
  <r>
    <s v="ORD-2671"/>
    <d v="2026-08-04T00:00:00"/>
    <s v="Bogota"/>
    <s v="CD Centro"/>
    <s v="Online"/>
    <s v="Hogar"/>
    <s v="Juego Comedor"/>
    <n v="44.823730070448597"/>
  </r>
  <r>
    <s v="ORD-2672"/>
    <d v="2026-08-04T00:00:00"/>
    <s v="Cali"/>
    <s v="CD Sur"/>
    <s v="Tienda Fisica"/>
    <s v="Calzado"/>
    <s v="Sandalias"/>
    <n v="44.884686688913597"/>
  </r>
  <r>
    <s v="ORD-2673"/>
    <d v="2026-08-05T00:00:00"/>
    <s v="Pasto"/>
    <s v="CD Norte (Pasto)"/>
    <s v="Online"/>
    <s v="Electro"/>
    <s v="Tablet 32"/>
    <n v="44.945643307378603"/>
  </r>
  <r>
    <s v="ORD-2674"/>
    <d v="2026-08-05T00:00:00"/>
    <s v="Bogota"/>
    <s v="CD Centro"/>
    <s v="Online"/>
    <s v="Moda"/>
    <s v="Saco Lana"/>
    <n v="45.006599925843503"/>
  </r>
  <r>
    <s v="ORD-2675"/>
    <d v="2026-08-05T00:00:00"/>
    <s v="Cali"/>
    <s v="CD Sur"/>
    <s v="Online"/>
    <s v="Hogar"/>
    <s v="Escritorio Pro"/>
    <n v="45.067556544308502"/>
  </r>
  <r>
    <s v="ORD-2676"/>
    <d v="2026-08-06T00:00:00"/>
    <s v="Pasto"/>
    <s v="CD Norte (Pasto)"/>
    <s v="Tienda Fisica"/>
    <s v="Calzado"/>
    <s v="Tenis Urbano"/>
    <n v="45.128513162773402"/>
  </r>
  <r>
    <s v="ORD-2677"/>
    <d v="2026-08-06T00:00:00"/>
    <s v="Bogota"/>
    <s v="CD Centro"/>
    <s v="Online"/>
    <s v="Electro"/>
    <s v="Audifonos BT"/>
    <n v="45.189469781238401"/>
  </r>
  <r>
    <s v="ORD-2678"/>
    <d v="2026-08-06T00:00:00"/>
    <s v="Cali"/>
    <s v="CD Sur"/>
    <s v="Tienda Fisica"/>
    <s v="Moda"/>
    <s v="Vestido Formal"/>
    <n v="45.2504263997034"/>
  </r>
  <r>
    <s v="ORD-2679"/>
    <d v="2026-08-07T00:00:00"/>
    <s v="Pasto"/>
    <s v="CD Norte (Pasto)"/>
    <s v="Online"/>
    <s v="Hogar"/>
    <s v="Lámpara LED"/>
    <n v="45.3113830181683"/>
  </r>
  <r>
    <s v="ORD-2680"/>
    <d v="2026-08-07T00:00:00"/>
    <s v="Bogota"/>
    <s v="CD Centro"/>
    <s v="Tienda Fisica"/>
    <s v="Calzado"/>
    <s v="Zapatos Formales"/>
    <n v="45.372339636633299"/>
  </r>
  <r>
    <s v="ORD-2681"/>
    <d v="2026-08-07T00:00:00"/>
    <s v="Cali"/>
    <s v="CD Sur"/>
    <s v="Online"/>
    <s v="Electro"/>
    <s v="Consola Videojuegos"/>
    <n v="45.433296255098298"/>
  </r>
  <r>
    <s v="ORD-2682"/>
    <d v="2026-08-08T00:00:00"/>
    <s v="Pasto"/>
    <s v="CD Norte (Pasto)"/>
    <s v="Online"/>
    <s v="Moda"/>
    <s v="Chaqueta Impermeable"/>
    <n v="45.494252873563198"/>
  </r>
  <r>
    <s v="ORD-2683"/>
    <d v="2026-08-08T00:00:00"/>
    <s v="Bogota"/>
    <s v="CD Centro"/>
    <s v="Online"/>
    <s v="Hogar"/>
    <s v="Silla Ergonomica"/>
    <n v="45.555209492028197"/>
  </r>
  <r>
    <s v="ORD-2684"/>
    <d v="2026-08-08T00:00:00"/>
    <s v="Cali"/>
    <s v="CD Sur"/>
    <s v="Tienda Fisica"/>
    <s v="Calzado"/>
    <s v="Tenis Deportivo"/>
    <n v="45.616166110493097"/>
  </r>
  <r>
    <s v="ORD-2685"/>
    <d v="2026-08-09T00:00:00"/>
    <s v="Pasto"/>
    <s v="CD Norte (Pasto)"/>
    <s v="Tienda Fisica"/>
    <s v="Electro"/>
    <s v="Monitor 49"/>
    <n v="45.677122728958103"/>
  </r>
  <r>
    <s v="ORD-2686"/>
    <d v="2026-08-09T00:00:00"/>
    <s v="Bogota"/>
    <s v="CD Centro"/>
    <s v="Online"/>
    <s v="Moda"/>
    <s v="Buzo Hooded"/>
    <n v="45.738079347423103"/>
  </r>
  <r>
    <s v="ORD-2687"/>
    <d v="2026-08-09T00:00:00"/>
    <s v="Cali"/>
    <s v="CD Sur"/>
    <s v="Online"/>
    <s v="Hogar"/>
    <s v="Cama King"/>
    <n v="45.799035965888002"/>
  </r>
  <r>
    <s v="ORD-2688"/>
    <d v="2026-08-10T00:00:00"/>
    <s v="Pasto"/>
    <s v="CD Norte (Pasto)"/>
    <s v="Online"/>
    <s v="Calzado"/>
    <s v="Botines Cuero"/>
    <n v="45.859992584353002"/>
  </r>
  <r>
    <s v="ORD-2689"/>
    <d v="2026-08-10T00:00:00"/>
    <s v="Bogota"/>
    <s v="CD Centro"/>
    <s v="Tienda Fisica"/>
    <s v="Electro"/>
    <s v="Teclado Mecanico"/>
    <n v="45.920949202817901"/>
  </r>
  <r>
    <s v="ORD-2690"/>
    <d v="2026-08-10T00:00:00"/>
    <s v="Cali"/>
    <s v="CD Sur"/>
    <s v="Online"/>
    <s v="Moda"/>
    <s v="Pantalón Cargo"/>
    <n v="45.981905821282901"/>
  </r>
  <r>
    <s v="ORD-2691"/>
    <d v="2026-08-01T00:00:00"/>
    <s v="Pasto"/>
    <s v="CD Norte (Pasto)"/>
    <s v="Online"/>
    <s v="Electro"/>
    <s v="Laptop Pro 38"/>
    <n v="46.0428624397479"/>
  </r>
  <r>
    <s v="ORD-2692"/>
    <d v="2026-08-01T00:00:00"/>
    <s v="Bogota"/>
    <s v="CD Centro"/>
    <s v="Tienda Fisica"/>
    <s v="Moda"/>
    <s v="Chaqueta Cuero"/>
    <n v="46.1038190582128"/>
  </r>
  <r>
    <s v="ORD-2693"/>
    <d v="2026-08-01T00:00:00"/>
    <s v="Cali"/>
    <s v="CD Sur"/>
    <s v="Online"/>
    <s v="Hogar"/>
    <s v="Cafetera Express"/>
    <n v="46.164775676677799"/>
  </r>
  <r>
    <s v="ORD-2694"/>
    <d v="2026-08-02T00:00:00"/>
    <s v="Pasto"/>
    <s v="CD Norte (Pasto)"/>
    <s v="Tienda Fisica"/>
    <s v="Calzado"/>
    <s v="Tenis Running"/>
    <n v="46.225732295142699"/>
  </r>
  <r>
    <s v="ORD-2695"/>
    <d v="2026-08-02T00:00:00"/>
    <s v="Bogota"/>
    <s v="CD Centro"/>
    <s v="Online"/>
    <s v="Electro"/>
    <s v="Smartphone X"/>
    <n v="46.286688913607698"/>
  </r>
  <r>
    <s v="ORD-2696"/>
    <d v="2026-08-02T00:00:00"/>
    <s v="Cali"/>
    <s v="CD Sur"/>
    <s v="Online"/>
    <s v="Moda"/>
    <s v="Jean Slim Fit"/>
    <n v="46.347645532072697"/>
  </r>
  <r>
    <s v="ORD-2697"/>
    <d v="2026-08-03T00:00:00"/>
    <s v="Pasto"/>
    <s v="CD Norte (Pasto)"/>
    <s v="Online"/>
    <s v="Hogar"/>
    <s v="Aspiradora Robot"/>
    <n v="46.408602150537597"/>
  </r>
  <r>
    <s v="ORD-2698"/>
    <d v="2026-08-03T00:00:00"/>
    <s v="Bogota"/>
    <s v="CD Centro"/>
    <s v="Tienda Fisica"/>
    <s v="Calzado"/>
    <s v="Botas Moto"/>
    <n v="46.469558769002603"/>
  </r>
  <r>
    <s v="ORD-2699"/>
    <d v="2026-08-03T00:00:00"/>
    <s v="Cali"/>
    <s v="CD Sur"/>
    <s v="Online"/>
    <s v="Electro"/>
    <s v="Smart TV 78"/>
    <n v="46.530515387467503"/>
  </r>
  <r>
    <s v="ORD-2700"/>
    <d v="2026-08-04T00:00:00"/>
    <s v="Pasto"/>
    <s v="CD Norte (Pasto)"/>
    <s v="Tienda Fisica"/>
    <s v="Moda"/>
    <s v="Camisa Lino"/>
    <n v="46.591472005932502"/>
  </r>
  <r>
    <s v="ORD-2701"/>
    <d v="2026-08-04T00:00:00"/>
    <s v="Bogota"/>
    <s v="CD Centro"/>
    <s v="Online"/>
    <s v="Hogar"/>
    <s v="Juego Comedor"/>
    <n v="46.652428624397501"/>
  </r>
  <r>
    <s v="ORD-2702"/>
    <d v="2026-08-04T00:00:00"/>
    <s v="Cali"/>
    <s v="CD Sur"/>
    <s v="Tienda Fisica"/>
    <s v="Calzado"/>
    <s v="Sandalias"/>
    <n v="46.713385242862401"/>
  </r>
  <r>
    <s v="ORD-2703"/>
    <d v="2026-08-05T00:00:00"/>
    <s v="Pasto"/>
    <s v="CD Norte (Pasto)"/>
    <s v="Online"/>
    <s v="Electro"/>
    <s v="Tablet 33"/>
    <n v="46.7743418613274"/>
  </r>
  <r>
    <s v="ORD-2704"/>
    <d v="2026-08-05T00:00:00"/>
    <s v="Bogota"/>
    <s v="CD Centro"/>
    <s v="Online"/>
    <s v="Moda"/>
    <s v="Saco Lana"/>
    <n v="46.835298479792399"/>
  </r>
  <r>
    <s v="ORD-2705"/>
    <d v="2026-08-05T00:00:00"/>
    <s v="Cali"/>
    <s v="CD Sur"/>
    <s v="Online"/>
    <s v="Hogar"/>
    <s v="Escritorio Pro"/>
    <n v="46.896255098257299"/>
  </r>
  <r>
    <s v="ORD-2706"/>
    <d v="2026-08-06T00:00:00"/>
    <s v="Pasto"/>
    <s v="CD Norte (Pasto)"/>
    <s v="Tienda Fisica"/>
    <s v="Calzado"/>
    <s v="Tenis Urbano"/>
    <n v="46.957211716722298"/>
  </r>
  <r>
    <s v="ORD-2707"/>
    <d v="2026-08-06T00:00:00"/>
    <s v="Bogota"/>
    <s v="CD Centro"/>
    <s v="Online"/>
    <s v="Electro"/>
    <s v="Audifonos BT"/>
    <n v="47.018168335187198"/>
  </r>
  <r>
    <s v="ORD-2708"/>
    <d v="2026-08-06T00:00:00"/>
    <s v="Cali"/>
    <s v="CD Sur"/>
    <s v="Tienda Fisica"/>
    <s v="Moda"/>
    <s v="Vestido Formal"/>
    <n v="47.079124953652197"/>
  </r>
  <r>
    <s v="ORD-2709"/>
    <d v="2026-08-07T00:00:00"/>
    <s v="Pasto"/>
    <s v="CD Norte (Pasto)"/>
    <s v="Online"/>
    <s v="Hogar"/>
    <s v="Lámpara LED"/>
    <n v="47.140081572117197"/>
  </r>
  <r>
    <s v="ORD-2710"/>
    <d v="2026-08-07T00:00:00"/>
    <s v="Bogota"/>
    <s v="CD Centro"/>
    <s v="Tienda Fisica"/>
    <s v="Calzado"/>
    <s v="Zapatos Formales"/>
    <n v="47.201038190582103"/>
  </r>
  <r>
    <s v="ORD-2711"/>
    <d v="2026-08-07T00:00:00"/>
    <s v="Cali"/>
    <s v="CD Sur"/>
    <s v="Online"/>
    <s v="Electro"/>
    <s v="Consola Videojuegos"/>
    <n v="47.261994809047103"/>
  </r>
  <r>
    <s v="ORD-2712"/>
    <d v="2026-08-08T00:00:00"/>
    <s v="Pasto"/>
    <s v="CD Norte (Pasto)"/>
    <s v="Online"/>
    <s v="Moda"/>
    <s v="Chaqueta Impermeable"/>
    <n v="47.322951427512002"/>
  </r>
  <r>
    <s v="ORD-2713"/>
    <d v="2026-08-08T00:00:00"/>
    <s v="Bogota"/>
    <s v="CD Centro"/>
    <s v="Online"/>
    <s v="Hogar"/>
    <s v="Silla Ergonomica"/>
    <n v="47.383908045977002"/>
  </r>
  <r>
    <s v="ORD-2714"/>
    <d v="2026-08-08T00:00:00"/>
    <s v="Cali"/>
    <s v="CD Sur"/>
    <s v="Tienda Fisica"/>
    <s v="Calzado"/>
    <s v="Tenis Deportivo"/>
    <n v="47.444864664442001"/>
  </r>
  <r>
    <s v="ORD-2715"/>
    <d v="2026-08-09T00:00:00"/>
    <s v="Pasto"/>
    <s v="CD Norte (Pasto)"/>
    <s v="Tienda Fisica"/>
    <s v="Electro"/>
    <s v="Monitor 50"/>
    <n v="47.505821282906901"/>
  </r>
  <r>
    <s v="ORD-2716"/>
    <d v="2026-08-09T00:00:00"/>
    <s v="Bogota"/>
    <s v="CD Centro"/>
    <s v="Online"/>
    <s v="Moda"/>
    <s v="Buzo Hooded"/>
    <n v="47.5667779013719"/>
  </r>
  <r>
    <s v="ORD-2717"/>
    <d v="2026-08-09T00:00:00"/>
    <s v="Cali"/>
    <s v="CD Sur"/>
    <s v="Online"/>
    <s v="Hogar"/>
    <s v="Cama King"/>
    <n v="47.6277345198368"/>
  </r>
  <r>
    <s v="ORD-2718"/>
    <d v="2026-08-10T00:00:00"/>
    <s v="Pasto"/>
    <s v="CD Norte (Pasto)"/>
    <s v="Online"/>
    <s v="Calzado"/>
    <s v="Botines Cuero"/>
    <n v="47.688691138301799"/>
  </r>
  <r>
    <s v="ORD-2719"/>
    <d v="2026-08-10T00:00:00"/>
    <s v="Bogota"/>
    <s v="CD Centro"/>
    <s v="Tienda Fisica"/>
    <s v="Electro"/>
    <s v="Teclado Mecanico"/>
    <n v="47.749647756766798"/>
  </r>
  <r>
    <s v="ORD-2720"/>
    <d v="2026-08-10T00:00:00"/>
    <s v="Cali"/>
    <s v="CD Sur"/>
    <s v="Online"/>
    <s v="Moda"/>
    <s v="Pantalón Cargo"/>
    <n v="47.810604375231698"/>
  </r>
  <r>
    <s v="ORD-2721"/>
    <d v="2026-08-01T00:00:00"/>
    <s v="Pasto"/>
    <s v="CD Norte (Pasto)"/>
    <s v="Online"/>
    <s v="Electro"/>
    <s v="Laptop Pro 39"/>
    <n v="47.871560993696697"/>
  </r>
  <r>
    <s v="ORD-2722"/>
    <d v="2026-08-01T00:00:00"/>
    <s v="Bogota"/>
    <s v="CD Centro"/>
    <s v="Tienda Fisica"/>
    <s v="Moda"/>
    <s v="Chaqueta Cuero"/>
    <n v="47.932517612161703"/>
  </r>
  <r>
    <s v="ORD-2723"/>
    <d v="2026-08-01T00:00:00"/>
    <s v="Cali"/>
    <s v="CD Sur"/>
    <s v="Online"/>
    <s v="Hogar"/>
    <s v="Cafetera Express"/>
    <n v="47.993474230626603"/>
  </r>
  <r>
    <s v="ORD-2724"/>
    <d v="2026-08-02T00:00:00"/>
    <s v="Pasto"/>
    <s v="CD Norte (Pasto)"/>
    <s v="Tienda Fisica"/>
    <s v="Calzado"/>
    <s v="Tenis Running"/>
    <n v="48.054430849091602"/>
  </r>
  <r>
    <s v="ORD-2725"/>
    <d v="2026-08-02T00:00:00"/>
    <s v="Bogota"/>
    <s v="CD Centro"/>
    <s v="Online"/>
    <s v="Electro"/>
    <s v="Smartphone X"/>
    <n v="48.115387467556502"/>
  </r>
  <r>
    <s v="ORD-2726"/>
    <d v="2026-08-02T00:00:00"/>
    <s v="Cali"/>
    <s v="CD Sur"/>
    <s v="Online"/>
    <s v="Moda"/>
    <s v="Jean Slim Fit"/>
    <n v="48.176344086021501"/>
  </r>
  <r>
    <s v="ORD-2727"/>
    <d v="2026-08-03T00:00:00"/>
    <s v="Pasto"/>
    <s v="CD Norte (Pasto)"/>
    <s v="Online"/>
    <s v="Hogar"/>
    <s v="Aspiradora Robot"/>
    <n v="48.237300704486501"/>
  </r>
  <r>
    <s v="ORD-2728"/>
    <d v="2026-08-03T00:00:00"/>
    <s v="Bogota"/>
    <s v="CD Centro"/>
    <s v="Tienda Fisica"/>
    <s v="Calzado"/>
    <s v="Botas Moto"/>
    <n v="48.2982573229514"/>
  </r>
  <r>
    <s v="ORD-2729"/>
    <d v="2026-08-03T00:00:00"/>
    <s v="Cali"/>
    <s v="CD Sur"/>
    <s v="Online"/>
    <s v="Electro"/>
    <s v="Smart TV 79"/>
    <n v="48.3592139414164"/>
  </r>
  <r>
    <s v="ORD-2730"/>
    <d v="2026-08-04T00:00:00"/>
    <s v="Pasto"/>
    <s v="CD Norte (Pasto)"/>
    <s v="Tienda Fisica"/>
    <s v="Moda"/>
    <s v="Camisa Lino"/>
    <n v="48.420170559881299"/>
  </r>
  <r>
    <s v="ORD-2731"/>
    <d v="2026-08-04T00:00:00"/>
    <s v="Bogota"/>
    <s v="CD Centro"/>
    <s v="Online"/>
    <s v="Hogar"/>
    <s v="Juego Comedor"/>
    <n v="48.481127178346298"/>
  </r>
  <r>
    <s v="ORD-2732"/>
    <d v="2026-08-04T00:00:00"/>
    <s v="Cali"/>
    <s v="CD Sur"/>
    <s v="Tienda Fisica"/>
    <s v="Calzado"/>
    <s v="Sandalias"/>
    <n v="48.542083796811298"/>
  </r>
  <r>
    <s v="ORD-2733"/>
    <d v="2026-08-05T00:00:00"/>
    <s v="Pasto"/>
    <s v="CD Norte (Pasto)"/>
    <s v="Online"/>
    <s v="Electro"/>
    <s v="Tablet 34"/>
    <n v="48.603040415276197"/>
  </r>
  <r>
    <s v="ORD-2734"/>
    <d v="2026-08-05T00:00:00"/>
    <s v="Bogota"/>
    <s v="CD Centro"/>
    <s v="Online"/>
    <s v="Moda"/>
    <s v="Saco Lana"/>
    <n v="48.663997033741197"/>
  </r>
  <r>
    <s v="ORD-2735"/>
    <d v="2026-08-05T00:00:00"/>
    <s v="Cali"/>
    <s v="CD Sur"/>
    <s v="Online"/>
    <s v="Hogar"/>
    <s v="Escritorio Pro"/>
    <n v="48.724953652206104"/>
  </r>
  <r>
    <s v="ORD-2736"/>
    <d v="2026-08-06T00:00:00"/>
    <s v="Pasto"/>
    <s v="CD Norte (Pasto)"/>
    <s v="Tienda Fisica"/>
    <s v="Calzado"/>
    <s v="Tenis Urbano"/>
    <n v="48.785910270671103"/>
  </r>
  <r>
    <s v="ORD-2737"/>
    <d v="2026-08-06T00:00:00"/>
    <s v="Bogota"/>
    <s v="CD Centro"/>
    <s v="Online"/>
    <s v="Electro"/>
    <s v="Audifonos BT"/>
    <n v="48.846866889136102"/>
  </r>
  <r>
    <s v="ORD-2738"/>
    <d v="2026-08-06T00:00:00"/>
    <s v="Cali"/>
    <s v="CD Sur"/>
    <s v="Tienda Fisica"/>
    <s v="Moda"/>
    <s v="Vestido Formal"/>
    <n v="48.907823507601002"/>
  </r>
  <r>
    <s v="ORD-2739"/>
    <d v="2026-08-07T00:00:00"/>
    <s v="Pasto"/>
    <s v="CD Norte (Pasto)"/>
    <s v="Online"/>
    <s v="Hogar"/>
    <s v="Lámpara LED"/>
    <n v="48.968780126066001"/>
  </r>
  <r>
    <s v="ORD-2740"/>
    <d v="2026-08-07T00:00:00"/>
    <s v="Bogota"/>
    <s v="CD Centro"/>
    <s v="Tienda Fisica"/>
    <s v="Calzado"/>
    <s v="Zapatos Formales"/>
    <n v="49.029736744531"/>
  </r>
  <r>
    <s v="ORD-2741"/>
    <d v="2026-08-07T00:00:00"/>
    <s v="Cali"/>
    <s v="CD Sur"/>
    <s v="Online"/>
    <s v="Electro"/>
    <s v="Consola Videojuegos"/>
    <n v="49.0906933629959"/>
  </r>
  <r>
    <s v="ORD-2742"/>
    <d v="2026-08-08T00:00:00"/>
    <s v="Pasto"/>
    <s v="CD Norte (Pasto)"/>
    <s v="Online"/>
    <s v="Moda"/>
    <s v="Chaqueta Impermeable"/>
    <n v="49.151649981460899"/>
  </r>
  <r>
    <s v="ORD-2743"/>
    <d v="2026-08-08T00:00:00"/>
    <s v="Bogota"/>
    <s v="CD Centro"/>
    <s v="Online"/>
    <s v="Hogar"/>
    <s v="Silla Ergonomica"/>
    <n v="49.212606599925799"/>
  </r>
  <r>
    <s v="ORD-2744"/>
    <d v="2026-08-08T00:00:00"/>
    <s v="Cali"/>
    <s v="CD Sur"/>
    <s v="Tienda Fisica"/>
    <s v="Calzado"/>
    <s v="Tenis Deportivo"/>
    <n v="49.273563218390798"/>
  </r>
  <r>
    <s v="ORD-2745"/>
    <d v="2026-08-09T00:00:00"/>
    <s v="Pasto"/>
    <s v="CD Norte (Pasto)"/>
    <s v="Tienda Fisica"/>
    <s v="Electro"/>
    <s v="Monitor 51"/>
    <n v="49.334519836855797"/>
  </r>
  <r>
    <s v="ORD-2746"/>
    <d v="2026-08-09T00:00:00"/>
    <s v="Bogota"/>
    <s v="CD Centro"/>
    <s v="Online"/>
    <s v="Moda"/>
    <s v="Buzo Hooded"/>
    <n v="49.395476455320697"/>
  </r>
  <r>
    <s v="ORD-2747"/>
    <d v="2026-08-09T00:00:00"/>
    <s v="Cali"/>
    <s v="CD Sur"/>
    <s v="Online"/>
    <s v="Hogar"/>
    <s v="Cama King"/>
    <n v="49.456433073785703"/>
  </r>
  <r>
    <s v="ORD-2748"/>
    <d v="2026-08-10T00:00:00"/>
    <s v="Pasto"/>
    <s v="CD Norte (Pasto)"/>
    <s v="Online"/>
    <s v="Calzado"/>
    <s v="Botines Cuero"/>
    <n v="49.517389692250603"/>
  </r>
  <r>
    <s v="ORD-2749"/>
    <d v="2026-08-10T00:00:00"/>
    <s v="Bogota"/>
    <s v="CD Centro"/>
    <s v="Tienda Fisica"/>
    <s v="Electro"/>
    <s v="Teclado Mecanico"/>
    <n v="49.578346310715602"/>
  </r>
  <r>
    <s v="ORD-2750"/>
    <d v="2026-08-10T00:00:00"/>
    <s v="Cali"/>
    <s v="CD Sur"/>
    <s v="Online"/>
    <s v="Moda"/>
    <s v="Pantalón Cargo"/>
    <n v="49.639302929180602"/>
  </r>
  <r>
    <s v="ORD-2751"/>
    <d v="2026-08-01T00:00:00"/>
    <s v="Pasto"/>
    <s v="CD Norte (Pasto)"/>
    <s v="Online"/>
    <s v="Electro"/>
    <s v="Laptop Pro 40"/>
    <n v="49.700259547645501"/>
  </r>
  <r>
    <s v="ORD-2752"/>
    <d v="2026-08-01T00:00:00"/>
    <s v="Bogota"/>
    <s v="CD Centro"/>
    <s v="Tienda Fisica"/>
    <s v="Moda"/>
    <s v="Chaqueta Cuero"/>
    <n v="49.761216166110501"/>
  </r>
  <r>
    <s v="ORD-2753"/>
    <d v="2026-08-01T00:00:00"/>
    <s v="Cali"/>
    <s v="CD Sur"/>
    <s v="Online"/>
    <s v="Hogar"/>
    <s v="Cafetera Express"/>
    <n v="49.8221727845754"/>
  </r>
  <r>
    <s v="ORD-2754"/>
    <d v="2026-08-02T00:00:00"/>
    <s v="Pasto"/>
    <s v="CD Norte (Pasto)"/>
    <s v="Tienda Fisica"/>
    <s v="Calzado"/>
    <s v="Tenis Running"/>
    <n v="49.8831294030404"/>
  </r>
  <r>
    <s v="ORD-2755"/>
    <d v="2026-08-02T00:00:00"/>
    <s v="Bogota"/>
    <s v="CD Centro"/>
    <s v="Online"/>
    <s v="Electro"/>
    <s v="Smartphone X"/>
    <n v="49.944086021505399"/>
  </r>
  <r>
    <s v="ORD-2756"/>
    <d v="2026-08-02T00:00:00"/>
    <s v="Cali"/>
    <s v="CD Sur"/>
    <s v="Online"/>
    <s v="Moda"/>
    <s v="Jean Slim Fit"/>
    <n v="50.005042639970299"/>
  </r>
  <r>
    <s v="ORD-2757"/>
    <d v="2026-08-03T00:00:00"/>
    <s v="Pasto"/>
    <s v="CD Norte (Pasto)"/>
    <s v="Online"/>
    <s v="Hogar"/>
    <s v="Aspiradora Robot"/>
    <n v="50.065999258435298"/>
  </r>
  <r>
    <s v="ORD-2758"/>
    <d v="2026-08-03T00:00:00"/>
    <s v="Bogota"/>
    <s v="CD Centro"/>
    <s v="Tienda Fisica"/>
    <s v="Calzado"/>
    <s v="Botas Moto"/>
    <n v="50.126955876900297"/>
  </r>
  <r>
    <s v="ORD-2759"/>
    <d v="2026-08-03T00:00:00"/>
    <s v="Cali"/>
    <s v="CD Sur"/>
    <s v="Online"/>
    <s v="Electro"/>
    <s v="Smart TV 80"/>
    <n v="50.187912495365197"/>
  </r>
  <r>
    <s v="ORD-2760"/>
    <d v="2026-08-04T00:00:00"/>
    <s v="Pasto"/>
    <s v="CD Norte (Pasto)"/>
    <s v="Tienda Fisica"/>
    <s v="Moda"/>
    <s v="Camisa Lino"/>
    <n v="50.248869113830203"/>
  </r>
  <r>
    <s v="ORD-2761"/>
    <d v="2026-08-04T00:00:00"/>
    <s v="Bogota"/>
    <s v="CD Centro"/>
    <s v="Online"/>
    <s v="Hogar"/>
    <s v="Juego Comedor"/>
    <n v="50.309825732295103"/>
  </r>
  <r>
    <s v="ORD-2762"/>
    <d v="2026-08-04T00:00:00"/>
    <s v="Cali"/>
    <s v="CD Sur"/>
    <s v="Tienda Fisica"/>
    <s v="Calzado"/>
    <s v="Sandalias"/>
    <n v="50.370782350760102"/>
  </r>
  <r>
    <s v="ORD-2763"/>
    <d v="2026-08-05T00:00:00"/>
    <s v="Pasto"/>
    <s v="CD Norte (Pasto)"/>
    <s v="Online"/>
    <s v="Electro"/>
    <s v="Tablet 35"/>
    <n v="50.431738969225101"/>
  </r>
  <r>
    <s v="ORD-2764"/>
    <d v="2026-08-05T00:00:00"/>
    <s v="Bogota"/>
    <s v="CD Centro"/>
    <s v="Online"/>
    <s v="Moda"/>
    <s v="Saco Lana"/>
    <n v="50.492695587690001"/>
  </r>
  <r>
    <s v="ORD-2765"/>
    <d v="2026-08-05T00:00:00"/>
    <s v="Cali"/>
    <s v="CD Sur"/>
    <s v="Online"/>
    <s v="Hogar"/>
    <s v="Escritorio Pro"/>
    <n v="50.553652206155"/>
  </r>
  <r>
    <s v="ORD-2766"/>
    <d v="2026-08-06T00:00:00"/>
    <s v="Pasto"/>
    <s v="CD Norte (Pasto)"/>
    <s v="Tienda Fisica"/>
    <s v="Calzado"/>
    <s v="Tenis Urbano"/>
    <n v="50.6146088246199"/>
  </r>
  <r>
    <s v="ORD-2767"/>
    <d v="2026-08-06T00:00:00"/>
    <s v="Bogota"/>
    <s v="CD Centro"/>
    <s v="Online"/>
    <s v="Electro"/>
    <s v="Audifonos BT"/>
    <n v="50.675565443084899"/>
  </r>
  <r>
    <s v="ORD-2768"/>
    <d v="2026-08-06T00:00:00"/>
    <s v="Cali"/>
    <s v="CD Sur"/>
    <s v="Tienda Fisica"/>
    <s v="Moda"/>
    <s v="Vestido Formal"/>
    <n v="50.736522061549898"/>
  </r>
  <r>
    <s v="ORD-2769"/>
    <d v="2026-08-07T00:00:00"/>
    <s v="Pasto"/>
    <s v="CD Norte (Pasto)"/>
    <s v="Online"/>
    <s v="Hogar"/>
    <s v="Lámpara LED"/>
    <n v="50.797478680014798"/>
  </r>
  <r>
    <s v="ORD-2770"/>
    <d v="2026-08-07T00:00:00"/>
    <s v="Bogota"/>
    <s v="CD Centro"/>
    <s v="Tienda Fisica"/>
    <s v="Calzado"/>
    <s v="Zapatos Formales"/>
    <n v="50.858435298479797"/>
  </r>
  <r>
    <s v="ORD-2771"/>
    <d v="2026-08-07T00:00:00"/>
    <s v="Cali"/>
    <s v="CD Sur"/>
    <s v="Online"/>
    <s v="Electro"/>
    <s v="Consola Videojuegos"/>
    <n v="50.919391916944697"/>
  </r>
  <r>
    <s v="ORD-2772"/>
    <d v="2026-08-08T00:00:00"/>
    <s v="Pasto"/>
    <s v="CD Norte (Pasto)"/>
    <s v="Online"/>
    <s v="Moda"/>
    <s v="Chaqueta Impermeable"/>
    <n v="50.980348535409703"/>
  </r>
  <r>
    <s v="ORD-2773"/>
    <d v="2026-08-08T00:00:00"/>
    <s v="Bogota"/>
    <s v="CD Centro"/>
    <s v="Online"/>
    <s v="Hogar"/>
    <s v="Silla Ergonomica"/>
    <n v="51.041305153874703"/>
  </r>
  <r>
    <s v="ORD-2774"/>
    <d v="2026-08-08T00:00:00"/>
    <s v="Cali"/>
    <s v="CD Sur"/>
    <s v="Tienda Fisica"/>
    <s v="Calzado"/>
    <s v="Tenis Deportivo"/>
    <n v="51.102261772339602"/>
  </r>
  <r>
    <s v="ORD-2775"/>
    <d v="2026-08-09T00:00:00"/>
    <s v="Pasto"/>
    <s v="CD Norte (Pasto)"/>
    <s v="Tienda Fisica"/>
    <s v="Electro"/>
    <s v="Monitor 52"/>
    <n v="51.163218390804602"/>
  </r>
  <r>
    <s v="ORD-2776"/>
    <d v="2026-08-09T00:00:00"/>
    <s v="Bogota"/>
    <s v="CD Centro"/>
    <s v="Online"/>
    <s v="Moda"/>
    <s v="Buzo Hooded"/>
    <n v="51.224175009269601"/>
  </r>
  <r>
    <s v="ORD-2777"/>
    <d v="2026-08-09T00:00:00"/>
    <s v="Cali"/>
    <s v="CD Sur"/>
    <s v="Online"/>
    <s v="Hogar"/>
    <s v="Cama King"/>
    <n v="51.285131627734501"/>
  </r>
  <r>
    <s v="ORD-2778"/>
    <d v="2026-08-10T00:00:00"/>
    <s v="Pasto"/>
    <s v="CD Norte (Pasto)"/>
    <s v="Online"/>
    <s v="Calzado"/>
    <s v="Botines Cuero"/>
    <n v="51.3460882461995"/>
  </r>
  <r>
    <s v="ORD-2779"/>
    <d v="2026-08-10T00:00:00"/>
    <s v="Bogota"/>
    <s v="CD Centro"/>
    <s v="Tienda Fisica"/>
    <s v="Electro"/>
    <s v="Teclado Mecanico"/>
    <n v="51.4070448646644"/>
  </r>
  <r>
    <s v="ORD-2780"/>
    <d v="2026-08-10T00:00:00"/>
    <s v="Cali"/>
    <s v="CD Sur"/>
    <s v="Online"/>
    <s v="Moda"/>
    <s v="Pantalón Cargo"/>
    <n v="51.468001483129399"/>
  </r>
  <r>
    <s v="ORD-2781"/>
    <d v="2026-08-01T00:00:00"/>
    <s v="Pasto"/>
    <s v="CD Norte (Pasto)"/>
    <s v="Online"/>
    <s v="Electro"/>
    <s v="Laptop Pro 41"/>
    <n v="51.528958101594398"/>
  </r>
  <r>
    <s v="ORD-2782"/>
    <d v="2026-08-01T00:00:00"/>
    <s v="Bogota"/>
    <s v="CD Centro"/>
    <s v="Tienda Fisica"/>
    <s v="Moda"/>
    <s v="Chaqueta Cuero"/>
    <n v="51.589914720059298"/>
  </r>
  <r>
    <s v="ORD-2783"/>
    <d v="2026-08-01T00:00:00"/>
    <s v="Cali"/>
    <s v="CD Sur"/>
    <s v="Online"/>
    <s v="Hogar"/>
    <s v="Cafetera Express"/>
    <n v="51.650871338524297"/>
  </r>
  <r>
    <s v="ORD-2784"/>
    <d v="2026-08-02T00:00:00"/>
    <s v="Pasto"/>
    <s v="CD Norte (Pasto)"/>
    <s v="Tienda Fisica"/>
    <s v="Calzado"/>
    <s v="Tenis Running"/>
    <n v="51.711827956989197"/>
  </r>
  <r>
    <s v="ORD-2785"/>
    <d v="2026-08-02T00:00:00"/>
    <s v="Bogota"/>
    <s v="CD Centro"/>
    <s v="Online"/>
    <s v="Electro"/>
    <s v="Smartphone X"/>
    <n v="51.772784575454203"/>
  </r>
  <r>
    <s v="ORD-2786"/>
    <d v="2026-08-02T00:00:00"/>
    <s v="Cali"/>
    <s v="CD Sur"/>
    <s v="Online"/>
    <s v="Moda"/>
    <s v="Jean Slim Fit"/>
    <n v="51.833741193919202"/>
  </r>
  <r>
    <s v="ORD-2787"/>
    <d v="2026-08-03T00:00:00"/>
    <s v="Pasto"/>
    <s v="CD Norte (Pasto)"/>
    <s v="Online"/>
    <s v="Hogar"/>
    <s v="Aspiradora Robot"/>
    <n v="51.894697812384102"/>
  </r>
  <r>
    <s v="ORD-2788"/>
    <d v="2026-08-03T00:00:00"/>
    <s v="Bogota"/>
    <s v="CD Centro"/>
    <s v="Tienda Fisica"/>
    <s v="Calzado"/>
    <s v="Botas Moto"/>
    <n v="51.955654430849101"/>
  </r>
  <r>
    <s v="ORD-2789"/>
    <d v="2026-08-03T00:00:00"/>
    <s v="Cali"/>
    <s v="CD Sur"/>
    <s v="Online"/>
    <s v="Electro"/>
    <s v="Smart TV 81"/>
    <n v="52.016611049314001"/>
  </r>
  <r>
    <s v="ORD-2790"/>
    <d v="2026-08-04T00:00:00"/>
    <s v="Pasto"/>
    <s v="CD Norte (Pasto)"/>
    <s v="Tienda Fisica"/>
    <s v="Moda"/>
    <s v="Camisa Lino"/>
    <n v="52.077567667779"/>
  </r>
  <r>
    <s v="ORD-2791"/>
    <d v="2026-08-04T00:00:00"/>
    <s v="Bogota"/>
    <s v="CD Centro"/>
    <s v="Online"/>
    <s v="Hogar"/>
    <s v="Juego Comedor"/>
    <n v="52.138524286243999"/>
  </r>
  <r>
    <s v="ORD-2792"/>
    <d v="2026-08-04T00:00:00"/>
    <s v="Cali"/>
    <s v="CD Sur"/>
    <s v="Tienda Fisica"/>
    <s v="Calzado"/>
    <s v="Sandalias"/>
    <n v="52.199480904708899"/>
  </r>
  <r>
    <s v="ORD-2793"/>
    <d v="2026-08-05T00:00:00"/>
    <s v="Pasto"/>
    <s v="CD Norte (Pasto)"/>
    <s v="Online"/>
    <s v="Electro"/>
    <s v="Tablet 36"/>
    <n v="52.260437523173898"/>
  </r>
  <r>
    <s v="ORD-2794"/>
    <d v="2026-08-05T00:00:00"/>
    <s v="Bogota"/>
    <s v="CD Centro"/>
    <s v="Online"/>
    <s v="Moda"/>
    <s v="Saco Lana"/>
    <n v="52.321394141638898"/>
  </r>
  <r>
    <s v="ORD-2795"/>
    <d v="2026-08-05T00:00:00"/>
    <s v="Cali"/>
    <s v="CD Sur"/>
    <s v="Online"/>
    <s v="Hogar"/>
    <s v="Escritorio Pro"/>
    <n v="52.382350760103797"/>
  </r>
  <r>
    <s v="ORD-2796"/>
    <d v="2026-08-06T00:00:00"/>
    <s v="Pasto"/>
    <s v="CD Norte (Pasto)"/>
    <s v="Tienda Fisica"/>
    <s v="Calzado"/>
    <s v="Tenis Urbano"/>
    <n v="52.443307378568797"/>
  </r>
  <r>
    <s v="ORD-2797"/>
    <d v="2026-08-06T00:00:00"/>
    <s v="Bogota"/>
    <s v="CD Centro"/>
    <s v="Online"/>
    <s v="Electro"/>
    <s v="Audifonos BT"/>
    <n v="52.504263997033704"/>
  </r>
  <r>
    <s v="ORD-2798"/>
    <d v="2026-08-06T00:00:00"/>
    <s v="Cali"/>
    <s v="CD Sur"/>
    <s v="Tienda Fisica"/>
    <s v="Moda"/>
    <s v="Vestido Formal"/>
    <n v="52.565220615498703"/>
  </r>
  <r>
    <s v="ORD-2799"/>
    <d v="2026-08-07T00:00:00"/>
    <s v="Pasto"/>
    <s v="CD Norte (Pasto)"/>
    <s v="Online"/>
    <s v="Hogar"/>
    <s v="Lámpara LED"/>
    <n v="52.626177233963702"/>
  </r>
  <r>
    <s v="ORD-2800"/>
    <d v="2026-08-07T00:00:00"/>
    <s v="Bogota"/>
    <s v="CD Centro"/>
    <s v="Tienda Fisica"/>
    <s v="Calzado"/>
    <s v="Zapatos Formales"/>
    <n v="52.687133852428602"/>
  </r>
  <r>
    <s v="ORD-2801"/>
    <d v="2026-08-07T00:00:00"/>
    <s v="Cali"/>
    <s v="CD Sur"/>
    <s v="Online"/>
    <s v="Electro"/>
    <s v="Consola Videojuegos"/>
    <n v="52.748090470893601"/>
  </r>
  <r>
    <s v="ORD-2802"/>
    <d v="2026-08-08T00:00:00"/>
    <s v="Pasto"/>
    <s v="CD Norte (Pasto)"/>
    <s v="Online"/>
    <s v="Moda"/>
    <s v="Chaqueta Impermeable"/>
    <n v="52.809047089358501"/>
  </r>
  <r>
    <s v="ORD-2803"/>
    <d v="2026-08-08T00:00:00"/>
    <s v="Bogota"/>
    <s v="CD Centro"/>
    <s v="Online"/>
    <s v="Hogar"/>
    <s v="Silla Ergonomica"/>
    <n v="52.8700037078235"/>
  </r>
  <r>
    <s v="ORD-2804"/>
    <d v="2026-08-08T00:00:00"/>
    <s v="Cali"/>
    <s v="CD Sur"/>
    <s v="Tienda Fisica"/>
    <s v="Calzado"/>
    <s v="Tenis Deportivo"/>
    <n v="52.930960326288499"/>
  </r>
  <r>
    <s v="ORD-2805"/>
    <d v="2026-08-09T00:00:00"/>
    <s v="Pasto"/>
    <s v="CD Norte (Pasto)"/>
    <s v="Tienda Fisica"/>
    <s v="Electro"/>
    <s v="Monitor 53"/>
    <n v="52.991916944753399"/>
  </r>
  <r>
    <s v="ORD-2806"/>
    <d v="2026-08-09T00:00:00"/>
    <s v="Bogota"/>
    <s v="CD Centro"/>
    <s v="Online"/>
    <s v="Moda"/>
    <s v="Buzo Hooded"/>
    <n v="53.052873563218398"/>
  </r>
  <r>
    <s v="ORD-2807"/>
    <d v="2026-08-09T00:00:00"/>
    <s v="Cali"/>
    <s v="CD Sur"/>
    <s v="Online"/>
    <s v="Hogar"/>
    <s v="Cama King"/>
    <n v="53.113830181683397"/>
  </r>
  <r>
    <s v="ORD-2808"/>
    <d v="2026-08-10T00:00:00"/>
    <s v="Pasto"/>
    <s v="CD Norte (Pasto)"/>
    <s v="Online"/>
    <s v="Calzado"/>
    <s v="Botines Cuero"/>
    <n v="53.174786800148297"/>
  </r>
  <r>
    <s v="ORD-2809"/>
    <d v="2026-08-10T00:00:00"/>
    <s v="Bogota"/>
    <s v="CD Centro"/>
    <s v="Tienda Fisica"/>
    <s v="Electro"/>
    <s v="Teclado Mecanico"/>
    <n v="53.235743418613303"/>
  </r>
  <r>
    <s v="ORD-2810"/>
    <d v="2026-08-10T00:00:00"/>
    <s v="Cali"/>
    <s v="CD Sur"/>
    <s v="Online"/>
    <s v="Moda"/>
    <s v="Pantalón Cargo"/>
    <n v="53.296700037078203"/>
  </r>
  <r>
    <s v="ORD-2811"/>
    <d v="2026-08-01T00:00:00"/>
    <s v="Pasto"/>
    <s v="CD Norte (Pasto)"/>
    <s v="Online"/>
    <s v="Electro"/>
    <s v="Laptop Pro 42"/>
    <n v="53.357656655543202"/>
  </r>
  <r>
    <s v="ORD-2812"/>
    <d v="2026-08-01T00:00:00"/>
    <s v="Bogota"/>
    <s v="CD Centro"/>
    <s v="Tienda Fisica"/>
    <s v="Moda"/>
    <s v="Chaqueta Cuero"/>
    <n v="53.418613274008202"/>
  </r>
  <r>
    <s v="ORD-2813"/>
    <d v="2026-08-01T00:00:00"/>
    <s v="Cali"/>
    <s v="CD Sur"/>
    <s v="Online"/>
    <s v="Hogar"/>
    <s v="Cafetera Express"/>
    <n v="53.479569892473101"/>
  </r>
  <r>
    <s v="ORD-2814"/>
    <d v="2026-08-02T00:00:00"/>
    <s v="Pasto"/>
    <s v="CD Norte (Pasto)"/>
    <s v="Tienda Fisica"/>
    <s v="Calzado"/>
    <s v="Tenis Running"/>
    <n v="53.540526510938101"/>
  </r>
  <r>
    <s v="ORD-2815"/>
    <d v="2026-08-02T00:00:00"/>
    <s v="Bogota"/>
    <s v="CD Centro"/>
    <s v="Online"/>
    <s v="Electro"/>
    <s v="Smartphone X"/>
    <n v="53.601483129403"/>
  </r>
  <r>
    <s v="ORD-2816"/>
    <d v="2026-08-02T00:00:00"/>
    <s v="Cali"/>
    <s v="CD Sur"/>
    <s v="Online"/>
    <s v="Moda"/>
    <s v="Jean Slim Fit"/>
    <n v="53.662439747868"/>
  </r>
  <r>
    <s v="ORD-2817"/>
    <d v="2026-08-03T00:00:00"/>
    <s v="Pasto"/>
    <s v="CD Norte (Pasto)"/>
    <s v="Online"/>
    <s v="Hogar"/>
    <s v="Aspiradora Robot"/>
    <n v="53.723396366332999"/>
  </r>
  <r>
    <s v="ORD-2818"/>
    <d v="2026-08-03T00:00:00"/>
    <s v="Bogota"/>
    <s v="CD Centro"/>
    <s v="Tienda Fisica"/>
    <s v="Calzado"/>
    <s v="Botas Moto"/>
    <n v="53.784352984797899"/>
  </r>
  <r>
    <s v="ORD-2819"/>
    <d v="2026-08-03T00:00:00"/>
    <s v="Cali"/>
    <s v="CD Sur"/>
    <s v="Online"/>
    <s v="Electro"/>
    <s v="Smart TV 82"/>
    <n v="53.845309603262898"/>
  </r>
  <r>
    <s v="ORD-2820"/>
    <d v="2026-08-04T00:00:00"/>
    <s v="Pasto"/>
    <s v="CD Norte (Pasto)"/>
    <s v="Tienda Fisica"/>
    <s v="Moda"/>
    <s v="Camisa Lino"/>
    <n v="53.906266221727797"/>
  </r>
  <r>
    <s v="ORD-2821"/>
    <d v="2026-08-04T00:00:00"/>
    <s v="Bogota"/>
    <s v="CD Centro"/>
    <s v="Online"/>
    <s v="Hogar"/>
    <s v="Juego Comedor"/>
    <n v="53.967222840192797"/>
  </r>
  <r>
    <s v="ORD-2822"/>
    <d v="2026-08-04T00:00:00"/>
    <s v="Cali"/>
    <s v="CD Sur"/>
    <s v="Tienda Fisica"/>
    <s v="Calzado"/>
    <s v="Sandalias"/>
    <n v="54.028179458657803"/>
  </r>
  <r>
    <s v="ORD-2823"/>
    <d v="2026-08-05T00:00:00"/>
    <s v="Pasto"/>
    <s v="CD Norte (Pasto)"/>
    <s v="Online"/>
    <s v="Electro"/>
    <s v="Tablet 37"/>
    <n v="54.089136077122703"/>
  </r>
  <r>
    <s v="ORD-2824"/>
    <d v="2026-08-05T00:00:00"/>
    <s v="Bogota"/>
    <s v="CD Centro"/>
    <s v="Online"/>
    <s v="Moda"/>
    <s v="Saco Lana"/>
    <n v="54.150092695587702"/>
  </r>
  <r>
    <s v="ORD-2825"/>
    <d v="2026-08-05T00:00:00"/>
    <s v="Cali"/>
    <s v="CD Sur"/>
    <s v="Online"/>
    <s v="Hogar"/>
    <s v="Escritorio Pro"/>
    <n v="54.211049314052602"/>
  </r>
  <r>
    <s v="ORD-2826"/>
    <d v="2026-08-06T00:00:00"/>
    <s v="Pasto"/>
    <s v="CD Norte (Pasto)"/>
    <s v="Tienda Fisica"/>
    <s v="Calzado"/>
    <s v="Tenis Urbano"/>
    <n v="54.272005932517601"/>
  </r>
  <r>
    <s v="ORD-2827"/>
    <d v="2026-08-06T00:00:00"/>
    <s v="Bogota"/>
    <s v="CD Centro"/>
    <s v="Online"/>
    <s v="Electro"/>
    <s v="Audifonos BT"/>
    <n v="54.3329625509826"/>
  </r>
  <r>
    <s v="ORD-2828"/>
    <d v="2026-08-06T00:00:00"/>
    <s v="Cali"/>
    <s v="CD Sur"/>
    <s v="Tienda Fisica"/>
    <s v="Moda"/>
    <s v="Vestido Formal"/>
    <n v="54.3939191694475"/>
  </r>
  <r>
    <s v="ORD-2829"/>
    <d v="2026-08-07T00:00:00"/>
    <s v="Pasto"/>
    <s v="CD Norte (Pasto)"/>
    <s v="Online"/>
    <s v="Hogar"/>
    <s v="Lámpara LED"/>
    <n v="54.454875787912499"/>
  </r>
  <r>
    <s v="ORD-2830"/>
    <d v="2026-08-07T00:00:00"/>
    <s v="Bogota"/>
    <s v="CD Centro"/>
    <s v="Tienda Fisica"/>
    <s v="Calzado"/>
    <s v="Zapatos Formales"/>
    <n v="54.515832406377498"/>
  </r>
  <r>
    <s v="ORD-2831"/>
    <d v="2026-08-07T00:00:00"/>
    <s v="Cali"/>
    <s v="CD Sur"/>
    <s v="Online"/>
    <s v="Electro"/>
    <s v="Consola Videojuegos"/>
    <n v="54.576789024842398"/>
  </r>
  <r>
    <s v="ORD-2832"/>
    <d v="2026-08-08T00:00:00"/>
    <s v="Pasto"/>
    <s v="CD Norte (Pasto)"/>
    <s v="Online"/>
    <s v="Moda"/>
    <s v="Chaqueta Impermeable"/>
    <n v="54.637745643307397"/>
  </r>
  <r>
    <s v="ORD-2833"/>
    <d v="2026-08-08T00:00:00"/>
    <s v="Bogota"/>
    <s v="CD Centro"/>
    <s v="Online"/>
    <s v="Hogar"/>
    <s v="Silla Ergonomica"/>
    <n v="54.698702261772297"/>
  </r>
  <r>
    <s v="ORD-2834"/>
    <d v="2026-08-08T00:00:00"/>
    <s v="Cali"/>
    <s v="CD Sur"/>
    <s v="Tienda Fisica"/>
    <s v="Calzado"/>
    <s v="Tenis Deportivo"/>
    <n v="54.759658880237303"/>
  </r>
  <r>
    <s v="ORD-2835"/>
    <d v="2026-08-09T00:00:00"/>
    <s v="Pasto"/>
    <s v="CD Norte (Pasto)"/>
    <s v="Tienda Fisica"/>
    <s v="Electro"/>
    <s v="Monitor 54"/>
    <n v="54.820615498702303"/>
  </r>
  <r>
    <s v="ORD-2836"/>
    <d v="2026-08-09T00:00:00"/>
    <s v="Bogota"/>
    <s v="CD Centro"/>
    <s v="Online"/>
    <s v="Moda"/>
    <s v="Buzo Hooded"/>
    <n v="54.881572117167202"/>
  </r>
  <r>
    <s v="ORD-2837"/>
    <d v="2026-08-09T00:00:00"/>
    <s v="Cali"/>
    <s v="CD Sur"/>
    <s v="Online"/>
    <s v="Hogar"/>
    <s v="Cama King"/>
    <n v="54.942528735632202"/>
  </r>
  <r>
    <s v="ORD-2838"/>
    <d v="2026-08-10T00:00:00"/>
    <s v="Pasto"/>
    <s v="CD Norte (Pasto)"/>
    <s v="Online"/>
    <s v="Calzado"/>
    <s v="Botines Cuero"/>
    <n v="55.003485354097101"/>
  </r>
  <r>
    <s v="ORD-2839"/>
    <d v="2026-08-10T00:00:00"/>
    <s v="Bogota"/>
    <s v="CD Centro"/>
    <s v="Tienda Fisica"/>
    <s v="Electro"/>
    <s v="Teclado Mecanico"/>
    <n v="55.064441972562101"/>
  </r>
  <r>
    <s v="ORD-2840"/>
    <d v="2026-08-10T00:00:00"/>
    <s v="Cali"/>
    <s v="CD Sur"/>
    <s v="Online"/>
    <s v="Moda"/>
    <s v="Pantalón Cargo"/>
    <n v="55.1253985910271"/>
  </r>
  <r>
    <s v="ORD-2841"/>
    <d v="2026-08-01T00:00:00"/>
    <s v="Pasto"/>
    <s v="CD Norte (Pasto)"/>
    <s v="Online"/>
    <s v="Electro"/>
    <s v="Laptop Pro 43"/>
    <n v="55.186355209492"/>
  </r>
  <r>
    <s v="ORD-2842"/>
    <d v="2026-08-01T00:00:00"/>
    <s v="Bogota"/>
    <s v="CD Centro"/>
    <s v="Tienda Fisica"/>
    <s v="Moda"/>
    <s v="Chaqueta Cuero"/>
    <n v="55.247311827956999"/>
  </r>
  <r>
    <s v="ORD-2843"/>
    <d v="2026-08-01T00:00:00"/>
    <s v="Cali"/>
    <s v="CD Sur"/>
    <s v="Online"/>
    <s v="Hogar"/>
    <s v="Cafetera Express"/>
    <n v="55.308268446421899"/>
  </r>
  <r>
    <s v="ORD-2844"/>
    <d v="2026-08-02T00:00:00"/>
    <s v="Pasto"/>
    <s v="CD Norte (Pasto)"/>
    <s v="Tienda Fisica"/>
    <s v="Calzado"/>
    <s v="Tenis Running"/>
    <n v="55.369225064886898"/>
  </r>
  <r>
    <s v="ORD-2845"/>
    <d v="2026-08-02T00:00:00"/>
    <s v="Bogota"/>
    <s v="CD Centro"/>
    <s v="Online"/>
    <s v="Electro"/>
    <s v="Smartphone X"/>
    <n v="55.430181683351897"/>
  </r>
  <r>
    <s v="ORD-2846"/>
    <d v="2026-08-02T00:00:00"/>
    <s v="Cali"/>
    <s v="CD Sur"/>
    <s v="Online"/>
    <s v="Moda"/>
    <s v="Jean Slim Fit"/>
    <n v="55.491138301816797"/>
  </r>
  <r>
    <s v="ORD-2847"/>
    <d v="2026-08-03T00:00:00"/>
    <s v="Pasto"/>
    <s v="CD Norte (Pasto)"/>
    <s v="Online"/>
    <s v="Hogar"/>
    <s v="Aspiradora Robot"/>
    <n v="55.552094920281803"/>
  </r>
  <r>
    <s v="ORD-2848"/>
    <d v="2026-08-03T00:00:00"/>
    <s v="Bogota"/>
    <s v="CD Centro"/>
    <s v="Tienda Fisica"/>
    <s v="Calzado"/>
    <s v="Botas Moto"/>
    <n v="55.613051538746802"/>
  </r>
  <r>
    <s v="ORD-2849"/>
    <d v="2026-08-03T00:00:00"/>
    <s v="Cali"/>
    <s v="CD Sur"/>
    <s v="Online"/>
    <s v="Electro"/>
    <s v="Smart TV 83"/>
    <n v="55.674008157211702"/>
  </r>
  <r>
    <s v="ORD-2850"/>
    <d v="2026-08-04T00:00:00"/>
    <s v="Pasto"/>
    <s v="CD Norte (Pasto)"/>
    <s v="Tienda Fisica"/>
    <s v="Moda"/>
    <s v="Camisa Lino"/>
    <n v="55.734964775676701"/>
  </r>
  <r>
    <s v="ORD-2851"/>
    <d v="2026-08-04T00:00:00"/>
    <s v="Bogota"/>
    <s v="CD Centro"/>
    <s v="Online"/>
    <s v="Hogar"/>
    <s v="Juego Comedor"/>
    <n v="55.795921394141601"/>
  </r>
  <r>
    <s v="ORD-2852"/>
    <d v="2026-08-04T00:00:00"/>
    <s v="Cali"/>
    <s v="CD Sur"/>
    <s v="Tienda Fisica"/>
    <s v="Calzado"/>
    <s v="Sandalias"/>
    <n v="55.8568780126066"/>
  </r>
  <r>
    <s v="ORD-2853"/>
    <d v="2026-08-05T00:00:00"/>
    <s v="Pasto"/>
    <s v="CD Norte (Pasto)"/>
    <s v="Online"/>
    <s v="Electro"/>
    <s v="Tablet 38"/>
    <n v="55.917834631071599"/>
  </r>
  <r>
    <s v="ORD-2854"/>
    <d v="2026-08-05T00:00:00"/>
    <s v="Bogota"/>
    <s v="CD Centro"/>
    <s v="Online"/>
    <s v="Moda"/>
    <s v="Saco Lana"/>
    <n v="55.978791249536499"/>
  </r>
  <r>
    <s v="ORD-2855"/>
    <d v="2026-08-05T00:00:00"/>
    <s v="Cali"/>
    <s v="CD Sur"/>
    <s v="Online"/>
    <s v="Hogar"/>
    <s v="Escritorio Pro"/>
    <n v="56.039747868001498"/>
  </r>
  <r>
    <s v="ORD-2856"/>
    <d v="2026-08-06T00:00:00"/>
    <s v="Pasto"/>
    <s v="CD Norte (Pasto)"/>
    <s v="Tienda Fisica"/>
    <s v="Calzado"/>
    <s v="Tenis Urbano"/>
    <n v="56.100704486466398"/>
  </r>
  <r>
    <s v="ORD-2857"/>
    <d v="2026-08-06T00:00:00"/>
    <s v="Bogota"/>
    <s v="CD Centro"/>
    <s v="Online"/>
    <s v="Electro"/>
    <s v="Audifonos BT"/>
    <n v="56.161661104931397"/>
  </r>
  <r>
    <s v="ORD-2858"/>
    <d v="2026-08-06T00:00:00"/>
    <s v="Cali"/>
    <s v="CD Sur"/>
    <s v="Tienda Fisica"/>
    <s v="Moda"/>
    <s v="Vestido Formal"/>
    <n v="56.222617723396397"/>
  </r>
  <r>
    <s v="ORD-2859"/>
    <d v="2026-08-07T00:00:00"/>
    <s v="Pasto"/>
    <s v="CD Norte (Pasto)"/>
    <s v="Online"/>
    <s v="Hogar"/>
    <s v="Lámpara LED"/>
    <n v="56.283574341861303"/>
  </r>
  <r>
    <s v="ORD-2860"/>
    <d v="2026-08-07T00:00:00"/>
    <s v="Bogota"/>
    <s v="CD Centro"/>
    <s v="Tienda Fisica"/>
    <s v="Calzado"/>
    <s v="Zapatos Formales"/>
    <n v="56.344530960326303"/>
  </r>
  <r>
    <s v="ORD-2861"/>
    <d v="2026-08-07T00:00:00"/>
    <s v="Cali"/>
    <s v="CD Sur"/>
    <s v="Online"/>
    <s v="Electro"/>
    <s v="Consola Videojuegos"/>
    <n v="56.405487578791202"/>
  </r>
  <r>
    <s v="ORD-2862"/>
    <d v="2026-08-08T00:00:00"/>
    <s v="Pasto"/>
    <s v="CD Norte (Pasto)"/>
    <s v="Online"/>
    <s v="Moda"/>
    <s v="Chaqueta Impermeable"/>
    <n v="56.466444197256202"/>
  </r>
  <r>
    <s v="ORD-2863"/>
    <d v="2026-08-08T00:00:00"/>
    <s v="Bogota"/>
    <s v="CD Centro"/>
    <s v="Online"/>
    <s v="Hogar"/>
    <s v="Silla Ergonomica"/>
    <n v="56.527400815721201"/>
  </r>
  <r>
    <s v="ORD-2864"/>
    <d v="2026-08-08T00:00:00"/>
    <s v="Cali"/>
    <s v="CD Sur"/>
    <s v="Tienda Fisica"/>
    <s v="Calzado"/>
    <s v="Tenis Deportivo"/>
    <n v="56.588357434186101"/>
  </r>
  <r>
    <s v="ORD-2865"/>
    <d v="2026-08-09T00:00:00"/>
    <s v="Pasto"/>
    <s v="CD Norte (Pasto)"/>
    <s v="Tienda Fisica"/>
    <s v="Electro"/>
    <s v="Monitor 55"/>
    <n v="56.6493140526511"/>
  </r>
  <r>
    <s v="ORD-2866"/>
    <d v="2026-08-09T00:00:00"/>
    <s v="Bogota"/>
    <s v="CD Centro"/>
    <s v="Online"/>
    <s v="Moda"/>
    <s v="Buzo Hooded"/>
    <n v="56.710270671116099"/>
  </r>
  <r>
    <s v="ORD-2867"/>
    <d v="2026-08-09T00:00:00"/>
    <s v="Cali"/>
    <s v="CD Sur"/>
    <s v="Online"/>
    <s v="Hogar"/>
    <s v="Cama King"/>
    <n v="56.771227289580999"/>
  </r>
  <r>
    <s v="ORD-2868"/>
    <d v="2026-08-10T00:00:00"/>
    <s v="Pasto"/>
    <s v="CD Norte (Pasto)"/>
    <s v="Online"/>
    <s v="Calzado"/>
    <s v="Botines Cuero"/>
    <n v="56.832183908045998"/>
  </r>
  <r>
    <s v="ORD-2869"/>
    <d v="2026-08-10T00:00:00"/>
    <s v="Bogota"/>
    <s v="CD Centro"/>
    <s v="Tienda Fisica"/>
    <s v="Electro"/>
    <s v="Teclado Mecanico"/>
    <n v="56.893140526510898"/>
  </r>
  <r>
    <s v="ORD-2870"/>
    <d v="2026-08-10T00:00:00"/>
    <s v="Cali"/>
    <s v="CD Sur"/>
    <s v="Online"/>
    <s v="Moda"/>
    <s v="Pantalón Cargo"/>
    <n v="56.954097144975897"/>
  </r>
  <r>
    <s v="ORD-2871"/>
    <d v="2026-08-01T00:00:00"/>
    <s v="Pasto"/>
    <s v="CD Norte (Pasto)"/>
    <s v="Online"/>
    <s v="Electro"/>
    <s v="Laptop Pro 44"/>
    <n v="57.015053763440903"/>
  </r>
  <r>
    <s v="ORD-2872"/>
    <d v="2026-08-01T00:00:00"/>
    <s v="Bogota"/>
    <s v="CD Centro"/>
    <s v="Tienda Fisica"/>
    <s v="Moda"/>
    <s v="Chaqueta Cuero"/>
    <n v="57.076010381905803"/>
  </r>
  <r>
    <s v="ORD-2873"/>
    <d v="2026-08-01T00:00:00"/>
    <s v="Cali"/>
    <s v="CD Sur"/>
    <s v="Online"/>
    <s v="Hogar"/>
    <s v="Cafetera Express"/>
    <n v="57.136967000370802"/>
  </r>
  <r>
    <s v="ORD-2874"/>
    <d v="2026-08-02T00:00:00"/>
    <s v="Pasto"/>
    <s v="CD Norte (Pasto)"/>
    <s v="Tienda Fisica"/>
    <s v="Calzado"/>
    <s v="Tenis Running"/>
    <n v="57.197923618835702"/>
  </r>
  <r>
    <s v="ORD-2875"/>
    <d v="2026-08-02T00:00:00"/>
    <s v="Bogota"/>
    <s v="CD Centro"/>
    <s v="Online"/>
    <s v="Electro"/>
    <s v="Smartphone X"/>
    <n v="57.258880237300701"/>
  </r>
  <r>
    <s v="ORD-2876"/>
    <d v="2026-08-02T00:00:00"/>
    <s v="Cali"/>
    <s v="CD Sur"/>
    <s v="Online"/>
    <s v="Moda"/>
    <s v="Jean Slim Fit"/>
    <n v="57.319836855765701"/>
  </r>
  <r>
    <s v="ORD-2877"/>
    <d v="2026-08-03T00:00:00"/>
    <s v="Pasto"/>
    <s v="CD Norte (Pasto)"/>
    <s v="Online"/>
    <s v="Hogar"/>
    <s v="Aspiradora Robot"/>
    <n v="57.3807934742306"/>
  </r>
  <r>
    <s v="ORD-2878"/>
    <d v="2026-08-03T00:00:00"/>
    <s v="Bogota"/>
    <s v="CD Centro"/>
    <s v="Tienda Fisica"/>
    <s v="Calzado"/>
    <s v="Botas Moto"/>
    <n v="57.4417500926956"/>
  </r>
  <r>
    <s v="ORD-2879"/>
    <d v="2026-08-03T00:00:00"/>
    <s v="Cali"/>
    <s v="CD Sur"/>
    <s v="Online"/>
    <s v="Electro"/>
    <s v="Smart TV 84"/>
    <n v="57.502706711160499"/>
  </r>
  <r>
    <s v="ORD-2880"/>
    <d v="2026-08-04T00:00:00"/>
    <s v="Pasto"/>
    <s v="CD Norte (Pasto)"/>
    <s v="Tienda Fisica"/>
    <s v="Moda"/>
    <s v="Camisa Lino"/>
    <n v="57.563663329625498"/>
  </r>
  <r>
    <s v="ORD-2881"/>
    <d v="2026-08-04T00:00:00"/>
    <s v="Bogota"/>
    <s v="CD Centro"/>
    <s v="Online"/>
    <s v="Hogar"/>
    <s v="Juego Comedor"/>
    <n v="57.624619948090498"/>
  </r>
  <r>
    <s v="ORD-2882"/>
    <d v="2026-08-04T00:00:00"/>
    <s v="Cali"/>
    <s v="CD Sur"/>
    <s v="Tienda Fisica"/>
    <s v="Calzado"/>
    <s v="Sandalias"/>
    <n v="57.685576566555397"/>
  </r>
  <r>
    <s v="ORD-2883"/>
    <d v="2026-08-05T00:00:00"/>
    <s v="Pasto"/>
    <s v="CD Norte (Pasto)"/>
    <s v="Online"/>
    <s v="Electro"/>
    <s v="Tablet 39"/>
    <n v="57.746533185020397"/>
  </r>
  <r>
    <s v="ORD-2884"/>
    <d v="2026-08-05T00:00:00"/>
    <s v="Bogota"/>
    <s v="CD Centro"/>
    <s v="Online"/>
    <s v="Moda"/>
    <s v="Saco Lana"/>
    <n v="57.807489803485304"/>
  </r>
  <r>
    <s v="ORD-2885"/>
    <d v="2026-08-05T00:00:00"/>
    <s v="Cali"/>
    <s v="CD Sur"/>
    <s v="Online"/>
    <s v="Hogar"/>
    <s v="Escritorio Pro"/>
    <n v="57.868446421950303"/>
  </r>
  <r>
    <s v="ORD-2886"/>
    <d v="2026-08-06T00:00:00"/>
    <s v="Pasto"/>
    <s v="CD Norte (Pasto)"/>
    <s v="Tienda Fisica"/>
    <s v="Calzado"/>
    <s v="Tenis Urbano"/>
    <n v="57.929403040415302"/>
  </r>
  <r>
    <s v="ORD-2887"/>
    <d v="2026-08-06T00:00:00"/>
    <s v="Bogota"/>
    <s v="CD Centro"/>
    <s v="Online"/>
    <s v="Electro"/>
    <s v="Audifonos BT"/>
    <n v="57.990359658880202"/>
  </r>
  <r>
    <s v="ORD-2888"/>
    <d v="2026-08-06T00:00:00"/>
    <s v="Cali"/>
    <s v="CD Sur"/>
    <s v="Tienda Fisica"/>
    <s v="Moda"/>
    <s v="Vestido Formal"/>
    <n v="58.051316277345201"/>
  </r>
  <r>
    <s v="ORD-2889"/>
    <d v="2026-08-07T00:00:00"/>
    <s v="Pasto"/>
    <s v="CD Norte (Pasto)"/>
    <s v="Online"/>
    <s v="Hogar"/>
    <s v="Lámpara LED"/>
    <n v="58.1122728958102"/>
  </r>
  <r>
    <s v="ORD-2890"/>
    <d v="2026-08-07T00:00:00"/>
    <s v="Bogota"/>
    <s v="CD Centro"/>
    <s v="Tienda Fisica"/>
    <s v="Calzado"/>
    <s v="Zapatos Formales"/>
    <n v="58.1732295142751"/>
  </r>
  <r>
    <s v="ORD-2891"/>
    <d v="2026-08-07T00:00:00"/>
    <s v="Cali"/>
    <s v="CD Sur"/>
    <s v="Online"/>
    <s v="Electro"/>
    <s v="Consola Videojuegos"/>
    <n v="58.234186132740099"/>
  </r>
  <r>
    <s v="ORD-2892"/>
    <d v="2026-08-08T00:00:00"/>
    <s v="Pasto"/>
    <s v="CD Norte (Pasto)"/>
    <s v="Online"/>
    <s v="Moda"/>
    <s v="Chaqueta Impermeable"/>
    <n v="58.295142751204999"/>
  </r>
  <r>
    <s v="ORD-2893"/>
    <d v="2026-08-08T00:00:00"/>
    <s v="Bogota"/>
    <s v="CD Centro"/>
    <s v="Online"/>
    <s v="Hogar"/>
    <s v="Silla Ergonomica"/>
    <n v="58.356099369669998"/>
  </r>
  <r>
    <s v="ORD-2894"/>
    <d v="2026-08-08T00:00:00"/>
    <s v="Cali"/>
    <s v="CD Sur"/>
    <s v="Tienda Fisica"/>
    <s v="Calzado"/>
    <s v="Tenis Deportivo"/>
    <n v="58.417055988134997"/>
  </r>
  <r>
    <s v="ORD-2895"/>
    <d v="2026-08-09T00:00:00"/>
    <s v="Pasto"/>
    <s v="CD Norte (Pasto)"/>
    <s v="Tienda Fisica"/>
    <s v="Electro"/>
    <s v="Monitor 56"/>
    <n v="58.478012606599897"/>
  </r>
  <r>
    <s v="ORD-2896"/>
    <d v="2026-08-09T00:00:00"/>
    <s v="Bogota"/>
    <s v="CD Centro"/>
    <s v="Online"/>
    <s v="Moda"/>
    <s v="Buzo Hooded"/>
    <n v="58.538969225064903"/>
  </r>
  <r>
    <s v="ORD-2897"/>
    <d v="2026-08-09T00:00:00"/>
    <s v="Cali"/>
    <s v="CD Sur"/>
    <s v="Online"/>
    <s v="Hogar"/>
    <s v="Cama King"/>
    <n v="58.599925843529803"/>
  </r>
  <r>
    <s v="ORD-2898"/>
    <d v="2026-08-10T00:00:00"/>
    <s v="Pasto"/>
    <s v="CD Norte (Pasto)"/>
    <s v="Online"/>
    <s v="Calzado"/>
    <s v="Botines Cuero"/>
    <n v="58.660882461994802"/>
  </r>
  <r>
    <s v="ORD-2899"/>
    <d v="2026-08-10T00:00:00"/>
    <s v="Bogota"/>
    <s v="CD Centro"/>
    <s v="Tienda Fisica"/>
    <s v="Electro"/>
    <s v="Teclado Mecanico"/>
    <n v="58.721839080459802"/>
  </r>
  <r>
    <s v="ORD-2900"/>
    <d v="2026-08-10T00:00:00"/>
    <s v="Cali"/>
    <s v="CD Sur"/>
    <s v="Online"/>
    <s v="Moda"/>
    <s v="Pantalón Cargo"/>
    <n v="58.782795698924701"/>
  </r>
  <r>
    <s v="ORD-2901"/>
    <d v="2026-08-01T00:00:00"/>
    <s v="Pasto"/>
    <s v="CD Norte (Pasto)"/>
    <s v="Online"/>
    <s v="Electro"/>
    <s v="Laptop Pro 45"/>
    <n v="58.843752317389701"/>
  </r>
  <r>
    <s v="ORD-2902"/>
    <d v="2026-08-01T00:00:00"/>
    <s v="Bogota"/>
    <s v="CD Centro"/>
    <s v="Tienda Fisica"/>
    <s v="Moda"/>
    <s v="Chaqueta Cuero"/>
    <n v="58.9047089358547"/>
  </r>
  <r>
    <s v="ORD-2903"/>
    <d v="2026-08-01T00:00:00"/>
    <s v="Cali"/>
    <s v="CD Sur"/>
    <s v="Online"/>
    <s v="Hogar"/>
    <s v="Cafetera Express"/>
    <n v="58.9656655543196"/>
  </r>
  <r>
    <s v="ORD-2904"/>
    <d v="2026-08-02T00:00:00"/>
    <s v="Pasto"/>
    <s v="CD Norte (Pasto)"/>
    <s v="Tienda Fisica"/>
    <s v="Calzado"/>
    <s v="Tenis Running"/>
    <n v="59.026622172784599"/>
  </r>
  <r>
    <s v="ORD-2905"/>
    <d v="2026-08-02T00:00:00"/>
    <s v="Bogota"/>
    <s v="CD Centro"/>
    <s v="Online"/>
    <s v="Electro"/>
    <s v="Smartphone X"/>
    <n v="59.087578791249499"/>
  </r>
  <r>
    <s v="ORD-2906"/>
    <d v="2026-08-02T00:00:00"/>
    <s v="Cali"/>
    <s v="CD Sur"/>
    <s v="Online"/>
    <s v="Moda"/>
    <s v="Jean Slim Fit"/>
    <n v="59.148535409714498"/>
  </r>
  <r>
    <s v="ORD-2907"/>
    <d v="2026-08-03T00:00:00"/>
    <s v="Pasto"/>
    <s v="CD Norte (Pasto)"/>
    <s v="Online"/>
    <s v="Hogar"/>
    <s v="Aspiradora Robot"/>
    <n v="59.209492028179497"/>
  </r>
  <r>
    <s v="ORD-2908"/>
    <d v="2026-08-03T00:00:00"/>
    <s v="Bogota"/>
    <s v="CD Centro"/>
    <s v="Tienda Fisica"/>
    <s v="Calzado"/>
    <s v="Botas Moto"/>
    <n v="59.270448646644397"/>
  </r>
  <r>
    <s v="ORD-2909"/>
    <d v="2026-08-03T00:00:00"/>
    <s v="Cali"/>
    <s v="CD Sur"/>
    <s v="Online"/>
    <s v="Electro"/>
    <s v="Smart TV 85"/>
    <n v="59.331405265109403"/>
  </r>
  <r>
    <s v="ORD-2910"/>
    <d v="2026-08-04T00:00:00"/>
    <s v="Pasto"/>
    <s v="CD Norte (Pasto)"/>
    <s v="Tienda Fisica"/>
    <s v="Moda"/>
    <s v="Camisa Lino"/>
    <n v="59.392361883574303"/>
  </r>
  <r>
    <s v="ORD-2911"/>
    <d v="2026-08-04T00:00:00"/>
    <s v="Bogota"/>
    <s v="CD Centro"/>
    <s v="Online"/>
    <s v="Hogar"/>
    <s v="Juego Comedor"/>
    <n v="59.453318502039302"/>
  </r>
  <r>
    <s v="ORD-2912"/>
    <d v="2026-08-04T00:00:00"/>
    <s v="Cali"/>
    <s v="CD Sur"/>
    <s v="Tienda Fisica"/>
    <s v="Calzado"/>
    <s v="Sandalias"/>
    <n v="59.514275120504301"/>
  </r>
  <r>
    <s v="ORD-2913"/>
    <d v="2026-08-05T00:00:00"/>
    <s v="Pasto"/>
    <s v="CD Norte (Pasto)"/>
    <s v="Online"/>
    <s v="Electro"/>
    <s v="Tablet 40"/>
    <n v="59.575231738969201"/>
  </r>
  <r>
    <s v="ORD-2914"/>
    <d v="2026-08-05T00:00:00"/>
    <s v="Bogota"/>
    <s v="CD Centro"/>
    <s v="Online"/>
    <s v="Moda"/>
    <s v="Saco Lana"/>
    <n v="59.6361883574342"/>
  </r>
  <r>
    <s v="ORD-2915"/>
    <d v="2026-08-05T00:00:00"/>
    <s v="Cali"/>
    <s v="CD Sur"/>
    <s v="Online"/>
    <s v="Hogar"/>
    <s v="Escritorio Pro"/>
    <n v="59.6971449758991"/>
  </r>
  <r>
    <s v="ORD-2916"/>
    <d v="2026-08-06T00:00:00"/>
    <s v="Pasto"/>
    <s v="CD Norte (Pasto)"/>
    <s v="Tienda Fisica"/>
    <s v="Calzado"/>
    <s v="Tenis Urbano"/>
    <n v="59.758101594364099"/>
  </r>
  <r>
    <s v="ORD-2917"/>
    <d v="2026-08-06T00:00:00"/>
    <s v="Bogota"/>
    <s v="CD Centro"/>
    <s v="Online"/>
    <s v="Electro"/>
    <s v="Audifonos BT"/>
    <n v="59.819058212829098"/>
  </r>
  <r>
    <s v="ORD-2918"/>
    <d v="2026-08-06T00:00:00"/>
    <s v="Cali"/>
    <s v="CD Sur"/>
    <s v="Tienda Fisica"/>
    <s v="Moda"/>
    <s v="Vestido Formal"/>
    <n v="59.880014831293998"/>
  </r>
  <r>
    <s v="ORD-2919"/>
    <d v="2026-08-07T00:00:00"/>
    <s v="Pasto"/>
    <s v="CD Norte (Pasto)"/>
    <s v="Online"/>
    <s v="Hogar"/>
    <s v="Lámpara LED"/>
    <n v="59.940971449758997"/>
  </r>
  <r>
    <s v="ORD-2920"/>
    <d v="2026-08-07T00:00:00"/>
    <s v="Bogota"/>
    <s v="CD Centro"/>
    <s v="Tienda Fisica"/>
    <s v="Calzado"/>
    <s v="Zapatos Formales"/>
    <n v="60.001928068223897"/>
  </r>
  <r>
    <s v="ORD-2921"/>
    <d v="2026-08-07T00:00:00"/>
    <s v="Cali"/>
    <s v="CD Sur"/>
    <s v="Online"/>
    <s v="Electro"/>
    <s v="Consola Videojuegos"/>
    <n v="60.062884686688903"/>
  </r>
  <r>
    <s v="ORD-2922"/>
    <d v="2026-08-08T00:00:00"/>
    <s v="Pasto"/>
    <s v="CD Norte (Pasto)"/>
    <s v="Online"/>
    <s v="Moda"/>
    <s v="Chaqueta Impermeable"/>
    <n v="60.123841305153903"/>
  </r>
  <r>
    <s v="ORD-2923"/>
    <d v="2026-08-08T00:00:00"/>
    <s v="Bogota"/>
    <s v="CD Centro"/>
    <s v="Online"/>
    <s v="Hogar"/>
    <s v="Silla Ergonomica"/>
    <n v="60.184797923618802"/>
  </r>
  <r>
    <s v="ORD-2924"/>
    <d v="2026-08-08T00:00:00"/>
    <s v="Cali"/>
    <s v="CD Sur"/>
    <s v="Tienda Fisica"/>
    <s v="Calzado"/>
    <s v="Tenis Deportivo"/>
    <n v="60.245754542083802"/>
  </r>
  <r>
    <s v="ORD-2925"/>
    <d v="2026-08-09T00:00:00"/>
    <s v="Pasto"/>
    <s v="CD Norte (Pasto)"/>
    <s v="Tienda Fisica"/>
    <s v="Electro"/>
    <s v="Monitor 57"/>
    <n v="60.306711160548801"/>
  </r>
  <r>
    <s v="ORD-2926"/>
    <d v="2026-08-09T00:00:00"/>
    <s v="Bogota"/>
    <s v="CD Centro"/>
    <s v="Online"/>
    <s v="Moda"/>
    <s v="Buzo Hooded"/>
    <n v="60.367667779013701"/>
  </r>
  <r>
    <s v="ORD-2927"/>
    <d v="2026-08-09T00:00:00"/>
    <s v="Cali"/>
    <s v="CD Sur"/>
    <s v="Online"/>
    <s v="Hogar"/>
    <s v="Cama King"/>
    <n v="60.4286243974787"/>
  </r>
  <r>
    <s v="ORD-2928"/>
    <d v="2026-08-10T00:00:00"/>
    <s v="Pasto"/>
    <s v="CD Norte (Pasto)"/>
    <s v="Online"/>
    <s v="Calzado"/>
    <s v="Botines Cuero"/>
    <n v="60.4895810159436"/>
  </r>
  <r>
    <s v="ORD-2929"/>
    <d v="2026-08-10T00:00:00"/>
    <s v="Bogota"/>
    <s v="CD Centro"/>
    <s v="Tienda Fisica"/>
    <s v="Electro"/>
    <s v="Teclado Mecanico"/>
    <n v="60.550537634408599"/>
  </r>
  <r>
    <s v="ORD-2930"/>
    <d v="2026-08-10T00:00:00"/>
    <s v="Cali"/>
    <s v="CD Sur"/>
    <s v="Online"/>
    <s v="Moda"/>
    <s v="Pantalón Cargo"/>
    <n v="60.611494252873598"/>
  </r>
  <r>
    <s v="ORD-2931"/>
    <d v="2026-08-01T00:00:00"/>
    <s v="Pasto"/>
    <s v="CD Norte (Pasto)"/>
    <s v="Online"/>
    <s v="Electro"/>
    <s v="Laptop Pro 46"/>
    <n v="60.672450871338498"/>
  </r>
  <r>
    <s v="ORD-2932"/>
    <d v="2026-08-01T00:00:00"/>
    <s v="Bogota"/>
    <s v="CD Centro"/>
    <s v="Tienda Fisica"/>
    <s v="Moda"/>
    <s v="Chaqueta Cuero"/>
    <n v="60.733407489803497"/>
  </r>
  <r>
    <s v="ORD-2933"/>
    <d v="2026-08-01T00:00:00"/>
    <s v="Cali"/>
    <s v="CD Sur"/>
    <s v="Online"/>
    <s v="Hogar"/>
    <s v="Cafetera Express"/>
    <n v="60.794364108268397"/>
  </r>
  <r>
    <s v="ORD-2934"/>
    <d v="2026-08-02T00:00:00"/>
    <s v="Pasto"/>
    <s v="CD Norte (Pasto)"/>
    <s v="Tienda Fisica"/>
    <s v="Calzado"/>
    <s v="Tenis Running"/>
    <n v="60.855320726733403"/>
  </r>
  <r>
    <s v="ORD-2935"/>
    <d v="2026-08-02T00:00:00"/>
    <s v="Bogota"/>
    <s v="CD Centro"/>
    <s v="Online"/>
    <s v="Electro"/>
    <s v="Smartphone X"/>
    <n v="60.916277345198402"/>
  </r>
  <r>
    <s v="ORD-2936"/>
    <d v="2026-08-02T00:00:00"/>
    <s v="Cali"/>
    <s v="CD Sur"/>
    <s v="Online"/>
    <s v="Moda"/>
    <s v="Jean Slim Fit"/>
    <n v="60.977233963663302"/>
  </r>
  <r>
    <s v="ORD-2937"/>
    <d v="2026-08-03T00:00:00"/>
    <s v="Pasto"/>
    <s v="CD Norte (Pasto)"/>
    <s v="Online"/>
    <s v="Hogar"/>
    <s v="Aspiradora Robot"/>
    <n v="61.038190582128301"/>
  </r>
  <r>
    <s v="ORD-2938"/>
    <d v="2026-08-03T00:00:00"/>
    <s v="Bogota"/>
    <s v="CD Centro"/>
    <s v="Tienda Fisica"/>
    <s v="Calzado"/>
    <s v="Botas Moto"/>
    <n v="61.099147200593301"/>
  </r>
  <r>
    <s v="ORD-2939"/>
    <d v="2026-08-03T00:00:00"/>
    <s v="Cali"/>
    <s v="CD Sur"/>
    <s v="Online"/>
    <s v="Electro"/>
    <s v="Smart TV 86"/>
    <n v="61.1601038190582"/>
  </r>
  <r>
    <s v="ORD-2940"/>
    <d v="2026-08-04T00:00:00"/>
    <s v="Pasto"/>
    <s v="CD Norte (Pasto)"/>
    <s v="Tienda Fisica"/>
    <s v="Moda"/>
    <s v="Camisa Lino"/>
    <n v="61.221060437523199"/>
  </r>
  <r>
    <s v="ORD-2941"/>
    <d v="2026-08-04T00:00:00"/>
    <s v="Bogota"/>
    <s v="CD Centro"/>
    <s v="Online"/>
    <s v="Hogar"/>
    <s v="Juego Comedor"/>
    <n v="61.282017055988099"/>
  </r>
  <r>
    <s v="ORD-2942"/>
    <d v="2026-08-04T00:00:00"/>
    <s v="Cali"/>
    <s v="CD Sur"/>
    <s v="Tienda Fisica"/>
    <s v="Calzado"/>
    <s v="Sandalias"/>
    <n v="61.342973674453098"/>
  </r>
  <r>
    <s v="ORD-2943"/>
    <d v="2026-08-05T00:00:00"/>
    <s v="Pasto"/>
    <s v="CD Norte (Pasto)"/>
    <s v="Online"/>
    <s v="Electro"/>
    <s v="Tablet 41"/>
    <n v="61.403930292918098"/>
  </r>
  <r>
    <s v="ORD-2944"/>
    <d v="2026-08-05T00:00:00"/>
    <s v="Bogota"/>
    <s v="CD Centro"/>
    <s v="Online"/>
    <s v="Moda"/>
    <s v="Saco Lana"/>
    <n v="61.464886911382997"/>
  </r>
  <r>
    <s v="ORD-2945"/>
    <d v="2026-08-05T00:00:00"/>
    <s v="Cali"/>
    <s v="CD Sur"/>
    <s v="Online"/>
    <s v="Hogar"/>
    <s v="Escritorio Pro"/>
    <n v="61.525843529847997"/>
  </r>
  <r>
    <s v="ORD-2946"/>
    <d v="2026-08-06T00:00:00"/>
    <s v="Pasto"/>
    <s v="CD Norte (Pasto)"/>
    <s v="Tienda Fisica"/>
    <s v="Calzado"/>
    <s v="Tenis Urbano"/>
    <n v="61.586800148312904"/>
  </r>
  <r>
    <s v="ORD-2947"/>
    <d v="2026-08-06T00:00:00"/>
    <s v="Bogota"/>
    <s v="CD Centro"/>
    <s v="Online"/>
    <s v="Electro"/>
    <s v="Audifonos BT"/>
    <n v="61.647756766777903"/>
  </r>
  <r>
    <s v="ORD-2948"/>
    <d v="2026-08-06T00:00:00"/>
    <s v="Cali"/>
    <s v="CD Sur"/>
    <s v="Tienda Fisica"/>
    <s v="Moda"/>
    <s v="Vestido Formal"/>
    <n v="61.708713385242902"/>
  </r>
  <r>
    <s v="ORD-2949"/>
    <d v="2026-08-07T00:00:00"/>
    <s v="Pasto"/>
    <s v="CD Norte (Pasto)"/>
    <s v="Online"/>
    <s v="Hogar"/>
    <s v="Lámpara LED"/>
    <n v="61.769670003707802"/>
  </r>
  <r>
    <s v="ORD-2950"/>
    <d v="2026-08-07T00:00:00"/>
    <s v="Bogota"/>
    <s v="CD Centro"/>
    <s v="Tienda Fisica"/>
    <s v="Calzado"/>
    <s v="Zapatos Formales"/>
    <n v="61.830626622172801"/>
  </r>
  <r>
    <s v="ORD-2951"/>
    <d v="2026-08-07T00:00:00"/>
    <s v="Cali"/>
    <s v="CD Sur"/>
    <s v="Online"/>
    <s v="Electro"/>
    <s v="Consola Videojuegos"/>
    <n v="61.891583240637701"/>
  </r>
  <r>
    <s v="ORD-2952"/>
    <d v="2026-08-08T00:00:00"/>
    <s v="Pasto"/>
    <s v="CD Norte (Pasto)"/>
    <s v="Online"/>
    <s v="Moda"/>
    <s v="Chaqueta Impermeable"/>
    <n v="61.9525398591027"/>
  </r>
  <r>
    <s v="ORD-2953"/>
    <d v="2026-08-08T00:00:00"/>
    <s v="Bogota"/>
    <s v="CD Centro"/>
    <s v="Online"/>
    <s v="Hogar"/>
    <s v="Silla Ergonomica"/>
    <n v="62.013496477567699"/>
  </r>
  <r>
    <s v="ORD-2954"/>
    <d v="2026-08-08T00:00:00"/>
    <s v="Cali"/>
    <s v="CD Sur"/>
    <s v="Tienda Fisica"/>
    <s v="Calzado"/>
    <s v="Tenis Deportivo"/>
    <n v="62.074453096032599"/>
  </r>
  <r>
    <s v="ORD-2955"/>
    <d v="2026-08-09T00:00:00"/>
    <s v="Pasto"/>
    <s v="CD Norte (Pasto)"/>
    <s v="Tienda Fisica"/>
    <s v="Electro"/>
    <s v="Monitor 58"/>
    <n v="62.135409714497598"/>
  </r>
  <r>
    <s v="ORD-2956"/>
    <d v="2026-08-09T00:00:00"/>
    <s v="Bogota"/>
    <s v="CD Centro"/>
    <s v="Online"/>
    <s v="Moda"/>
    <s v="Buzo Hooded"/>
    <n v="62.196366332962597"/>
  </r>
  <r>
    <s v="ORD-2957"/>
    <d v="2026-08-09T00:00:00"/>
    <s v="Cali"/>
    <s v="CD Sur"/>
    <s v="Online"/>
    <s v="Hogar"/>
    <s v="Cama King"/>
    <n v="62.257322951427497"/>
  </r>
  <r>
    <s v="ORD-2958"/>
    <d v="2026-08-10T00:00:00"/>
    <s v="Pasto"/>
    <s v="CD Norte (Pasto)"/>
    <s v="Online"/>
    <s v="Calzado"/>
    <s v="Botines Cuero"/>
    <n v="62.318279569892503"/>
  </r>
  <r>
    <s v="ORD-2959"/>
    <d v="2026-08-10T00:00:00"/>
    <s v="Bogota"/>
    <s v="CD Centro"/>
    <s v="Tienda Fisica"/>
    <s v="Electro"/>
    <s v="Teclado Mecanico"/>
    <n v="62.379236188357403"/>
  </r>
  <r>
    <s v="ORD-2960"/>
    <d v="2026-08-10T00:00:00"/>
    <s v="Cali"/>
    <s v="CD Sur"/>
    <s v="Online"/>
    <s v="Moda"/>
    <s v="Pantalón Cargo"/>
    <n v="62.440192806822402"/>
  </r>
  <r>
    <s v="ORD-2961"/>
    <d v="2026-08-01T00:00:00"/>
    <s v="Pasto"/>
    <s v="CD Norte (Pasto)"/>
    <s v="Online"/>
    <s v="Electro"/>
    <s v="Laptop Pro 47"/>
    <n v="62.501149425287402"/>
  </r>
  <r>
    <s v="ORD-2962"/>
    <d v="2026-08-01T00:00:00"/>
    <s v="Bogota"/>
    <s v="CD Centro"/>
    <s v="Tienda Fisica"/>
    <s v="Moda"/>
    <s v="Chaqueta Cuero"/>
    <n v="62.562106043752301"/>
  </r>
  <r>
    <s v="ORD-2963"/>
    <d v="2026-08-01T00:00:00"/>
    <s v="Cali"/>
    <s v="CD Sur"/>
    <s v="Online"/>
    <s v="Hogar"/>
    <s v="Cafetera Express"/>
    <n v="62.623062662217301"/>
  </r>
  <r>
    <s v="ORD-2964"/>
    <d v="2026-08-02T00:00:00"/>
    <s v="Pasto"/>
    <s v="CD Norte (Pasto)"/>
    <s v="Tienda Fisica"/>
    <s v="Calzado"/>
    <s v="Tenis Running"/>
    <n v="62.6840192806822"/>
  </r>
  <r>
    <s v="ORD-2965"/>
    <d v="2026-08-02T00:00:00"/>
    <s v="Bogota"/>
    <s v="CD Centro"/>
    <s v="Online"/>
    <s v="Electro"/>
    <s v="Smartphone X"/>
    <n v="62.7449758991472"/>
  </r>
  <r>
    <s v="ORD-2966"/>
    <d v="2026-08-02T00:00:00"/>
    <s v="Cali"/>
    <s v="CD Sur"/>
    <s v="Online"/>
    <s v="Moda"/>
    <s v="Jean Slim Fit"/>
    <n v="62.805932517612199"/>
  </r>
  <r>
    <s v="ORD-2967"/>
    <d v="2026-08-03T00:00:00"/>
    <s v="Pasto"/>
    <s v="CD Norte (Pasto)"/>
    <s v="Online"/>
    <s v="Hogar"/>
    <s v="Aspiradora Robot"/>
    <n v="62.866889136077098"/>
  </r>
  <r>
    <s v="ORD-2968"/>
    <d v="2026-08-03T00:00:00"/>
    <s v="Bogota"/>
    <s v="CD Centro"/>
    <s v="Tienda Fisica"/>
    <s v="Calzado"/>
    <s v="Botas Moto"/>
    <n v="62.927845754542098"/>
  </r>
  <r>
    <s v="ORD-2969"/>
    <d v="2026-08-03T00:00:00"/>
    <s v="Cali"/>
    <s v="CD Sur"/>
    <s v="Online"/>
    <s v="Electro"/>
    <s v="Smart TV 87"/>
    <n v="62.988802373006997"/>
  </r>
  <r>
    <s v="ORD-2970"/>
    <d v="2026-08-04T00:00:00"/>
    <s v="Pasto"/>
    <s v="CD Norte (Pasto)"/>
    <s v="Tienda Fisica"/>
    <s v="Moda"/>
    <s v="Camisa Lino"/>
    <n v="63.049758991471997"/>
  </r>
  <r>
    <s v="ORD-2971"/>
    <d v="2026-08-04T00:00:00"/>
    <s v="Bogota"/>
    <s v="CD Centro"/>
    <s v="Online"/>
    <s v="Hogar"/>
    <s v="Juego Comedor"/>
    <n v="63.110715609937003"/>
  </r>
  <r>
    <s v="ORD-2972"/>
    <d v="2026-08-04T00:00:00"/>
    <s v="Cali"/>
    <s v="CD Sur"/>
    <s v="Tienda Fisica"/>
    <s v="Calzado"/>
    <s v="Sandalias"/>
    <n v="63.171672228401903"/>
  </r>
  <r>
    <s v="ORD-2973"/>
    <d v="2026-08-05T00:00:00"/>
    <s v="Pasto"/>
    <s v="CD Norte (Pasto)"/>
    <s v="Online"/>
    <s v="Electro"/>
    <s v="Tablet 42"/>
    <n v="63.232628846866902"/>
  </r>
  <r>
    <s v="ORD-2974"/>
    <d v="2026-08-05T00:00:00"/>
    <s v="Bogota"/>
    <s v="CD Centro"/>
    <s v="Online"/>
    <s v="Moda"/>
    <s v="Saco Lana"/>
    <n v="63.293585465331901"/>
  </r>
  <r>
    <s v="ORD-2975"/>
    <d v="2026-08-05T00:00:00"/>
    <s v="Cali"/>
    <s v="CD Sur"/>
    <s v="Online"/>
    <s v="Hogar"/>
    <s v="Escritorio Pro"/>
    <n v="63.354542083796801"/>
  </r>
  <r>
    <s v="ORD-2976"/>
    <d v="2026-08-06T00:00:00"/>
    <s v="Pasto"/>
    <s v="CD Norte (Pasto)"/>
    <s v="Tienda Fisica"/>
    <s v="Calzado"/>
    <s v="Tenis Urbano"/>
    <n v="63.4154987022618"/>
  </r>
  <r>
    <s v="ORD-2977"/>
    <d v="2026-08-06T00:00:00"/>
    <s v="Bogota"/>
    <s v="CD Centro"/>
    <s v="Online"/>
    <s v="Electro"/>
    <s v="Audifonos BT"/>
    <n v="63.4764553207267"/>
  </r>
  <r>
    <s v="ORD-2978"/>
    <d v="2026-08-06T00:00:00"/>
    <s v="Cali"/>
    <s v="CD Sur"/>
    <s v="Tienda Fisica"/>
    <s v="Moda"/>
    <s v="Vestido Formal"/>
    <n v="63.537411939191699"/>
  </r>
  <r>
    <s v="ORD-2979"/>
    <d v="2026-08-07T00:00:00"/>
    <s v="Pasto"/>
    <s v="CD Norte (Pasto)"/>
    <s v="Online"/>
    <s v="Hogar"/>
    <s v="Lámpara LED"/>
    <n v="63.598368557656698"/>
  </r>
  <r>
    <s v="ORD-2980"/>
    <d v="2026-08-07T00:00:00"/>
    <s v="Bogota"/>
    <s v="CD Centro"/>
    <s v="Tienda Fisica"/>
    <s v="Calzado"/>
    <s v="Zapatos Formales"/>
    <n v="63.659325176121598"/>
  </r>
  <r>
    <s v="ORD-2981"/>
    <d v="2026-08-07T00:00:00"/>
    <s v="Cali"/>
    <s v="CD Sur"/>
    <s v="Online"/>
    <s v="Electro"/>
    <s v="Consola Videojuegos"/>
    <n v="63.720281794586597"/>
  </r>
  <r>
    <s v="ORD-2982"/>
    <d v="2026-08-08T00:00:00"/>
    <s v="Pasto"/>
    <s v="CD Norte (Pasto)"/>
    <s v="Online"/>
    <s v="Moda"/>
    <s v="Chaqueta Impermeable"/>
    <n v="63.781238413051497"/>
  </r>
  <r>
    <s v="ORD-2983"/>
    <d v="2026-08-08T00:00:00"/>
    <s v="Bogota"/>
    <s v="CD Centro"/>
    <s v="Online"/>
    <s v="Hogar"/>
    <s v="Silla Ergonomica"/>
    <n v="63.842195031516503"/>
  </r>
  <r>
    <s v="ORD-2984"/>
    <d v="2026-08-08T00:00:00"/>
    <s v="Cali"/>
    <s v="CD Sur"/>
    <s v="Tienda Fisica"/>
    <s v="Calzado"/>
    <s v="Tenis Deportivo"/>
    <n v="63.903151649981503"/>
  </r>
  <r>
    <s v="ORD-2985"/>
    <d v="2026-08-09T00:00:00"/>
    <s v="Pasto"/>
    <s v="CD Norte (Pasto)"/>
    <s v="Tienda Fisica"/>
    <s v="Electro"/>
    <s v="Monitor 59"/>
    <n v="63.964108268446402"/>
  </r>
  <r>
    <s v="ORD-2986"/>
    <d v="2026-08-09T00:00:00"/>
    <s v="Bogota"/>
    <s v="CD Centro"/>
    <s v="Online"/>
    <s v="Moda"/>
    <s v="Buzo Hooded"/>
    <n v="64.025064886911395"/>
  </r>
  <r>
    <s v="ORD-2987"/>
    <d v="2026-08-09T00:00:00"/>
    <s v="Cali"/>
    <s v="CD Sur"/>
    <s v="Online"/>
    <s v="Hogar"/>
    <s v="Cama King"/>
    <n v="64.086021505376294"/>
  </r>
  <r>
    <s v="ORD-2988"/>
    <d v="2026-08-10T00:00:00"/>
    <s v="Pasto"/>
    <s v="CD Norte (Pasto)"/>
    <s v="Online"/>
    <s v="Calzado"/>
    <s v="Botines Cuero"/>
    <n v="64.146978123841293"/>
  </r>
  <r>
    <s v="ORD-2989"/>
    <d v="2026-08-10T00:00:00"/>
    <s v="Bogota"/>
    <s v="CD Centro"/>
    <s v="Tienda Fisica"/>
    <s v="Electro"/>
    <s v="Teclado Mecanico"/>
    <n v="64.207934742306307"/>
  </r>
  <r>
    <s v="ORD-2990"/>
    <d v="2026-08-10T00:00:00"/>
    <s v="Cali"/>
    <s v="CD Sur"/>
    <s v="Online"/>
    <s v="Moda"/>
    <s v="Pantalón Cargo"/>
    <n v="64.268891360771207"/>
  </r>
  <r>
    <s v="ORD-2991"/>
    <d v="2026-08-01T00:00:00"/>
    <s v="Pasto"/>
    <s v="CD Norte (Pasto)"/>
    <s v="Online"/>
    <s v="Electro"/>
    <s v="Laptop Pro 48"/>
    <n v="64.329847979236206"/>
  </r>
  <r>
    <s v="ORD-2992"/>
    <d v="2026-08-01T00:00:00"/>
    <s v="Bogota"/>
    <s v="CD Centro"/>
    <s v="Tienda Fisica"/>
    <s v="Moda"/>
    <s v="Chaqueta Cuero"/>
    <n v="64.390804597701205"/>
  </r>
  <r>
    <s v="ORD-2993"/>
    <d v="2026-08-01T00:00:00"/>
    <s v="Cali"/>
    <s v="CD Sur"/>
    <s v="Online"/>
    <s v="Hogar"/>
    <s v="Cafetera Express"/>
    <n v="64.451761216166105"/>
  </r>
  <r>
    <s v="ORD-2994"/>
    <d v="2026-08-02T00:00:00"/>
    <s v="Pasto"/>
    <s v="CD Norte (Pasto)"/>
    <s v="Tienda Fisica"/>
    <s v="Calzado"/>
    <s v="Tenis Running"/>
    <n v="64.512717834631104"/>
  </r>
  <r>
    <s v="ORD-2995"/>
    <d v="2026-08-02T00:00:00"/>
    <s v="Bogota"/>
    <s v="CD Centro"/>
    <s v="Online"/>
    <s v="Electro"/>
    <s v="Smartphone X"/>
    <n v="64.573674453096004"/>
  </r>
  <r>
    <s v="ORD-2996"/>
    <d v="2026-08-02T00:00:00"/>
    <s v="Cali"/>
    <s v="CD Sur"/>
    <s v="Online"/>
    <s v="Moda"/>
    <s v="Jean Slim Fit"/>
    <n v="64.634631071561003"/>
  </r>
  <r>
    <s v="ORD-2997"/>
    <d v="2026-08-03T00:00:00"/>
    <s v="Pasto"/>
    <s v="CD Norte (Pasto)"/>
    <s v="Online"/>
    <s v="Hogar"/>
    <s v="Aspiradora Robot"/>
    <n v="64.695587690026002"/>
  </r>
  <r>
    <s v="ORD-2998"/>
    <d v="2026-08-03T00:00:00"/>
    <s v="Bogota"/>
    <s v="CD Centro"/>
    <s v="Tienda Fisica"/>
    <s v="Calzado"/>
    <s v="Botas Moto"/>
    <n v="64.756544308490902"/>
  </r>
  <r>
    <s v="ORD-2999"/>
    <d v="2026-08-03T00:00:00"/>
    <s v="Cali"/>
    <s v="CD Sur"/>
    <s v="Online"/>
    <s v="Electro"/>
    <s v="Smart TV 88"/>
    <n v="64.817500926955901"/>
  </r>
  <r>
    <s v="ORD-3000"/>
    <d v="2026-08-04T00:00:00"/>
    <s v="Pasto"/>
    <s v="CD Norte (Pasto)"/>
    <s v="Tienda Fisica"/>
    <s v="Moda"/>
    <s v="Camisa Lino"/>
    <n v="64.878457545420801"/>
  </r>
  <r>
    <s v="ORD-3001"/>
    <d v="2026-08-04T00:00:00"/>
    <s v="Bogota"/>
    <s v="CD Centro"/>
    <s v="Online"/>
    <s v="Hogar"/>
    <s v="Juego Comedor"/>
    <n v="64.9394141638858"/>
  </r>
  <r>
    <s v="ORD-3002"/>
    <d v="2026-08-04T00:00:00"/>
    <s v="Cali"/>
    <s v="CD Sur"/>
    <s v="Tienda Fisica"/>
    <s v="Calzado"/>
    <s v="Sandalias"/>
    <n v="65.000370782350799"/>
  </r>
  <r>
    <s v="ORD-3003"/>
    <d v="2026-08-05T00:00:00"/>
    <s v="Pasto"/>
    <s v="CD Norte (Pasto)"/>
    <s v="Online"/>
    <s v="Electro"/>
    <s v="Tablet 43"/>
    <n v="65.061327400815699"/>
  </r>
  <r>
    <s v="ORD-3004"/>
    <d v="2026-08-05T00:00:00"/>
    <s v="Bogota"/>
    <s v="CD Centro"/>
    <s v="Online"/>
    <s v="Moda"/>
    <s v="Saco Lana"/>
    <n v="65.122284019280698"/>
  </r>
  <r>
    <s v="ORD-3005"/>
    <d v="2026-08-05T00:00:00"/>
    <s v="Cali"/>
    <s v="CD Sur"/>
    <s v="Online"/>
    <s v="Hogar"/>
    <s v="Escritorio Pro"/>
    <n v="65.183240637745598"/>
  </r>
  <r>
    <s v="ORD-3006"/>
    <d v="2026-08-06T00:00:00"/>
    <s v="Pasto"/>
    <s v="CD Norte (Pasto)"/>
    <s v="Tienda Fisica"/>
    <s v="Calzado"/>
    <s v="Tenis Urbano"/>
    <n v="65.244197256210597"/>
  </r>
  <r>
    <s v="ORD-3007"/>
    <d v="2026-08-06T00:00:00"/>
    <s v="Bogota"/>
    <s v="CD Centro"/>
    <s v="Online"/>
    <s v="Electro"/>
    <s v="Audifonos BT"/>
    <n v="65.305153874675597"/>
  </r>
  <r>
    <s v="ORD-3008"/>
    <d v="2026-08-06T00:00:00"/>
    <s v="Cali"/>
    <s v="CD Sur"/>
    <s v="Tienda Fisica"/>
    <s v="Moda"/>
    <s v="Vestido Formal"/>
    <n v="65.366110493140496"/>
  </r>
  <r>
    <s v="ORD-3009"/>
    <d v="2026-08-07T00:00:00"/>
    <s v="Pasto"/>
    <s v="CD Norte (Pasto)"/>
    <s v="Online"/>
    <s v="Hogar"/>
    <s v="Lámpara LED"/>
    <n v="65.427067111605496"/>
  </r>
  <r>
    <s v="ORD-3010"/>
    <d v="2026-08-07T00:00:00"/>
    <s v="Bogota"/>
    <s v="CD Centro"/>
    <s v="Tienda Fisica"/>
    <s v="Calzado"/>
    <s v="Zapatos Formales"/>
    <n v="65.488023730070395"/>
  </r>
  <r>
    <s v="ORD-3011"/>
    <d v="2026-08-07T00:00:00"/>
    <s v="Cali"/>
    <s v="CD Sur"/>
    <s v="Online"/>
    <s v="Electro"/>
    <s v="Consola Videojuegos"/>
    <n v="65.548980348535395"/>
  </r>
  <r>
    <s v="ORD-3012"/>
    <d v="2026-08-08T00:00:00"/>
    <s v="Pasto"/>
    <s v="CD Norte (Pasto)"/>
    <s v="Online"/>
    <s v="Moda"/>
    <s v="Chaqueta Impermeable"/>
    <n v="65.609936967000394"/>
  </r>
  <r>
    <s v="ORD-3013"/>
    <d v="2026-08-08T00:00:00"/>
    <s v="Bogota"/>
    <s v="CD Centro"/>
    <s v="Online"/>
    <s v="Hogar"/>
    <s v="Silla Ergonomica"/>
    <n v="65.670893585465294"/>
  </r>
  <r>
    <s v="ORD-3014"/>
    <d v="2026-08-08T00:00:00"/>
    <s v="Cali"/>
    <s v="CD Sur"/>
    <s v="Tienda Fisica"/>
    <s v="Calzado"/>
    <s v="Tenis Deportivo"/>
    <n v="65.731850203930307"/>
  </r>
  <r>
    <s v="ORD-3015"/>
    <d v="2026-08-09T00:00:00"/>
    <s v="Pasto"/>
    <s v="CD Norte (Pasto)"/>
    <s v="Tienda Fisica"/>
    <s v="Electro"/>
    <s v="Monitor 60"/>
    <n v="65.792806822395306"/>
  </r>
  <r>
    <s v="ORD-3016"/>
    <d v="2026-08-09T00:00:00"/>
    <s v="Bogota"/>
    <s v="CD Centro"/>
    <s v="Online"/>
    <s v="Moda"/>
    <s v="Buzo Hooded"/>
    <n v="65.853763440860206"/>
  </r>
  <r>
    <s v="ORD-3017"/>
    <d v="2026-08-09T00:00:00"/>
    <s v="Cali"/>
    <s v="CD Sur"/>
    <s v="Online"/>
    <s v="Hogar"/>
    <s v="Cama King"/>
    <n v="65.914720059325205"/>
  </r>
  <r>
    <s v="ORD-3018"/>
    <d v="2026-08-10T00:00:00"/>
    <s v="Pasto"/>
    <s v="CD Norte (Pasto)"/>
    <s v="Online"/>
    <s v="Calzado"/>
    <s v="Botines Cuero"/>
    <n v="65.975676677790105"/>
  </r>
  <r>
    <s v="ORD-3019"/>
    <d v="2026-08-10T00:00:00"/>
    <s v="Bogota"/>
    <s v="CD Centro"/>
    <s v="Tienda Fisica"/>
    <s v="Electro"/>
    <s v="Teclado Mecanico"/>
    <n v="66.036633296255104"/>
  </r>
  <r>
    <s v="ORD-3020"/>
    <d v="2026-08-10T00:00:00"/>
    <s v="Cali"/>
    <s v="CD Sur"/>
    <s v="Online"/>
    <s v="Moda"/>
    <s v="Pantalón Cargo"/>
    <n v="66.097589914720103"/>
  </r>
  <r>
    <s v="ORD-3021"/>
    <d v="2026-08-01T00:00:00"/>
    <s v="Pasto"/>
    <s v="CD Norte (Pasto)"/>
    <s v="Online"/>
    <s v="Electro"/>
    <s v="Laptop Pro 49"/>
    <n v="66.158546533185003"/>
  </r>
  <r>
    <s v="ORD-3022"/>
    <d v="2026-08-01T00:00:00"/>
    <s v="Bogota"/>
    <s v="CD Centro"/>
    <s v="Tienda Fisica"/>
    <s v="Moda"/>
    <s v="Chaqueta Cuero"/>
    <n v="66.219503151650002"/>
  </r>
  <r>
    <s v="ORD-3023"/>
    <d v="2026-08-01T00:00:00"/>
    <s v="Cali"/>
    <s v="CD Sur"/>
    <s v="Online"/>
    <s v="Hogar"/>
    <s v="Cafetera Express"/>
    <n v="66.280459770114902"/>
  </r>
  <r>
    <s v="ORD-3024"/>
    <d v="2026-08-02T00:00:00"/>
    <s v="Pasto"/>
    <s v="CD Norte (Pasto)"/>
    <s v="Tienda Fisica"/>
    <s v="Calzado"/>
    <s v="Tenis Running"/>
    <n v="66.341416388579901"/>
  </r>
  <r>
    <s v="ORD-3025"/>
    <d v="2026-08-02T00:00:00"/>
    <s v="Bogota"/>
    <s v="CD Centro"/>
    <s v="Online"/>
    <s v="Electro"/>
    <s v="Smartphone X"/>
    <n v="66.402373007044901"/>
  </r>
  <r>
    <s v="ORD-3026"/>
    <d v="2026-08-02T00:00:00"/>
    <s v="Cali"/>
    <s v="CD Sur"/>
    <s v="Online"/>
    <s v="Moda"/>
    <s v="Jean Slim Fit"/>
    <n v="66.4633296255098"/>
  </r>
  <r>
    <s v="ORD-3027"/>
    <d v="2026-08-03T00:00:00"/>
    <s v="Pasto"/>
    <s v="CD Norte (Pasto)"/>
    <s v="Online"/>
    <s v="Hogar"/>
    <s v="Aspiradora Robot"/>
    <n v="66.5242862439748"/>
  </r>
  <r>
    <s v="ORD-3028"/>
    <d v="2026-08-03T00:00:00"/>
    <s v="Bogota"/>
    <s v="CD Centro"/>
    <s v="Tienda Fisica"/>
    <s v="Calzado"/>
    <s v="Botas Moto"/>
    <n v="66.585242862439799"/>
  </r>
  <r>
    <s v="ORD-3029"/>
    <d v="2026-08-03T00:00:00"/>
    <s v="Cali"/>
    <s v="CD Sur"/>
    <s v="Online"/>
    <s v="Electro"/>
    <s v="Smart TV 89"/>
    <n v="66.646199480904698"/>
  </r>
  <r>
    <s v="ORD-3030"/>
    <d v="2026-08-04T00:00:00"/>
    <s v="Pasto"/>
    <s v="CD Norte (Pasto)"/>
    <s v="Tienda Fisica"/>
    <s v="Moda"/>
    <s v="Camisa Lino"/>
    <n v="66.707156099369698"/>
  </r>
  <r>
    <s v="ORD-3031"/>
    <d v="2026-08-04T00:00:00"/>
    <s v="Bogota"/>
    <s v="CD Centro"/>
    <s v="Online"/>
    <s v="Hogar"/>
    <s v="Juego Comedor"/>
    <n v="66.768112717834597"/>
  </r>
  <r>
    <s v="ORD-3032"/>
    <d v="2026-08-04T00:00:00"/>
    <s v="Cali"/>
    <s v="CD Sur"/>
    <s v="Tienda Fisica"/>
    <s v="Calzado"/>
    <s v="Sandalias"/>
    <n v="66.829069336299597"/>
  </r>
  <r>
    <s v="ORD-3033"/>
    <d v="2026-08-05T00:00:00"/>
    <s v="Pasto"/>
    <s v="CD Norte (Pasto)"/>
    <s v="Online"/>
    <s v="Electro"/>
    <s v="Tablet 44"/>
    <n v="66.890025954764596"/>
  </r>
  <r>
    <s v="ORD-3034"/>
    <d v="2026-08-05T00:00:00"/>
    <s v="Bogota"/>
    <s v="CD Centro"/>
    <s v="Online"/>
    <s v="Moda"/>
    <s v="Saco Lana"/>
    <n v="66.950982573229496"/>
  </r>
  <r>
    <s v="ORD-3035"/>
    <d v="2026-08-05T00:00:00"/>
    <s v="Cali"/>
    <s v="CD Sur"/>
    <s v="Online"/>
    <s v="Hogar"/>
    <s v="Escritorio Pro"/>
    <n v="67.011939191694495"/>
  </r>
  <r>
    <s v="ORD-3036"/>
    <d v="2026-08-06T00:00:00"/>
    <s v="Pasto"/>
    <s v="CD Norte (Pasto)"/>
    <s v="Tienda Fisica"/>
    <s v="Calzado"/>
    <s v="Tenis Urbano"/>
    <n v="67.072895810159395"/>
  </r>
  <r>
    <s v="ORD-3037"/>
    <d v="2026-08-06T00:00:00"/>
    <s v="Bogota"/>
    <s v="CD Centro"/>
    <s v="Online"/>
    <s v="Electro"/>
    <s v="Audifonos BT"/>
    <n v="67.133852428624394"/>
  </r>
  <r>
    <s v="ORD-3038"/>
    <d v="2026-08-06T00:00:00"/>
    <s v="Cali"/>
    <s v="CD Sur"/>
    <s v="Tienda Fisica"/>
    <s v="Moda"/>
    <s v="Vestido Formal"/>
    <n v="67.194809047089393"/>
  </r>
  <r>
    <s v="ORD-3039"/>
    <d v="2026-08-07T00:00:00"/>
    <s v="Pasto"/>
    <s v="CD Norte (Pasto)"/>
    <s v="Online"/>
    <s v="Hogar"/>
    <s v="Lámpara LED"/>
    <n v="67.255765665554307"/>
  </r>
  <r>
    <s v="ORD-3040"/>
    <d v="2026-08-07T00:00:00"/>
    <s v="Bogota"/>
    <s v="CD Centro"/>
    <s v="Tienda Fisica"/>
    <s v="Calzado"/>
    <s v="Zapatos Formales"/>
    <n v="67.316722284019306"/>
  </r>
  <r>
    <s v="ORD-3041"/>
    <d v="2026-08-07T00:00:00"/>
    <s v="Cali"/>
    <s v="CD Sur"/>
    <s v="Online"/>
    <s v="Electro"/>
    <s v="Consola Videojuegos"/>
    <n v="67.377678902484206"/>
  </r>
  <r>
    <s v="ORD-3042"/>
    <d v="2026-08-08T00:00:00"/>
    <s v="Pasto"/>
    <s v="CD Norte (Pasto)"/>
    <s v="Online"/>
    <s v="Moda"/>
    <s v="Chaqueta Impermeable"/>
    <n v="67.438635520949205"/>
  </r>
  <r>
    <s v="ORD-3043"/>
    <d v="2026-08-08T00:00:00"/>
    <s v="Bogota"/>
    <s v="CD Centro"/>
    <s v="Online"/>
    <s v="Hogar"/>
    <s v="Silla Ergonomica"/>
    <n v="67.499592139414204"/>
  </r>
  <r>
    <s v="ORD-3044"/>
    <d v="2026-08-08T00:00:00"/>
    <s v="Cali"/>
    <s v="CD Sur"/>
    <s v="Tienda Fisica"/>
    <s v="Calzado"/>
    <s v="Tenis Deportivo"/>
    <n v="67.560548757879104"/>
  </r>
  <r>
    <s v="ORD-3045"/>
    <d v="2026-08-09T00:00:00"/>
    <s v="Pasto"/>
    <s v="CD Norte (Pasto)"/>
    <s v="Tienda Fisica"/>
    <s v="Electro"/>
    <s v="Monitor 61"/>
    <n v="67.621505376344103"/>
  </r>
  <r>
    <s v="ORD-3046"/>
    <d v="2026-08-09T00:00:00"/>
    <s v="Bogota"/>
    <s v="CD Centro"/>
    <s v="Online"/>
    <s v="Moda"/>
    <s v="Buzo Hooded"/>
    <n v="67.682461994809003"/>
  </r>
  <r>
    <s v="ORD-3047"/>
    <d v="2026-08-09T00:00:00"/>
    <s v="Cali"/>
    <s v="CD Sur"/>
    <s v="Online"/>
    <s v="Hogar"/>
    <s v="Cama King"/>
    <n v="67.743418613274002"/>
  </r>
  <r>
    <s v="ORD-3048"/>
    <d v="2026-08-10T00:00:00"/>
    <s v="Pasto"/>
    <s v="CD Norte (Pasto)"/>
    <s v="Online"/>
    <s v="Calzado"/>
    <s v="Botines Cuero"/>
    <n v="67.804375231739002"/>
  </r>
  <r>
    <s v="ORD-3049"/>
    <d v="2026-08-10T00:00:00"/>
    <s v="Bogota"/>
    <s v="CD Centro"/>
    <s v="Tienda Fisica"/>
    <s v="Electro"/>
    <s v="Teclado Mecanico"/>
    <n v="67.865331850203901"/>
  </r>
  <r>
    <s v="ORD-3050"/>
    <d v="2026-08-10T00:00:00"/>
    <s v="Cali"/>
    <s v="CD Sur"/>
    <s v="Online"/>
    <s v="Moda"/>
    <s v="Pantalón Cargo"/>
    <n v="67.926288468668901"/>
  </r>
  <r>
    <s v="ORD-3051"/>
    <d v="2026-08-01T00:00:00"/>
    <s v="Pasto"/>
    <s v="CD Norte (Pasto)"/>
    <s v="Online"/>
    <s v="Electro"/>
    <s v="Laptop Pro 50"/>
    <n v="67.9872450871339"/>
  </r>
  <r>
    <s v="ORD-3052"/>
    <d v="2026-08-01T00:00:00"/>
    <s v="Bogota"/>
    <s v="CD Centro"/>
    <s v="Tienda Fisica"/>
    <s v="Moda"/>
    <s v="Chaqueta Cuero"/>
    <n v="68.0482017055988"/>
  </r>
  <r>
    <s v="ORD-3053"/>
    <d v="2026-08-01T00:00:00"/>
    <s v="Cali"/>
    <s v="CD Sur"/>
    <s v="Online"/>
    <s v="Hogar"/>
    <s v="Cafetera Express"/>
    <n v="68.109158324063799"/>
  </r>
  <r>
    <s v="ORD-3054"/>
    <d v="2026-08-02T00:00:00"/>
    <s v="Pasto"/>
    <s v="CD Norte (Pasto)"/>
    <s v="Tienda Fisica"/>
    <s v="Calzado"/>
    <s v="Tenis Running"/>
    <n v="68.170114942528699"/>
  </r>
  <r>
    <s v="ORD-3055"/>
    <d v="2026-08-02T00:00:00"/>
    <s v="Bogota"/>
    <s v="CD Centro"/>
    <s v="Online"/>
    <s v="Electro"/>
    <s v="Smartphone X"/>
    <n v="68.231071560993698"/>
  </r>
  <r>
    <s v="ORD-3056"/>
    <d v="2026-08-02T00:00:00"/>
    <s v="Cali"/>
    <s v="CD Sur"/>
    <s v="Online"/>
    <s v="Moda"/>
    <s v="Jean Slim Fit"/>
    <n v="68.292028179458697"/>
  </r>
  <r>
    <s v="ORD-3057"/>
    <d v="2026-08-03T00:00:00"/>
    <s v="Pasto"/>
    <s v="CD Norte (Pasto)"/>
    <s v="Online"/>
    <s v="Hogar"/>
    <s v="Aspiradora Robot"/>
    <n v="68.352984797923597"/>
  </r>
  <r>
    <s v="ORD-3058"/>
    <d v="2026-08-03T00:00:00"/>
    <s v="Bogota"/>
    <s v="CD Centro"/>
    <s v="Tienda Fisica"/>
    <s v="Calzado"/>
    <s v="Botas Moto"/>
    <n v="68.413941416388596"/>
  </r>
  <r>
    <s v="ORD-3059"/>
    <d v="2026-08-03T00:00:00"/>
    <s v="Cali"/>
    <s v="CD Sur"/>
    <s v="Online"/>
    <s v="Electro"/>
    <s v="Smart TV 90"/>
    <n v="68.474898034853496"/>
  </r>
  <r>
    <s v="ORD-3060"/>
    <d v="2026-08-04T00:00:00"/>
    <s v="Pasto"/>
    <s v="CD Norte (Pasto)"/>
    <s v="Tienda Fisica"/>
    <s v="Moda"/>
    <s v="Camisa Lino"/>
    <n v="68.535854653318495"/>
  </r>
  <r>
    <s v="ORD-3061"/>
    <d v="2026-08-04T00:00:00"/>
    <s v="Bogota"/>
    <s v="CD Centro"/>
    <s v="Online"/>
    <s v="Hogar"/>
    <s v="Juego Comedor"/>
    <n v="68.596811271783494"/>
  </r>
  <r>
    <s v="ORD-3062"/>
    <d v="2026-08-04T00:00:00"/>
    <s v="Cali"/>
    <s v="CD Sur"/>
    <s v="Tienda Fisica"/>
    <s v="Calzado"/>
    <s v="Sandalias"/>
    <n v="68.657767890248394"/>
  </r>
  <r>
    <s v="ORD-3063"/>
    <d v="2026-08-05T00:00:00"/>
    <s v="Pasto"/>
    <s v="CD Norte (Pasto)"/>
    <s v="Online"/>
    <s v="Electro"/>
    <s v="Tablet 45"/>
    <n v="68.718724508713393"/>
  </r>
  <r>
    <s v="ORD-3064"/>
    <d v="2026-08-05T00:00:00"/>
    <s v="Bogota"/>
    <s v="CD Centro"/>
    <s v="Online"/>
    <s v="Moda"/>
    <s v="Saco Lana"/>
    <n v="68.779681127178307"/>
  </r>
  <r>
    <s v="ORD-3065"/>
    <d v="2026-08-05T00:00:00"/>
    <s v="Cali"/>
    <s v="CD Sur"/>
    <s v="Online"/>
    <s v="Hogar"/>
    <s v="Escritorio Pro"/>
    <n v="68.840637745643306"/>
  </r>
  <r>
    <s v="ORD-3066"/>
    <d v="2026-08-06T00:00:00"/>
    <s v="Pasto"/>
    <s v="CD Norte (Pasto)"/>
    <s v="Tienda Fisica"/>
    <s v="Calzado"/>
    <s v="Tenis Urbano"/>
    <n v="68.901594364108306"/>
  </r>
  <r>
    <s v="ORD-3067"/>
    <d v="2026-08-06T00:00:00"/>
    <s v="Bogota"/>
    <s v="CD Centro"/>
    <s v="Online"/>
    <s v="Electro"/>
    <s v="Audifonos BT"/>
    <n v="68.962550982573205"/>
  </r>
  <r>
    <s v="ORD-3068"/>
    <d v="2026-08-06T00:00:00"/>
    <s v="Cali"/>
    <s v="CD Sur"/>
    <s v="Tienda Fisica"/>
    <s v="Moda"/>
    <s v="Vestido Formal"/>
    <n v="69.023507601038204"/>
  </r>
  <r>
    <s v="ORD-3069"/>
    <d v="2026-08-07T00:00:00"/>
    <s v="Pasto"/>
    <s v="CD Norte (Pasto)"/>
    <s v="Online"/>
    <s v="Hogar"/>
    <s v="Lámpara LED"/>
    <n v="69.084464219503204"/>
  </r>
  <r>
    <s v="ORD-3070"/>
    <d v="2026-08-07T00:00:00"/>
    <s v="Bogota"/>
    <s v="CD Centro"/>
    <s v="Tienda Fisica"/>
    <s v="Calzado"/>
    <s v="Zapatos Formales"/>
    <n v="69.145420837968103"/>
  </r>
  <r>
    <s v="ORD-3071"/>
    <d v="2026-08-07T00:00:00"/>
    <s v="Cali"/>
    <s v="CD Sur"/>
    <s v="Online"/>
    <s v="Electro"/>
    <s v="Consola Videojuegos"/>
    <n v="69.206377456433103"/>
  </r>
  <r>
    <s v="ORD-3072"/>
    <d v="2026-08-08T00:00:00"/>
    <s v="Pasto"/>
    <s v="CD Norte (Pasto)"/>
    <s v="Online"/>
    <s v="Moda"/>
    <s v="Chaqueta Impermeable"/>
    <n v="69.267334074898002"/>
  </r>
  <r>
    <s v="ORD-3073"/>
    <d v="2026-08-08T00:00:00"/>
    <s v="Bogota"/>
    <s v="CD Centro"/>
    <s v="Online"/>
    <s v="Hogar"/>
    <s v="Silla Ergonomica"/>
    <n v="69.328290693363002"/>
  </r>
  <r>
    <s v="ORD-3074"/>
    <d v="2026-08-08T00:00:00"/>
    <s v="Cali"/>
    <s v="CD Sur"/>
    <s v="Tienda Fisica"/>
    <s v="Calzado"/>
    <s v="Tenis Deportivo"/>
    <n v="69.389247311828001"/>
  </r>
  <r>
    <s v="ORD-3075"/>
    <d v="2026-08-09T00:00:00"/>
    <s v="Pasto"/>
    <s v="CD Norte (Pasto)"/>
    <s v="Tienda Fisica"/>
    <s v="Electro"/>
    <s v="Monitor 62"/>
    <n v="69.450203930292901"/>
  </r>
  <r>
    <s v="ORD-3076"/>
    <d v="2026-08-09T00:00:00"/>
    <s v="Bogota"/>
    <s v="CD Centro"/>
    <s v="Online"/>
    <s v="Moda"/>
    <s v="Buzo Hooded"/>
    <n v="69.511160548757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76">
  <r>
    <x v="0"/>
    <d v="2026-08-01T00:00:00"/>
    <s v="Pasto"/>
    <x v="0"/>
    <x v="0"/>
    <x v="0"/>
    <s v="Laptop Pro 15"/>
    <n v="2"/>
    <n v="850"/>
    <n v="600"/>
    <n v="2"/>
    <n v="3"/>
    <n v="1500"/>
    <n v="1700"/>
    <n v="1200"/>
    <n v="500"/>
    <n v="0.29411764705882354"/>
    <x v="0"/>
  </r>
  <r>
    <x v="1"/>
    <d v="2026-08-01T00:00:00"/>
    <s v="Bogota"/>
    <x v="1"/>
    <x v="1"/>
    <x v="1"/>
    <s v="Chaqueta Cuero"/>
    <n v="5"/>
    <n v="120"/>
    <n v="70"/>
    <n v="3"/>
    <n v="3"/>
    <n v="500"/>
    <n v="600"/>
    <n v="350"/>
    <n v="250"/>
    <n v="0.41666666666666669"/>
    <x v="0"/>
  </r>
  <r>
    <x v="2"/>
    <d v="2026-08-01T00:00:00"/>
    <s v="Cali"/>
    <x v="2"/>
    <x v="0"/>
    <x v="2"/>
    <s v="Cafetera Express"/>
    <n v="3"/>
    <n v="90"/>
    <n v="50"/>
    <n v="6"/>
    <n v="4"/>
    <n v="300"/>
    <n v="270"/>
    <n v="150"/>
    <n v="120"/>
    <n v="0.44444444444444442"/>
    <x v="1"/>
  </r>
  <r>
    <x v="3"/>
    <d v="2026-08-02T00:00:00"/>
    <s v="Pasto"/>
    <x v="0"/>
    <x v="1"/>
    <x v="3"/>
    <s v="Tenis Running"/>
    <n v="4"/>
    <n v="110"/>
    <n v="60"/>
    <n v="1"/>
    <n v="2"/>
    <n v="400"/>
    <n v="440"/>
    <n v="240"/>
    <n v="200"/>
    <n v="0.45454545454545453"/>
    <x v="0"/>
  </r>
  <r>
    <x v="4"/>
    <d v="2026-08-02T00:00:00"/>
    <s v="Bogota"/>
    <x v="1"/>
    <x v="0"/>
    <x v="0"/>
    <s v="Smartphone X"/>
    <n v="3"/>
    <n v="650"/>
    <n v="450"/>
    <n v="2"/>
    <n v="3"/>
    <n v="1800"/>
    <n v="1950"/>
    <n v="1350"/>
    <n v="600"/>
    <n v="0.30769230769230771"/>
    <x v="0"/>
  </r>
  <r>
    <x v="5"/>
    <d v="2026-08-02T00:00:00"/>
    <s v="Cali"/>
    <x v="2"/>
    <x v="0"/>
    <x v="1"/>
    <s v="Jean Slim Fit"/>
    <n v="8"/>
    <n v="45"/>
    <n v="20"/>
    <n v="5"/>
    <n v="3"/>
    <n v="400"/>
    <n v="360"/>
    <n v="160"/>
    <n v="200"/>
    <n v="0.55555555555555558"/>
    <x v="1"/>
  </r>
  <r>
    <x v="6"/>
    <d v="2026-08-03T00:00:00"/>
    <s v="Pasto"/>
    <x v="0"/>
    <x v="0"/>
    <x v="2"/>
    <s v="Aspiradora Robot"/>
    <n v="2"/>
    <n v="280"/>
    <n v="180"/>
    <n v="3"/>
    <n v="3"/>
    <n v="500"/>
    <n v="560"/>
    <n v="360"/>
    <n v="200"/>
    <n v="0.35714285714285715"/>
    <x v="0"/>
  </r>
  <r>
    <x v="7"/>
    <d v="2026-08-03T00:00:00"/>
    <s v="Bogota"/>
    <x v="1"/>
    <x v="1"/>
    <x v="3"/>
    <s v="Botas Moto"/>
    <n v="3"/>
    <n v="150"/>
    <n v="85"/>
    <n v="2"/>
    <n v="2"/>
    <n v="400"/>
    <n v="450"/>
    <n v="255"/>
    <n v="195"/>
    <n v="0.43333333333333335"/>
    <x v="0"/>
  </r>
  <r>
    <x v="8"/>
    <d v="2026-08-03T00:00:00"/>
    <s v="Cali"/>
    <x v="2"/>
    <x v="0"/>
    <x v="0"/>
    <s v="Smart TV 55"/>
    <n v="2"/>
    <n v="520"/>
    <n v="380"/>
    <n v="7"/>
    <n v="4"/>
    <n v="1000"/>
    <n v="1040"/>
    <n v="760"/>
    <n v="280"/>
    <n v="0.26923076923076922"/>
    <x v="1"/>
  </r>
  <r>
    <x v="9"/>
    <d v="2026-08-04T00:00:00"/>
    <s v="Pasto"/>
    <x v="0"/>
    <x v="1"/>
    <x v="1"/>
    <s v="Camisa Lino"/>
    <n v="6"/>
    <n v="55"/>
    <n v="25"/>
    <n v="2"/>
    <n v="3"/>
    <n v="300"/>
    <n v="330"/>
    <n v="150"/>
    <n v="180"/>
    <n v="0.54545454545454541"/>
    <x v="0"/>
  </r>
  <r>
    <x v="10"/>
    <d v="2026-08-04T00:00:00"/>
    <s v="Bogota"/>
    <x v="1"/>
    <x v="0"/>
    <x v="2"/>
    <s v="Juego Comedor"/>
    <n v="1"/>
    <n v="450"/>
    <n v="290"/>
    <n v="4"/>
    <n v="3"/>
    <n v="400"/>
    <n v="450"/>
    <n v="290"/>
    <n v="160"/>
    <n v="0.35555555555555557"/>
    <x v="1"/>
  </r>
  <r>
    <x v="11"/>
    <d v="2026-08-04T00:00:00"/>
    <s v="Cali"/>
    <x v="2"/>
    <x v="1"/>
    <x v="3"/>
    <s v="Sandalias"/>
    <n v="10"/>
    <n v="35"/>
    <n v="15"/>
    <n v="4"/>
    <n v="3"/>
    <n v="300"/>
    <n v="350"/>
    <n v="150"/>
    <n v="200"/>
    <n v="0.5714285714285714"/>
    <x v="1"/>
  </r>
  <r>
    <x v="12"/>
    <d v="2026-08-05T00:00:00"/>
    <s v="Pasto"/>
    <x v="0"/>
    <x v="0"/>
    <x v="0"/>
    <s v="Tablet 10"/>
    <n v="4"/>
    <n v="220"/>
    <n v="140"/>
    <n v="2"/>
    <n v="3"/>
    <n v="800"/>
    <n v="880"/>
    <n v="560"/>
    <n v="320"/>
    <n v="0.36363636363636365"/>
    <x v="0"/>
  </r>
  <r>
    <x v="13"/>
    <d v="2026-08-05T00:00:00"/>
    <s v="Bogota"/>
    <x v="1"/>
    <x v="0"/>
    <x v="1"/>
    <s v="Saco Lana"/>
    <n v="5"/>
    <n v="65"/>
    <n v="30"/>
    <n v="2"/>
    <n v="3"/>
    <n v="300"/>
    <n v="325"/>
    <n v="150"/>
    <n v="175"/>
    <n v="0.53846153846153844"/>
    <x v="0"/>
  </r>
  <r>
    <x v="14"/>
    <d v="2026-08-05T00:00:00"/>
    <s v="Cali"/>
    <x v="2"/>
    <x v="0"/>
    <x v="2"/>
    <s v="Escritorio Pro"/>
    <n v="2"/>
    <n v="180"/>
    <n v="110"/>
    <n v="6"/>
    <n v="3"/>
    <n v="350"/>
    <n v="360"/>
    <n v="220"/>
    <n v="140"/>
    <n v="0.3888888888888889"/>
    <x v="1"/>
  </r>
  <r>
    <x v="15"/>
    <d v="2026-08-06T00:00:00"/>
    <s v="Pasto"/>
    <x v="0"/>
    <x v="1"/>
    <x v="3"/>
    <s v="Tenis Urbano"/>
    <n v="6"/>
    <n v="85"/>
    <n v="45"/>
    <n v="1"/>
    <n v="2"/>
    <n v="500"/>
    <n v="510"/>
    <n v="270"/>
    <n v="240"/>
    <n v="0.47058823529411764"/>
    <x v="0"/>
  </r>
  <r>
    <x v="16"/>
    <d v="2026-08-06T00:00:00"/>
    <s v="Bogota"/>
    <x v="1"/>
    <x v="0"/>
    <x v="0"/>
    <s v="Audifonos BT"/>
    <n v="12"/>
    <n v="75"/>
    <n v="35"/>
    <n v="1"/>
    <n v="2"/>
    <n v="800"/>
    <n v="900"/>
    <n v="420"/>
    <n v="480"/>
    <n v="0.53333333333333333"/>
    <x v="0"/>
  </r>
  <r>
    <x v="17"/>
    <d v="2026-08-06T00:00:00"/>
    <s v="Cali"/>
    <x v="2"/>
    <x v="1"/>
    <x v="1"/>
    <s v="Vestido Formal"/>
    <n v="4"/>
    <n v="110"/>
    <n v="55"/>
    <n v="5"/>
    <n v="3"/>
    <n v="400"/>
    <n v="440"/>
    <n v="220"/>
    <n v="220"/>
    <n v="0.5"/>
    <x v="1"/>
  </r>
  <r>
    <x v="18"/>
    <d v="2026-08-07T00:00:00"/>
    <s v="Pasto"/>
    <x v="0"/>
    <x v="0"/>
    <x v="2"/>
    <s v="Lámpara LED"/>
    <n v="15"/>
    <n v="25"/>
    <n v="10"/>
    <n v="2"/>
    <n v="3"/>
    <n v="300"/>
    <n v="375"/>
    <n v="150"/>
    <n v="225"/>
    <n v="0.6"/>
    <x v="0"/>
  </r>
  <r>
    <x v="19"/>
    <d v="2026-08-07T00:00:00"/>
    <s v="Bogota"/>
    <x v="1"/>
    <x v="1"/>
    <x v="3"/>
    <s v="Zapatos Formales"/>
    <n v="5"/>
    <n v="130"/>
    <n v="70"/>
    <n v="3"/>
    <n v="3"/>
    <n v="600"/>
    <n v="650"/>
    <n v="350"/>
    <n v="300"/>
    <n v="0.46153846153846156"/>
    <x v="0"/>
  </r>
  <r>
    <x v="20"/>
    <d v="2026-08-07T00:00:00"/>
    <s v="Cali"/>
    <x v="2"/>
    <x v="0"/>
    <x v="0"/>
    <s v="Consola Videojuegos"/>
    <n v="2"/>
    <n v="500"/>
    <n v="380"/>
    <n v="6"/>
    <n v="4"/>
    <n v="900"/>
    <n v="1000"/>
    <n v="760"/>
    <n v="240"/>
    <n v="0.24"/>
    <x v="1"/>
  </r>
  <r>
    <x v="21"/>
    <d v="2026-08-08T00:00:00"/>
    <s v="Pasto"/>
    <x v="0"/>
    <x v="0"/>
    <x v="1"/>
    <s v="Chaqueta Impermeable"/>
    <n v="3"/>
    <n v="95"/>
    <n v="45"/>
    <n v="2"/>
    <n v="3"/>
    <n v="300"/>
    <n v="285"/>
    <n v="135"/>
    <n v="150"/>
    <n v="0.52631578947368418"/>
    <x v="0"/>
  </r>
  <r>
    <x v="22"/>
    <d v="2026-08-08T00:00:00"/>
    <s v="Bogota"/>
    <x v="1"/>
    <x v="0"/>
    <x v="2"/>
    <s v="Silla Ergonomica"/>
    <n v="4"/>
    <n v="160"/>
    <n v="95"/>
    <n v="2"/>
    <n v="3"/>
    <n v="600"/>
    <n v="640"/>
    <n v="380"/>
    <n v="260"/>
    <n v="0.40625"/>
    <x v="0"/>
  </r>
  <r>
    <x v="23"/>
    <d v="2026-08-08T00:00:00"/>
    <s v="Cali"/>
    <x v="2"/>
    <x v="1"/>
    <x v="3"/>
    <s v="Tenis Deportivo"/>
    <n v="7"/>
    <n v="90"/>
    <n v="45"/>
    <n v="4"/>
    <n v="3"/>
    <n v="600"/>
    <n v="630"/>
    <n v="315"/>
    <n v="315"/>
    <n v="0.5"/>
    <x v="1"/>
  </r>
  <r>
    <x v="24"/>
    <d v="2026-08-09T00:00:00"/>
    <s v="Pasto"/>
    <x v="0"/>
    <x v="1"/>
    <x v="0"/>
    <s v="Monitor 27"/>
    <n v="3"/>
    <n v="310"/>
    <n v="210"/>
    <n v="2"/>
    <n v="3"/>
    <n v="900"/>
    <n v="930"/>
    <n v="630"/>
    <n v="300"/>
    <n v="0.32258064516129031"/>
    <x v="0"/>
  </r>
  <r>
    <x v="25"/>
    <d v="2026-08-09T00:00:00"/>
    <s v="Bogota"/>
    <x v="1"/>
    <x v="0"/>
    <x v="1"/>
    <s v="Buzo Hooded"/>
    <n v="8"/>
    <n v="50"/>
    <n v="22"/>
    <n v="2"/>
    <n v="3"/>
    <n v="400"/>
    <n v="400"/>
    <n v="176"/>
    <n v="224"/>
    <n v="0.56000000000000005"/>
    <x v="0"/>
  </r>
  <r>
    <x v="26"/>
    <d v="2026-08-09T00:00:00"/>
    <s v="Cali"/>
    <x v="2"/>
    <x v="0"/>
    <x v="2"/>
    <s v="Cama King"/>
    <n v="1"/>
    <n v="750"/>
    <n v="480"/>
    <n v="8"/>
    <n v="4"/>
    <n v="700"/>
    <n v="750"/>
    <n v="480"/>
    <n v="270"/>
    <n v="0.36"/>
    <x v="1"/>
  </r>
  <r>
    <x v="27"/>
    <d v="2026-08-10T00:00:00"/>
    <s v="Pasto"/>
    <x v="0"/>
    <x v="0"/>
    <x v="3"/>
    <s v="Botines Cuero"/>
    <n v="4"/>
    <n v="140"/>
    <n v="75"/>
    <n v="3"/>
    <n v="3"/>
    <n v="500"/>
    <n v="560"/>
    <n v="300"/>
    <n v="260"/>
    <n v="0.4642857142857143"/>
    <x v="0"/>
  </r>
  <r>
    <x v="28"/>
    <d v="2026-08-10T00:00:00"/>
    <s v="Bogota"/>
    <x v="1"/>
    <x v="1"/>
    <x v="0"/>
    <s v="Teclado Mecanico"/>
    <n v="6"/>
    <n v="90"/>
    <n v="50"/>
    <n v="1"/>
    <n v="2"/>
    <n v="500"/>
    <n v="540"/>
    <n v="300"/>
    <n v="240"/>
    <n v="0.44444444444444442"/>
    <x v="0"/>
  </r>
  <r>
    <x v="29"/>
    <d v="2026-08-10T00:00:00"/>
    <s v="Cali"/>
    <x v="2"/>
    <x v="0"/>
    <x v="1"/>
    <s v="Pantalón Cargo"/>
    <n v="6"/>
    <n v="60"/>
    <n v="28"/>
    <n v="5"/>
    <n v="3"/>
    <n v="350"/>
    <n v="360"/>
    <n v="168"/>
    <n v="192"/>
    <n v="0.53333333333333333"/>
    <x v="1"/>
  </r>
  <r>
    <x v="0"/>
    <d v="2026-08-01T00:00:00"/>
    <s v="Pasto"/>
    <x v="0"/>
    <x v="0"/>
    <x v="0"/>
    <s v="Laptop Pro 15"/>
    <n v="2"/>
    <n v="850"/>
    <n v="600"/>
    <n v="2"/>
    <n v="3"/>
    <n v="1500"/>
    <n v="1700"/>
    <n v="1200"/>
    <n v="500"/>
    <n v="0.29411764705882354"/>
    <x v="0"/>
  </r>
  <r>
    <x v="1"/>
    <d v="2026-08-01T00:00:00"/>
    <s v="Bogota"/>
    <x v="1"/>
    <x v="1"/>
    <x v="1"/>
    <s v="Chaqueta Cuero"/>
    <n v="5"/>
    <n v="120"/>
    <n v="70"/>
    <n v="3"/>
    <n v="3"/>
    <n v="500"/>
    <n v="600"/>
    <n v="350"/>
    <n v="250"/>
    <n v="0.41666666666666669"/>
    <x v="0"/>
  </r>
  <r>
    <x v="2"/>
    <d v="2026-08-01T00:00:00"/>
    <s v="Cali"/>
    <x v="2"/>
    <x v="0"/>
    <x v="2"/>
    <s v="Cafetera Express"/>
    <n v="3"/>
    <n v="90"/>
    <n v="50"/>
    <n v="6"/>
    <n v="4"/>
    <n v="300"/>
    <n v="270"/>
    <n v="150"/>
    <n v="120"/>
    <n v="0.44444444444444442"/>
    <x v="1"/>
  </r>
  <r>
    <x v="3"/>
    <d v="2026-08-02T00:00:00"/>
    <s v="Pasto"/>
    <x v="0"/>
    <x v="1"/>
    <x v="3"/>
    <s v="Tenis Running"/>
    <n v="4"/>
    <n v="110"/>
    <n v="60"/>
    <n v="1"/>
    <n v="2"/>
    <n v="400"/>
    <n v="440"/>
    <n v="240"/>
    <n v="200"/>
    <n v="0.45454545454545453"/>
    <x v="0"/>
  </r>
  <r>
    <x v="4"/>
    <d v="2026-08-02T00:00:00"/>
    <s v="Bogota"/>
    <x v="1"/>
    <x v="0"/>
    <x v="0"/>
    <s v="Smartphone X"/>
    <n v="3"/>
    <n v="650"/>
    <n v="450"/>
    <n v="2"/>
    <n v="3"/>
    <n v="1800"/>
    <n v="1950"/>
    <n v="1350"/>
    <n v="600"/>
    <n v="0.30769230769230771"/>
    <x v="0"/>
  </r>
  <r>
    <x v="5"/>
    <d v="2026-08-02T00:00:00"/>
    <s v="Cali"/>
    <x v="2"/>
    <x v="0"/>
    <x v="1"/>
    <s v="Jean Slim Fit"/>
    <n v="8"/>
    <n v="45"/>
    <n v="20"/>
    <n v="5"/>
    <n v="3"/>
    <n v="400"/>
    <n v="360"/>
    <n v="160"/>
    <n v="200"/>
    <n v="0.55555555555555558"/>
    <x v="1"/>
  </r>
  <r>
    <x v="6"/>
    <d v="2026-08-03T00:00:00"/>
    <s v="Pasto"/>
    <x v="0"/>
    <x v="0"/>
    <x v="2"/>
    <s v="Aspiradora Robot"/>
    <n v="2"/>
    <n v="280"/>
    <n v="180"/>
    <n v="3"/>
    <n v="3"/>
    <n v="500"/>
    <n v="560"/>
    <n v="360"/>
    <n v="200"/>
    <n v="0.35714285714285715"/>
    <x v="0"/>
  </r>
  <r>
    <x v="7"/>
    <d v="2026-08-03T00:00:00"/>
    <s v="Bogota"/>
    <x v="1"/>
    <x v="1"/>
    <x v="3"/>
    <s v="Botas Moto"/>
    <n v="3"/>
    <n v="150"/>
    <n v="85"/>
    <n v="2"/>
    <n v="2"/>
    <n v="400"/>
    <n v="450"/>
    <n v="255"/>
    <n v="195"/>
    <n v="0.43333333333333335"/>
    <x v="0"/>
  </r>
  <r>
    <x v="8"/>
    <d v="2026-08-03T00:00:00"/>
    <s v="Cali"/>
    <x v="2"/>
    <x v="0"/>
    <x v="0"/>
    <s v="Smart TV 55"/>
    <n v="2"/>
    <n v="520"/>
    <n v="380"/>
    <n v="7"/>
    <n v="4"/>
    <n v="1000"/>
    <n v="1040"/>
    <n v="760"/>
    <n v="280"/>
    <n v="0.26923076923076922"/>
    <x v="1"/>
  </r>
  <r>
    <x v="9"/>
    <d v="2026-08-04T00:00:00"/>
    <s v="Pasto"/>
    <x v="0"/>
    <x v="1"/>
    <x v="1"/>
    <s v="Camisa Lino"/>
    <n v="6"/>
    <n v="55"/>
    <n v="25"/>
    <n v="2"/>
    <n v="3"/>
    <n v="300"/>
    <n v="330"/>
    <n v="150"/>
    <n v="180"/>
    <n v="0.54545454545454541"/>
    <x v="0"/>
  </r>
  <r>
    <x v="10"/>
    <d v="2026-08-04T00:00:00"/>
    <s v="Bogota"/>
    <x v="1"/>
    <x v="0"/>
    <x v="2"/>
    <s v="Juego Comedor"/>
    <n v="1"/>
    <n v="450"/>
    <n v="290"/>
    <n v="4"/>
    <n v="3"/>
    <n v="400"/>
    <n v="450"/>
    <n v="290"/>
    <n v="160"/>
    <n v="0.35555555555555557"/>
    <x v="1"/>
  </r>
  <r>
    <x v="11"/>
    <d v="2026-08-04T00:00:00"/>
    <s v="Cali"/>
    <x v="2"/>
    <x v="1"/>
    <x v="3"/>
    <s v="Sandalias"/>
    <n v="10"/>
    <n v="35"/>
    <n v="15"/>
    <n v="4"/>
    <n v="3"/>
    <n v="300"/>
    <n v="350"/>
    <n v="150"/>
    <n v="200"/>
    <n v="0.5714285714285714"/>
    <x v="1"/>
  </r>
  <r>
    <x v="12"/>
    <d v="2026-08-05T00:00:00"/>
    <s v="Pasto"/>
    <x v="0"/>
    <x v="0"/>
    <x v="0"/>
    <s v="Tablet 10"/>
    <n v="4"/>
    <n v="220"/>
    <n v="140"/>
    <n v="2"/>
    <n v="3"/>
    <n v="800"/>
    <n v="880"/>
    <n v="560"/>
    <n v="320"/>
    <n v="0.36363636363636365"/>
    <x v="0"/>
  </r>
  <r>
    <x v="13"/>
    <d v="2026-08-05T00:00:00"/>
    <s v="Bogota"/>
    <x v="1"/>
    <x v="0"/>
    <x v="1"/>
    <s v="Saco Lana"/>
    <n v="5"/>
    <n v="65"/>
    <n v="30"/>
    <n v="2"/>
    <n v="3"/>
    <n v="300"/>
    <n v="325"/>
    <n v="150"/>
    <n v="175"/>
    <n v="0.53846153846153844"/>
    <x v="0"/>
  </r>
  <r>
    <x v="14"/>
    <d v="2026-08-05T00:00:00"/>
    <s v="Cali"/>
    <x v="2"/>
    <x v="0"/>
    <x v="2"/>
    <s v="Escritorio Pro"/>
    <n v="2"/>
    <n v="180"/>
    <n v="110"/>
    <n v="6"/>
    <n v="3"/>
    <n v="350"/>
    <n v="360"/>
    <n v="220"/>
    <n v="140"/>
    <n v="0.3888888888888889"/>
    <x v="1"/>
  </r>
  <r>
    <x v="15"/>
    <d v="2026-08-06T00:00:00"/>
    <s v="Pasto"/>
    <x v="0"/>
    <x v="1"/>
    <x v="3"/>
    <s v="Tenis Urbano"/>
    <n v="6"/>
    <n v="85"/>
    <n v="45"/>
    <n v="1"/>
    <n v="2"/>
    <n v="500"/>
    <n v="510"/>
    <n v="270"/>
    <n v="240"/>
    <n v="0.47058823529411764"/>
    <x v="0"/>
  </r>
  <r>
    <x v="16"/>
    <d v="2026-08-06T00:00:00"/>
    <s v="Bogota"/>
    <x v="1"/>
    <x v="0"/>
    <x v="0"/>
    <s v="Audifonos BT"/>
    <n v="12"/>
    <n v="75"/>
    <n v="35"/>
    <n v="1"/>
    <n v="2"/>
    <n v="800"/>
    <n v="900"/>
    <n v="420"/>
    <n v="480"/>
    <n v="0.53333333333333333"/>
    <x v="0"/>
  </r>
  <r>
    <x v="17"/>
    <d v="2026-08-06T00:00:00"/>
    <s v="Cali"/>
    <x v="2"/>
    <x v="1"/>
    <x v="1"/>
    <s v="Vestido Formal"/>
    <n v="4"/>
    <n v="110"/>
    <n v="55"/>
    <n v="5"/>
    <n v="3"/>
    <n v="400"/>
    <n v="440"/>
    <n v="220"/>
    <n v="220"/>
    <n v="0.5"/>
    <x v="1"/>
  </r>
  <r>
    <x v="18"/>
    <d v="2026-08-07T00:00:00"/>
    <s v="Pasto"/>
    <x v="0"/>
    <x v="0"/>
    <x v="2"/>
    <s v="Lámpara LED"/>
    <n v="15"/>
    <n v="25"/>
    <n v="10"/>
    <n v="2"/>
    <n v="3"/>
    <n v="300"/>
    <n v="375"/>
    <n v="150"/>
    <n v="225"/>
    <n v="0.6"/>
    <x v="0"/>
  </r>
  <r>
    <x v="19"/>
    <d v="2026-08-07T00:00:00"/>
    <s v="Bogota"/>
    <x v="1"/>
    <x v="1"/>
    <x v="3"/>
    <s v="Zapatos Formales"/>
    <n v="5"/>
    <n v="130"/>
    <n v="70"/>
    <n v="3"/>
    <n v="3"/>
    <n v="600"/>
    <n v="650"/>
    <n v="350"/>
    <n v="300"/>
    <n v="0.46153846153846156"/>
    <x v="0"/>
  </r>
  <r>
    <x v="20"/>
    <d v="2026-08-07T00:00:00"/>
    <s v="Cali"/>
    <x v="2"/>
    <x v="0"/>
    <x v="0"/>
    <s v="Consola Videojuegos"/>
    <n v="2"/>
    <n v="500"/>
    <n v="380"/>
    <n v="6"/>
    <n v="4"/>
    <n v="900"/>
    <n v="1000"/>
    <n v="760"/>
    <n v="240"/>
    <n v="0.24"/>
    <x v="1"/>
  </r>
  <r>
    <x v="21"/>
    <d v="2026-08-08T00:00:00"/>
    <s v="Pasto"/>
    <x v="0"/>
    <x v="0"/>
    <x v="1"/>
    <s v="Chaqueta Impermeable"/>
    <n v="3"/>
    <n v="95"/>
    <n v="45"/>
    <n v="2"/>
    <n v="3"/>
    <n v="300"/>
    <n v="285"/>
    <n v="135"/>
    <n v="150"/>
    <n v="0.52631578947368418"/>
    <x v="0"/>
  </r>
  <r>
    <x v="22"/>
    <d v="2026-08-08T00:00:00"/>
    <s v="Bogota"/>
    <x v="1"/>
    <x v="0"/>
    <x v="2"/>
    <s v="Silla Ergonomica"/>
    <n v="4"/>
    <n v="160"/>
    <n v="95"/>
    <n v="2"/>
    <n v="3"/>
    <n v="600"/>
    <n v="640"/>
    <n v="380"/>
    <n v="260"/>
    <n v="0.40625"/>
    <x v="0"/>
  </r>
  <r>
    <x v="23"/>
    <d v="2026-08-08T00:00:00"/>
    <s v="Cali"/>
    <x v="2"/>
    <x v="1"/>
    <x v="3"/>
    <s v="Tenis Deportivo"/>
    <n v="7"/>
    <n v="90"/>
    <n v="45"/>
    <n v="4"/>
    <n v="3"/>
    <n v="600"/>
    <n v="630"/>
    <n v="315"/>
    <n v="315"/>
    <n v="0.5"/>
    <x v="1"/>
  </r>
  <r>
    <x v="24"/>
    <d v="2026-08-09T00:00:00"/>
    <s v="Pasto"/>
    <x v="0"/>
    <x v="1"/>
    <x v="0"/>
    <s v="Monitor 27"/>
    <n v="3"/>
    <n v="310"/>
    <n v="210"/>
    <n v="2"/>
    <n v="3"/>
    <n v="900"/>
    <n v="930"/>
    <n v="630"/>
    <n v="300"/>
    <n v="0.32258064516129031"/>
    <x v="0"/>
  </r>
  <r>
    <x v="25"/>
    <d v="2026-08-09T00:00:00"/>
    <s v="Bogota"/>
    <x v="1"/>
    <x v="0"/>
    <x v="1"/>
    <s v="Buzo Hooded"/>
    <n v="8"/>
    <n v="50"/>
    <n v="22"/>
    <n v="2"/>
    <n v="3"/>
    <n v="400"/>
    <n v="400"/>
    <n v="176"/>
    <n v="224"/>
    <n v="0.56000000000000005"/>
    <x v="0"/>
  </r>
  <r>
    <x v="26"/>
    <d v="2026-08-09T00:00:00"/>
    <s v="Cali"/>
    <x v="2"/>
    <x v="0"/>
    <x v="2"/>
    <s v="Cama King"/>
    <n v="1"/>
    <n v="750"/>
    <n v="480"/>
    <n v="8"/>
    <n v="4"/>
    <n v="700"/>
    <n v="750"/>
    <n v="480"/>
    <n v="270"/>
    <n v="0.36"/>
    <x v="1"/>
  </r>
  <r>
    <x v="27"/>
    <d v="2026-08-10T00:00:00"/>
    <s v="Pasto"/>
    <x v="0"/>
    <x v="0"/>
    <x v="3"/>
    <s v="Botines Cuero"/>
    <n v="4"/>
    <n v="140"/>
    <n v="75"/>
    <n v="3"/>
    <n v="3"/>
    <n v="500"/>
    <n v="560"/>
    <n v="300"/>
    <n v="260"/>
    <n v="0.4642857142857143"/>
    <x v="0"/>
  </r>
  <r>
    <x v="28"/>
    <d v="2026-08-10T00:00:00"/>
    <s v="Bogota"/>
    <x v="1"/>
    <x v="1"/>
    <x v="0"/>
    <s v="Teclado Mecanico"/>
    <n v="6"/>
    <n v="90"/>
    <n v="50"/>
    <n v="1"/>
    <n v="2"/>
    <n v="500"/>
    <n v="540"/>
    <n v="300"/>
    <n v="240"/>
    <n v="0.44444444444444442"/>
    <x v="0"/>
  </r>
  <r>
    <x v="29"/>
    <d v="2026-08-10T00:00:00"/>
    <s v="Cali"/>
    <x v="2"/>
    <x v="0"/>
    <x v="1"/>
    <s v="Pantalón Cargo"/>
    <n v="6"/>
    <n v="60"/>
    <n v="28"/>
    <n v="5"/>
    <n v="3"/>
    <n v="350"/>
    <n v="360"/>
    <n v="168"/>
    <n v="192"/>
    <n v="0.53333333333333333"/>
    <x v="1"/>
  </r>
  <r>
    <x v="0"/>
    <d v="2026-08-01T00:00:00"/>
    <s v="Pasto"/>
    <x v="0"/>
    <x v="0"/>
    <x v="0"/>
    <s v="Laptop Pro 15"/>
    <n v="2"/>
    <n v="850"/>
    <n v="600"/>
    <n v="2"/>
    <n v="3"/>
    <n v="1500"/>
    <n v="1700"/>
    <n v="1200"/>
    <n v="500"/>
    <n v="0.29411764705882354"/>
    <x v="0"/>
  </r>
  <r>
    <x v="1"/>
    <d v="2026-08-01T00:00:00"/>
    <s v="Bogota"/>
    <x v="1"/>
    <x v="1"/>
    <x v="1"/>
    <s v="Chaqueta Cuero"/>
    <n v="5"/>
    <n v="120"/>
    <n v="70"/>
    <n v="3"/>
    <n v="3"/>
    <n v="500"/>
    <n v="600"/>
    <n v="350"/>
    <n v="250"/>
    <n v="0.41666666666666669"/>
    <x v="0"/>
  </r>
  <r>
    <x v="2"/>
    <d v="2026-08-01T00:00:00"/>
    <s v="Cali"/>
    <x v="2"/>
    <x v="0"/>
    <x v="2"/>
    <s v="Cafetera Express"/>
    <n v="3"/>
    <n v="90"/>
    <n v="50"/>
    <n v="6"/>
    <n v="4"/>
    <n v="300"/>
    <n v="270"/>
    <n v="150"/>
    <n v="120"/>
    <n v="0.44444444444444442"/>
    <x v="1"/>
  </r>
  <r>
    <x v="3"/>
    <d v="2026-08-02T00:00:00"/>
    <s v="Pasto"/>
    <x v="0"/>
    <x v="1"/>
    <x v="3"/>
    <s v="Tenis Running"/>
    <n v="4"/>
    <n v="110"/>
    <n v="60"/>
    <n v="1"/>
    <n v="2"/>
    <n v="400"/>
    <n v="440"/>
    <n v="240"/>
    <n v="200"/>
    <n v="0.45454545454545453"/>
    <x v="0"/>
  </r>
  <r>
    <x v="4"/>
    <d v="2026-08-02T00:00:00"/>
    <s v="Bogota"/>
    <x v="1"/>
    <x v="0"/>
    <x v="0"/>
    <s v="Smartphone X"/>
    <n v="3"/>
    <n v="650"/>
    <n v="450"/>
    <n v="2"/>
    <n v="3"/>
    <n v="1800"/>
    <n v="1950"/>
    <n v="1350"/>
    <n v="600"/>
    <n v="0.30769230769230771"/>
    <x v="0"/>
  </r>
  <r>
    <x v="5"/>
    <d v="2026-08-02T00:00:00"/>
    <s v="Cali"/>
    <x v="2"/>
    <x v="0"/>
    <x v="1"/>
    <s v="Jean Slim Fit"/>
    <n v="8"/>
    <n v="45"/>
    <n v="20"/>
    <n v="5"/>
    <n v="3"/>
    <n v="400"/>
    <n v="360"/>
    <n v="160"/>
    <n v="200"/>
    <n v="0.55555555555555558"/>
    <x v="1"/>
  </r>
  <r>
    <x v="6"/>
    <d v="2026-08-03T00:00:00"/>
    <s v="Pasto"/>
    <x v="0"/>
    <x v="0"/>
    <x v="2"/>
    <s v="Aspiradora Robot"/>
    <n v="2"/>
    <n v="280"/>
    <n v="180"/>
    <n v="3"/>
    <n v="3"/>
    <n v="500"/>
    <n v="560"/>
    <n v="360"/>
    <n v="200"/>
    <n v="0.35714285714285715"/>
    <x v="0"/>
  </r>
  <r>
    <x v="7"/>
    <d v="2026-08-03T00:00:00"/>
    <s v="Bogota"/>
    <x v="1"/>
    <x v="1"/>
    <x v="3"/>
    <s v="Botas Moto"/>
    <n v="3"/>
    <n v="150"/>
    <n v="85"/>
    <n v="2"/>
    <n v="2"/>
    <n v="400"/>
    <n v="450"/>
    <n v="255"/>
    <n v="195"/>
    <n v="0.43333333333333335"/>
    <x v="0"/>
  </r>
  <r>
    <x v="8"/>
    <d v="2026-08-03T00:00:00"/>
    <s v="Cali"/>
    <x v="2"/>
    <x v="0"/>
    <x v="0"/>
    <s v="Smart TV 55"/>
    <n v="2"/>
    <n v="520"/>
    <n v="380"/>
    <n v="7"/>
    <n v="4"/>
    <n v="1000"/>
    <n v="1040"/>
    <n v="760"/>
    <n v="280"/>
    <n v="0.26923076923076922"/>
    <x v="1"/>
  </r>
  <r>
    <x v="9"/>
    <d v="2026-08-04T00:00:00"/>
    <s v="Pasto"/>
    <x v="0"/>
    <x v="1"/>
    <x v="1"/>
    <s v="Camisa Lino"/>
    <n v="6"/>
    <n v="55"/>
    <n v="25"/>
    <n v="2"/>
    <n v="3"/>
    <n v="300"/>
    <n v="330"/>
    <n v="150"/>
    <n v="180"/>
    <n v="0.54545454545454541"/>
    <x v="0"/>
  </r>
  <r>
    <x v="10"/>
    <d v="2026-08-04T00:00:00"/>
    <s v="Bogota"/>
    <x v="1"/>
    <x v="0"/>
    <x v="2"/>
    <s v="Juego Comedor"/>
    <n v="1"/>
    <n v="450"/>
    <n v="290"/>
    <n v="4"/>
    <n v="3"/>
    <n v="400"/>
    <n v="450"/>
    <n v="290"/>
    <n v="160"/>
    <n v="0.35555555555555557"/>
    <x v="1"/>
  </r>
  <r>
    <x v="11"/>
    <d v="2026-08-04T00:00:00"/>
    <s v="Cali"/>
    <x v="2"/>
    <x v="1"/>
    <x v="3"/>
    <s v="Sandalias"/>
    <n v="10"/>
    <n v="35"/>
    <n v="15"/>
    <n v="4"/>
    <n v="3"/>
    <n v="300"/>
    <n v="350"/>
    <n v="150"/>
    <n v="200"/>
    <n v="0.5714285714285714"/>
    <x v="1"/>
  </r>
  <r>
    <x v="12"/>
    <d v="2026-08-05T00:00:00"/>
    <s v="Pasto"/>
    <x v="0"/>
    <x v="0"/>
    <x v="0"/>
    <s v="Tablet 10"/>
    <n v="4"/>
    <n v="220"/>
    <n v="140"/>
    <n v="2"/>
    <n v="3"/>
    <n v="800"/>
    <n v="880"/>
    <n v="560"/>
    <n v="320"/>
    <n v="0.36363636363636365"/>
    <x v="0"/>
  </r>
  <r>
    <x v="13"/>
    <d v="2026-08-05T00:00:00"/>
    <s v="Bogota"/>
    <x v="1"/>
    <x v="0"/>
    <x v="1"/>
    <s v="Saco Lana"/>
    <n v="5"/>
    <n v="65"/>
    <n v="30"/>
    <n v="2"/>
    <n v="3"/>
    <n v="300"/>
    <n v="325"/>
    <n v="150"/>
    <n v="175"/>
    <n v="0.53846153846153844"/>
    <x v="0"/>
  </r>
  <r>
    <x v="14"/>
    <d v="2026-08-05T00:00:00"/>
    <s v="Cali"/>
    <x v="2"/>
    <x v="0"/>
    <x v="2"/>
    <s v="Escritorio Pro"/>
    <n v="2"/>
    <n v="180"/>
    <n v="110"/>
    <n v="6"/>
    <n v="3"/>
    <n v="350"/>
    <n v="360"/>
    <n v="220"/>
    <n v="140"/>
    <n v="0.3888888888888889"/>
    <x v="1"/>
  </r>
  <r>
    <x v="15"/>
    <d v="2026-08-06T00:00:00"/>
    <s v="Pasto"/>
    <x v="0"/>
    <x v="1"/>
    <x v="3"/>
    <s v="Tenis Urbano"/>
    <n v="6"/>
    <n v="85"/>
    <n v="45"/>
    <n v="1"/>
    <n v="2"/>
    <n v="500"/>
    <n v="510"/>
    <n v="270"/>
    <n v="240"/>
    <n v="0.47058823529411764"/>
    <x v="0"/>
  </r>
  <r>
    <x v="16"/>
    <d v="2026-08-06T00:00:00"/>
    <s v="Bogota"/>
    <x v="1"/>
    <x v="0"/>
    <x v="0"/>
    <s v="Audifonos BT"/>
    <n v="12"/>
    <n v="75"/>
    <n v="35"/>
    <n v="1"/>
    <n v="2"/>
    <n v="800"/>
    <n v="900"/>
    <n v="420"/>
    <n v="480"/>
    <n v="0.53333333333333333"/>
    <x v="0"/>
  </r>
  <r>
    <x v="17"/>
    <d v="2026-08-06T00:00:00"/>
    <s v="Cali"/>
    <x v="2"/>
    <x v="1"/>
    <x v="1"/>
    <s v="Vestido Formal"/>
    <n v="4"/>
    <n v="110"/>
    <n v="55"/>
    <n v="5"/>
    <n v="3"/>
    <n v="400"/>
    <n v="440"/>
    <n v="220"/>
    <n v="220"/>
    <n v="0.5"/>
    <x v="1"/>
  </r>
  <r>
    <x v="18"/>
    <d v="2026-08-07T00:00:00"/>
    <s v="Pasto"/>
    <x v="0"/>
    <x v="0"/>
    <x v="2"/>
    <s v="Lámpara LED"/>
    <n v="15"/>
    <n v="25"/>
    <n v="10"/>
    <n v="2"/>
    <n v="3"/>
    <n v="300"/>
    <n v="375"/>
    <n v="150"/>
    <n v="225"/>
    <n v="0.6"/>
    <x v="0"/>
  </r>
  <r>
    <x v="19"/>
    <d v="2026-08-07T00:00:00"/>
    <s v="Bogota"/>
    <x v="1"/>
    <x v="1"/>
    <x v="3"/>
    <s v="Zapatos Formales"/>
    <n v="5"/>
    <n v="130"/>
    <n v="70"/>
    <n v="3"/>
    <n v="3"/>
    <n v="600"/>
    <n v="650"/>
    <n v="350"/>
    <n v="300"/>
    <n v="0.46153846153846156"/>
    <x v="0"/>
  </r>
  <r>
    <x v="20"/>
    <d v="2026-08-07T00:00:00"/>
    <s v="Cali"/>
    <x v="2"/>
    <x v="0"/>
    <x v="0"/>
    <s v="Consola Videojuegos"/>
    <n v="2"/>
    <n v="500"/>
    <n v="380"/>
    <n v="6"/>
    <n v="4"/>
    <n v="900"/>
    <n v="1000"/>
    <n v="760"/>
    <n v="240"/>
    <n v="0.24"/>
    <x v="1"/>
  </r>
  <r>
    <x v="21"/>
    <d v="2026-08-08T00:00:00"/>
    <s v="Pasto"/>
    <x v="0"/>
    <x v="0"/>
    <x v="1"/>
    <s v="Chaqueta Impermeable"/>
    <n v="3"/>
    <n v="95"/>
    <n v="45"/>
    <n v="2"/>
    <n v="3"/>
    <n v="300"/>
    <n v="285"/>
    <n v="135"/>
    <n v="150"/>
    <n v="0.52631578947368418"/>
    <x v="0"/>
  </r>
  <r>
    <x v="22"/>
    <d v="2026-08-08T00:00:00"/>
    <s v="Bogota"/>
    <x v="1"/>
    <x v="0"/>
    <x v="2"/>
    <s v="Silla Ergonomica"/>
    <n v="4"/>
    <n v="160"/>
    <n v="95"/>
    <n v="2"/>
    <n v="3"/>
    <n v="600"/>
    <n v="640"/>
    <n v="380"/>
    <n v="260"/>
    <n v="0.40625"/>
    <x v="0"/>
  </r>
  <r>
    <x v="23"/>
    <d v="2026-08-08T00:00:00"/>
    <s v="Cali"/>
    <x v="2"/>
    <x v="1"/>
    <x v="3"/>
    <s v="Tenis Deportivo"/>
    <n v="7"/>
    <n v="90"/>
    <n v="45"/>
    <n v="4"/>
    <n v="3"/>
    <n v="600"/>
    <n v="630"/>
    <n v="315"/>
    <n v="315"/>
    <n v="0.5"/>
    <x v="1"/>
  </r>
  <r>
    <x v="24"/>
    <d v="2026-08-09T00:00:00"/>
    <s v="Pasto"/>
    <x v="0"/>
    <x v="1"/>
    <x v="0"/>
    <s v="Monitor 27"/>
    <n v="3"/>
    <n v="310"/>
    <n v="210"/>
    <n v="2"/>
    <n v="3"/>
    <n v="900"/>
    <n v="930"/>
    <n v="630"/>
    <n v="300"/>
    <n v="0.32258064516129031"/>
    <x v="0"/>
  </r>
  <r>
    <x v="25"/>
    <d v="2026-08-09T00:00:00"/>
    <s v="Bogota"/>
    <x v="1"/>
    <x v="0"/>
    <x v="1"/>
    <s v="Buzo Hooded"/>
    <n v="8"/>
    <n v="50"/>
    <n v="22"/>
    <n v="2"/>
    <n v="3"/>
    <n v="400"/>
    <n v="400"/>
    <n v="176"/>
    <n v="224"/>
    <n v="0.56000000000000005"/>
    <x v="0"/>
  </r>
  <r>
    <x v="26"/>
    <d v="2026-08-09T00:00:00"/>
    <s v="Cali"/>
    <x v="2"/>
    <x v="0"/>
    <x v="2"/>
    <s v="Cama King"/>
    <n v="1"/>
    <n v="750"/>
    <n v="480"/>
    <n v="8"/>
    <n v="4"/>
    <n v="700"/>
    <n v="750"/>
    <n v="480"/>
    <n v="270"/>
    <n v="0.36"/>
    <x v="1"/>
  </r>
  <r>
    <x v="27"/>
    <d v="2026-08-10T00:00:00"/>
    <s v="Pasto"/>
    <x v="0"/>
    <x v="0"/>
    <x v="3"/>
    <s v="Botines Cuero"/>
    <n v="4"/>
    <n v="140"/>
    <n v="75"/>
    <n v="3"/>
    <n v="3"/>
    <n v="500"/>
    <n v="560"/>
    <n v="300"/>
    <n v="260"/>
    <n v="0.4642857142857143"/>
    <x v="0"/>
  </r>
  <r>
    <x v="28"/>
    <d v="2026-08-10T00:00:00"/>
    <s v="Bogota"/>
    <x v="1"/>
    <x v="1"/>
    <x v="0"/>
    <s v="Teclado Mecanico"/>
    <n v="6"/>
    <n v="90"/>
    <n v="50"/>
    <n v="1"/>
    <n v="2"/>
    <n v="500"/>
    <n v="540"/>
    <n v="300"/>
    <n v="240"/>
    <n v="0.44444444444444442"/>
    <x v="0"/>
  </r>
  <r>
    <x v="29"/>
    <d v="2026-08-10T00:00:00"/>
    <s v="Cali"/>
    <x v="2"/>
    <x v="0"/>
    <x v="1"/>
    <s v="Pantalón Cargo"/>
    <n v="6"/>
    <n v="60"/>
    <n v="28"/>
    <n v="5"/>
    <n v="3"/>
    <n v="350"/>
    <n v="360"/>
    <n v="168"/>
    <n v="192"/>
    <n v="0.53333333333333333"/>
    <x v="1"/>
  </r>
  <r>
    <x v="0"/>
    <d v="2026-08-01T00:00:00"/>
    <s v="Pasto"/>
    <x v="0"/>
    <x v="0"/>
    <x v="0"/>
    <s v="Laptop Pro 15"/>
    <n v="2"/>
    <n v="850"/>
    <n v="600"/>
    <n v="2"/>
    <n v="3"/>
    <n v="1500"/>
    <n v="1700"/>
    <n v="1200"/>
    <n v="500"/>
    <n v="0.29411764705882354"/>
    <x v="0"/>
  </r>
  <r>
    <x v="1"/>
    <d v="2026-08-01T00:00:00"/>
    <s v="Bogota"/>
    <x v="1"/>
    <x v="1"/>
    <x v="1"/>
    <s v="Chaqueta Cuero"/>
    <n v="5"/>
    <n v="120"/>
    <n v="70"/>
    <n v="3"/>
    <n v="3"/>
    <n v="500"/>
    <n v="600"/>
    <n v="350"/>
    <n v="250"/>
    <n v="0.41666666666666669"/>
    <x v="0"/>
  </r>
  <r>
    <x v="2"/>
    <d v="2026-08-01T00:00:00"/>
    <s v="Cali"/>
    <x v="2"/>
    <x v="0"/>
    <x v="2"/>
    <s v="Cafetera Express"/>
    <n v="3"/>
    <n v="90"/>
    <n v="50"/>
    <n v="6"/>
    <n v="4"/>
    <n v="300"/>
    <n v="270"/>
    <n v="150"/>
    <n v="120"/>
    <n v="0.44444444444444442"/>
    <x v="1"/>
  </r>
  <r>
    <x v="3"/>
    <d v="2026-08-02T00:00:00"/>
    <s v="Pasto"/>
    <x v="0"/>
    <x v="1"/>
    <x v="3"/>
    <s v="Tenis Running"/>
    <n v="4"/>
    <n v="110"/>
    <n v="60"/>
    <n v="1"/>
    <n v="2"/>
    <n v="400"/>
    <n v="440"/>
    <n v="240"/>
    <n v="200"/>
    <n v="0.45454545454545453"/>
    <x v="0"/>
  </r>
  <r>
    <x v="4"/>
    <d v="2026-08-02T00:00:00"/>
    <s v="Bogota"/>
    <x v="1"/>
    <x v="0"/>
    <x v="0"/>
    <s v="Smartphone X"/>
    <n v="3"/>
    <n v="650"/>
    <n v="450"/>
    <n v="2"/>
    <n v="3"/>
    <n v="1800"/>
    <n v="1950"/>
    <n v="1350"/>
    <n v="600"/>
    <n v="0.30769230769230771"/>
    <x v="0"/>
  </r>
  <r>
    <x v="5"/>
    <d v="2026-08-02T00:00:00"/>
    <s v="Cali"/>
    <x v="2"/>
    <x v="0"/>
    <x v="1"/>
    <s v="Jean Slim Fit"/>
    <n v="8"/>
    <n v="45"/>
    <n v="20"/>
    <n v="5"/>
    <n v="3"/>
    <n v="400"/>
    <n v="360"/>
    <n v="160"/>
    <n v="200"/>
    <n v="0.55555555555555558"/>
    <x v="1"/>
  </r>
  <r>
    <x v="6"/>
    <d v="2026-08-03T00:00:00"/>
    <s v="Pasto"/>
    <x v="0"/>
    <x v="0"/>
    <x v="2"/>
    <s v="Aspiradora Robot"/>
    <n v="2"/>
    <n v="280"/>
    <n v="180"/>
    <n v="3"/>
    <n v="3"/>
    <n v="500"/>
    <n v="560"/>
    <n v="360"/>
    <n v="200"/>
    <n v="0.35714285714285715"/>
    <x v="0"/>
  </r>
  <r>
    <x v="7"/>
    <d v="2026-08-03T00:00:00"/>
    <s v="Bogota"/>
    <x v="1"/>
    <x v="1"/>
    <x v="3"/>
    <s v="Botas Moto"/>
    <n v="3"/>
    <n v="150"/>
    <n v="85"/>
    <n v="2"/>
    <n v="2"/>
    <n v="400"/>
    <n v="450"/>
    <n v="255"/>
    <n v="195"/>
    <n v="0.43333333333333335"/>
    <x v="0"/>
  </r>
  <r>
    <x v="8"/>
    <d v="2026-08-03T00:00:00"/>
    <s v="Cali"/>
    <x v="2"/>
    <x v="0"/>
    <x v="0"/>
    <s v="Smart TV 55"/>
    <n v="2"/>
    <n v="520"/>
    <n v="380"/>
    <n v="7"/>
    <n v="4"/>
    <n v="1000"/>
    <n v="1040"/>
    <n v="760"/>
    <n v="280"/>
    <n v="0.26923076923076922"/>
    <x v="1"/>
  </r>
  <r>
    <x v="9"/>
    <d v="2026-08-04T00:00:00"/>
    <s v="Pasto"/>
    <x v="0"/>
    <x v="1"/>
    <x v="1"/>
    <s v="Camisa Lino"/>
    <n v="6"/>
    <n v="55"/>
    <n v="25"/>
    <n v="2"/>
    <n v="3"/>
    <n v="300"/>
    <n v="330"/>
    <n v="150"/>
    <n v="180"/>
    <n v="0.54545454545454541"/>
    <x v="0"/>
  </r>
  <r>
    <x v="10"/>
    <d v="2026-08-04T00:00:00"/>
    <s v="Bogota"/>
    <x v="1"/>
    <x v="0"/>
    <x v="2"/>
    <s v="Juego Comedor"/>
    <n v="1"/>
    <n v="450"/>
    <n v="290"/>
    <n v="4"/>
    <n v="3"/>
    <n v="400"/>
    <n v="450"/>
    <n v="290"/>
    <n v="160"/>
    <n v="0.35555555555555557"/>
    <x v="1"/>
  </r>
  <r>
    <x v="11"/>
    <d v="2026-08-04T00:00:00"/>
    <s v="Cali"/>
    <x v="2"/>
    <x v="1"/>
    <x v="3"/>
    <s v="Sandalias"/>
    <n v="10"/>
    <n v="35"/>
    <n v="15"/>
    <n v="4"/>
    <n v="3"/>
    <n v="300"/>
    <n v="350"/>
    <n v="150"/>
    <n v="200"/>
    <n v="0.5714285714285714"/>
    <x v="1"/>
  </r>
  <r>
    <x v="12"/>
    <d v="2026-08-05T00:00:00"/>
    <s v="Pasto"/>
    <x v="0"/>
    <x v="0"/>
    <x v="0"/>
    <s v="Tablet 10"/>
    <n v="4"/>
    <n v="220"/>
    <n v="140"/>
    <n v="2"/>
    <n v="3"/>
    <n v="800"/>
    <n v="880"/>
    <n v="560"/>
    <n v="320"/>
    <n v="0.36363636363636365"/>
    <x v="0"/>
  </r>
  <r>
    <x v="13"/>
    <d v="2026-08-05T00:00:00"/>
    <s v="Bogota"/>
    <x v="1"/>
    <x v="0"/>
    <x v="1"/>
    <s v="Saco Lana"/>
    <n v="5"/>
    <n v="65"/>
    <n v="30"/>
    <n v="2"/>
    <n v="3"/>
    <n v="300"/>
    <n v="325"/>
    <n v="150"/>
    <n v="175"/>
    <n v="0.53846153846153844"/>
    <x v="0"/>
  </r>
  <r>
    <x v="14"/>
    <d v="2026-08-05T00:00:00"/>
    <s v="Cali"/>
    <x v="2"/>
    <x v="0"/>
    <x v="2"/>
    <s v="Escritorio Pro"/>
    <n v="2"/>
    <n v="180"/>
    <n v="110"/>
    <n v="6"/>
    <n v="3"/>
    <n v="350"/>
    <n v="360"/>
    <n v="220"/>
    <n v="140"/>
    <n v="0.3888888888888889"/>
    <x v="1"/>
  </r>
  <r>
    <x v="15"/>
    <d v="2026-08-06T00:00:00"/>
    <s v="Pasto"/>
    <x v="0"/>
    <x v="1"/>
    <x v="3"/>
    <s v="Tenis Urbano"/>
    <n v="6"/>
    <n v="85"/>
    <n v="45"/>
    <n v="1"/>
    <n v="2"/>
    <n v="500"/>
    <n v="510"/>
    <n v="270"/>
    <n v="240"/>
    <n v="0.47058823529411764"/>
    <x v="0"/>
  </r>
  <r>
    <x v="16"/>
    <d v="2026-08-06T00:00:00"/>
    <s v="Bogota"/>
    <x v="1"/>
    <x v="0"/>
    <x v="0"/>
    <s v="Audifonos BT"/>
    <n v="12"/>
    <n v="75"/>
    <n v="35"/>
    <n v="1"/>
    <n v="2"/>
    <n v="800"/>
    <n v="900"/>
    <n v="420"/>
    <n v="480"/>
    <n v="0.53333333333333333"/>
    <x v="0"/>
  </r>
  <r>
    <x v="17"/>
    <d v="2026-08-06T00:00:00"/>
    <s v="Cali"/>
    <x v="2"/>
    <x v="1"/>
    <x v="1"/>
    <s v="Vestido Formal"/>
    <n v="4"/>
    <n v="110"/>
    <n v="55"/>
    <n v="5"/>
    <n v="3"/>
    <n v="400"/>
    <n v="440"/>
    <n v="220"/>
    <n v="220"/>
    <n v="0.5"/>
    <x v="1"/>
  </r>
  <r>
    <x v="18"/>
    <d v="2026-08-07T00:00:00"/>
    <s v="Pasto"/>
    <x v="0"/>
    <x v="0"/>
    <x v="2"/>
    <s v="Lámpara LED"/>
    <n v="15"/>
    <n v="25"/>
    <n v="10"/>
    <n v="2"/>
    <n v="3"/>
    <n v="300"/>
    <n v="375"/>
    <n v="150"/>
    <n v="225"/>
    <n v="0.6"/>
    <x v="0"/>
  </r>
  <r>
    <x v="19"/>
    <d v="2026-08-07T00:00:00"/>
    <s v="Bogota"/>
    <x v="1"/>
    <x v="1"/>
    <x v="3"/>
    <s v="Zapatos Formales"/>
    <n v="5"/>
    <n v="130"/>
    <n v="70"/>
    <n v="3"/>
    <n v="3"/>
    <n v="600"/>
    <n v="650"/>
    <n v="350"/>
    <n v="300"/>
    <n v="0.46153846153846156"/>
    <x v="0"/>
  </r>
  <r>
    <x v="20"/>
    <d v="2026-08-07T00:00:00"/>
    <s v="Cali"/>
    <x v="2"/>
    <x v="0"/>
    <x v="0"/>
    <s v="Consola Videojuegos"/>
    <n v="2"/>
    <n v="500"/>
    <n v="380"/>
    <n v="6"/>
    <n v="4"/>
    <n v="900"/>
    <n v="1000"/>
    <n v="760"/>
    <n v="240"/>
    <n v="0.24"/>
    <x v="1"/>
  </r>
  <r>
    <x v="21"/>
    <d v="2026-08-08T00:00:00"/>
    <s v="Pasto"/>
    <x v="0"/>
    <x v="0"/>
    <x v="1"/>
    <s v="Chaqueta Impermeable"/>
    <n v="3"/>
    <n v="95"/>
    <n v="45"/>
    <n v="2"/>
    <n v="3"/>
    <n v="300"/>
    <n v="285"/>
    <n v="135"/>
    <n v="150"/>
    <n v="0.52631578947368418"/>
    <x v="0"/>
  </r>
  <r>
    <x v="22"/>
    <d v="2026-08-08T00:00:00"/>
    <s v="Bogota"/>
    <x v="1"/>
    <x v="0"/>
    <x v="2"/>
    <s v="Silla Ergonomica"/>
    <n v="4"/>
    <n v="160"/>
    <n v="95"/>
    <n v="2"/>
    <n v="3"/>
    <n v="600"/>
    <n v="640"/>
    <n v="380"/>
    <n v="260"/>
    <n v="0.40625"/>
    <x v="0"/>
  </r>
  <r>
    <x v="23"/>
    <d v="2026-08-08T00:00:00"/>
    <s v="Cali"/>
    <x v="2"/>
    <x v="1"/>
    <x v="3"/>
    <s v="Tenis Deportivo"/>
    <n v="7"/>
    <n v="90"/>
    <n v="45"/>
    <n v="4"/>
    <n v="3"/>
    <n v="600"/>
    <n v="630"/>
    <n v="315"/>
    <n v="315"/>
    <n v="0.5"/>
    <x v="1"/>
  </r>
  <r>
    <x v="24"/>
    <d v="2026-08-09T00:00:00"/>
    <s v="Pasto"/>
    <x v="0"/>
    <x v="1"/>
    <x v="0"/>
    <s v="Monitor 27"/>
    <n v="3"/>
    <n v="310"/>
    <n v="210"/>
    <n v="2"/>
    <n v="3"/>
    <n v="900"/>
    <n v="930"/>
    <n v="630"/>
    <n v="300"/>
    <n v="0.32258064516129031"/>
    <x v="0"/>
  </r>
  <r>
    <x v="25"/>
    <d v="2026-08-09T00:00:00"/>
    <s v="Bogota"/>
    <x v="1"/>
    <x v="0"/>
    <x v="1"/>
    <s v="Buzo Hooded"/>
    <n v="8"/>
    <n v="50"/>
    <n v="22"/>
    <n v="2"/>
    <n v="3"/>
    <n v="400"/>
    <n v="400"/>
    <n v="176"/>
    <n v="224"/>
    <n v="0.56000000000000005"/>
    <x v="0"/>
  </r>
  <r>
    <x v="26"/>
    <d v="2026-08-09T00:00:00"/>
    <s v="Cali"/>
    <x v="2"/>
    <x v="0"/>
    <x v="2"/>
    <s v="Cama King"/>
    <n v="1"/>
    <n v="750"/>
    <n v="480"/>
    <n v="8"/>
    <n v="4"/>
    <n v="700"/>
    <n v="750"/>
    <n v="480"/>
    <n v="270"/>
    <n v="0.36"/>
    <x v="1"/>
  </r>
  <r>
    <x v="27"/>
    <d v="2026-08-10T00:00:00"/>
    <s v="Pasto"/>
    <x v="0"/>
    <x v="0"/>
    <x v="3"/>
    <s v="Botines Cuero"/>
    <n v="4"/>
    <n v="140"/>
    <n v="75"/>
    <n v="3"/>
    <n v="3"/>
    <n v="500"/>
    <n v="560"/>
    <n v="300"/>
    <n v="260"/>
    <n v="0.4642857142857143"/>
    <x v="0"/>
  </r>
  <r>
    <x v="28"/>
    <d v="2026-08-10T00:00:00"/>
    <s v="Bogota"/>
    <x v="1"/>
    <x v="1"/>
    <x v="0"/>
    <s v="Teclado Mecanico"/>
    <n v="6"/>
    <n v="90"/>
    <n v="50"/>
    <n v="1"/>
    <n v="2"/>
    <n v="500"/>
    <n v="540"/>
    <n v="300"/>
    <n v="240"/>
    <n v="0.44444444444444442"/>
    <x v="0"/>
  </r>
  <r>
    <x v="29"/>
    <d v="2026-08-10T00:00:00"/>
    <s v="Cali"/>
    <x v="2"/>
    <x v="0"/>
    <x v="1"/>
    <s v="Pantalón Cargo"/>
    <n v="6"/>
    <n v="60"/>
    <n v="28"/>
    <n v="5"/>
    <n v="3"/>
    <n v="350"/>
    <n v="360"/>
    <n v="168"/>
    <n v="192"/>
    <n v="0.53333333333333333"/>
    <x v="1"/>
  </r>
  <r>
    <x v="0"/>
    <d v="2026-08-01T00:00:00"/>
    <s v="Pasto"/>
    <x v="0"/>
    <x v="0"/>
    <x v="0"/>
    <s v="Laptop Pro 15"/>
    <n v="2"/>
    <n v="850"/>
    <n v="600"/>
    <n v="2"/>
    <n v="3"/>
    <n v="1500"/>
    <n v="1700"/>
    <n v="1200"/>
    <n v="500"/>
    <n v="0.29411764705882354"/>
    <x v="0"/>
  </r>
  <r>
    <x v="1"/>
    <d v="2026-08-01T00:00:00"/>
    <s v="Bogota"/>
    <x v="1"/>
    <x v="1"/>
    <x v="1"/>
    <s v="Chaqueta Cuero"/>
    <n v="5"/>
    <n v="120"/>
    <n v="70"/>
    <n v="3"/>
    <n v="3"/>
    <n v="500"/>
    <n v="600"/>
    <n v="350"/>
    <n v="250"/>
    <n v="0.41666666666666669"/>
    <x v="0"/>
  </r>
  <r>
    <x v="2"/>
    <d v="2026-08-01T00:00:00"/>
    <s v="Cali"/>
    <x v="2"/>
    <x v="0"/>
    <x v="2"/>
    <s v="Cafetera Express"/>
    <n v="3"/>
    <n v="90"/>
    <n v="50"/>
    <n v="6"/>
    <n v="4"/>
    <n v="300"/>
    <n v="270"/>
    <n v="150"/>
    <n v="120"/>
    <n v="0.44444444444444442"/>
    <x v="1"/>
  </r>
  <r>
    <x v="3"/>
    <d v="2026-08-02T00:00:00"/>
    <s v="Pasto"/>
    <x v="0"/>
    <x v="1"/>
    <x v="3"/>
    <s v="Tenis Running"/>
    <n v="4"/>
    <n v="110"/>
    <n v="60"/>
    <n v="1"/>
    <n v="2"/>
    <n v="400"/>
    <n v="440"/>
    <n v="240"/>
    <n v="200"/>
    <n v="0.45454545454545453"/>
    <x v="0"/>
  </r>
  <r>
    <x v="4"/>
    <d v="2026-08-02T00:00:00"/>
    <s v="Bogota"/>
    <x v="1"/>
    <x v="0"/>
    <x v="0"/>
    <s v="Smartphone X"/>
    <n v="3"/>
    <n v="650"/>
    <n v="450"/>
    <n v="2"/>
    <n v="3"/>
    <n v="1800"/>
    <n v="1950"/>
    <n v="1350"/>
    <n v="600"/>
    <n v="0.30769230769230771"/>
    <x v="0"/>
  </r>
  <r>
    <x v="5"/>
    <d v="2026-08-02T00:00:00"/>
    <s v="Cali"/>
    <x v="2"/>
    <x v="0"/>
    <x v="1"/>
    <s v="Jean Slim Fit"/>
    <n v="8"/>
    <n v="45"/>
    <n v="20"/>
    <n v="5"/>
    <n v="3"/>
    <n v="400"/>
    <n v="360"/>
    <n v="160"/>
    <n v="200"/>
    <n v="0.55555555555555558"/>
    <x v="1"/>
  </r>
  <r>
    <x v="6"/>
    <d v="2026-08-03T00:00:00"/>
    <s v="Pasto"/>
    <x v="0"/>
    <x v="0"/>
    <x v="2"/>
    <s v="Aspiradora Robot"/>
    <n v="2"/>
    <n v="280"/>
    <n v="180"/>
    <n v="3"/>
    <n v="3"/>
    <n v="500"/>
    <n v="560"/>
    <n v="360"/>
    <n v="200"/>
    <n v="0.35714285714285715"/>
    <x v="0"/>
  </r>
  <r>
    <x v="7"/>
    <d v="2026-08-03T00:00:00"/>
    <s v="Bogota"/>
    <x v="1"/>
    <x v="1"/>
    <x v="3"/>
    <s v="Botas Moto"/>
    <n v="3"/>
    <n v="150"/>
    <n v="85"/>
    <n v="2"/>
    <n v="2"/>
    <n v="400"/>
    <n v="450"/>
    <n v="255"/>
    <n v="195"/>
    <n v="0.43333333333333335"/>
    <x v="0"/>
  </r>
  <r>
    <x v="8"/>
    <d v="2026-08-03T00:00:00"/>
    <s v="Cali"/>
    <x v="2"/>
    <x v="0"/>
    <x v="0"/>
    <s v="Smart TV 55"/>
    <n v="2"/>
    <n v="520"/>
    <n v="380"/>
    <n v="7"/>
    <n v="4"/>
    <n v="1000"/>
    <n v="1040"/>
    <n v="760"/>
    <n v="280"/>
    <n v="0.26923076923076922"/>
    <x v="1"/>
  </r>
  <r>
    <x v="9"/>
    <d v="2026-08-04T00:00:00"/>
    <s v="Pasto"/>
    <x v="0"/>
    <x v="1"/>
    <x v="1"/>
    <s v="Camisa Lino"/>
    <n v="6"/>
    <n v="55"/>
    <n v="25"/>
    <n v="2"/>
    <n v="3"/>
    <n v="300"/>
    <n v="330"/>
    <n v="150"/>
    <n v="180"/>
    <n v="0.54545454545454541"/>
    <x v="0"/>
  </r>
  <r>
    <x v="10"/>
    <d v="2026-08-04T00:00:00"/>
    <s v="Bogota"/>
    <x v="1"/>
    <x v="0"/>
    <x v="2"/>
    <s v="Juego Comedor"/>
    <n v="1"/>
    <n v="450"/>
    <n v="290"/>
    <n v="4"/>
    <n v="3"/>
    <n v="400"/>
    <n v="450"/>
    <n v="290"/>
    <n v="160"/>
    <n v="0.35555555555555557"/>
    <x v="1"/>
  </r>
  <r>
    <x v="11"/>
    <d v="2026-08-04T00:00:00"/>
    <s v="Cali"/>
    <x v="2"/>
    <x v="1"/>
    <x v="3"/>
    <s v="Sandalias"/>
    <n v="10"/>
    <n v="35"/>
    <n v="15"/>
    <n v="4"/>
    <n v="3"/>
    <n v="300"/>
    <n v="350"/>
    <n v="150"/>
    <n v="200"/>
    <n v="0.5714285714285714"/>
    <x v="1"/>
  </r>
  <r>
    <x v="12"/>
    <d v="2026-08-05T00:00:00"/>
    <s v="Pasto"/>
    <x v="0"/>
    <x v="0"/>
    <x v="0"/>
    <s v="Tablet 10"/>
    <n v="4"/>
    <n v="220"/>
    <n v="140"/>
    <n v="2"/>
    <n v="3"/>
    <n v="800"/>
    <n v="880"/>
    <n v="560"/>
    <n v="320"/>
    <n v="0.36363636363636365"/>
    <x v="0"/>
  </r>
  <r>
    <x v="13"/>
    <d v="2026-08-05T00:00:00"/>
    <s v="Bogota"/>
    <x v="1"/>
    <x v="0"/>
    <x v="1"/>
    <s v="Saco Lana"/>
    <n v="5"/>
    <n v="65"/>
    <n v="30"/>
    <n v="2"/>
    <n v="3"/>
    <n v="300"/>
    <n v="325"/>
    <n v="150"/>
    <n v="175"/>
    <n v="0.53846153846153844"/>
    <x v="0"/>
  </r>
  <r>
    <x v="14"/>
    <d v="2026-08-05T00:00:00"/>
    <s v="Cali"/>
    <x v="2"/>
    <x v="0"/>
    <x v="2"/>
    <s v="Escritorio Pro"/>
    <n v="2"/>
    <n v="180"/>
    <n v="110"/>
    <n v="6"/>
    <n v="3"/>
    <n v="350"/>
    <n v="360"/>
    <n v="220"/>
    <n v="140"/>
    <n v="0.3888888888888889"/>
    <x v="1"/>
  </r>
  <r>
    <x v="15"/>
    <d v="2026-08-06T00:00:00"/>
    <s v="Pasto"/>
    <x v="0"/>
    <x v="1"/>
    <x v="3"/>
    <s v="Tenis Urbano"/>
    <n v="6"/>
    <n v="85"/>
    <n v="45"/>
    <n v="1"/>
    <n v="2"/>
    <n v="500"/>
    <n v="510"/>
    <n v="270"/>
    <n v="240"/>
    <n v="0.47058823529411764"/>
    <x v="0"/>
  </r>
  <r>
    <x v="16"/>
    <d v="2026-08-06T00:00:00"/>
    <s v="Bogota"/>
    <x v="1"/>
    <x v="0"/>
    <x v="0"/>
    <s v="Audifonos BT"/>
    <n v="12"/>
    <n v="75"/>
    <n v="35"/>
    <n v="1"/>
    <n v="2"/>
    <n v="800"/>
    <n v="900"/>
    <n v="420"/>
    <n v="480"/>
    <n v="0.53333333333333333"/>
    <x v="0"/>
  </r>
  <r>
    <x v="17"/>
    <d v="2026-08-06T00:00:00"/>
    <s v="Cali"/>
    <x v="2"/>
    <x v="1"/>
    <x v="1"/>
    <s v="Vestido Formal"/>
    <n v="4"/>
    <n v="110"/>
    <n v="55"/>
    <n v="5"/>
    <n v="3"/>
    <n v="400"/>
    <n v="440"/>
    <n v="220"/>
    <n v="220"/>
    <n v="0.5"/>
    <x v="1"/>
  </r>
  <r>
    <x v="18"/>
    <d v="2026-08-07T00:00:00"/>
    <s v="Pasto"/>
    <x v="0"/>
    <x v="0"/>
    <x v="2"/>
    <s v="Lámpara LED"/>
    <n v="15"/>
    <n v="25"/>
    <n v="10"/>
    <n v="2"/>
    <n v="3"/>
    <n v="300"/>
    <n v="375"/>
    <n v="150"/>
    <n v="225"/>
    <n v="0.6"/>
    <x v="0"/>
  </r>
  <r>
    <x v="19"/>
    <d v="2026-08-07T00:00:00"/>
    <s v="Bogota"/>
    <x v="1"/>
    <x v="1"/>
    <x v="3"/>
    <s v="Zapatos Formales"/>
    <n v="5"/>
    <n v="130"/>
    <n v="70"/>
    <n v="3"/>
    <n v="3"/>
    <n v="600"/>
    <n v="650"/>
    <n v="350"/>
    <n v="300"/>
    <n v="0.46153846153846156"/>
    <x v="0"/>
  </r>
  <r>
    <x v="20"/>
    <d v="2026-08-07T00:00:00"/>
    <s v="Cali"/>
    <x v="2"/>
    <x v="0"/>
    <x v="0"/>
    <s v="Consola Videojuegos"/>
    <n v="2"/>
    <n v="500"/>
    <n v="380"/>
    <n v="6"/>
    <n v="4"/>
    <n v="900"/>
    <n v="1000"/>
    <n v="760"/>
    <n v="240"/>
    <n v="0.24"/>
    <x v="1"/>
  </r>
  <r>
    <x v="21"/>
    <d v="2026-08-08T00:00:00"/>
    <s v="Pasto"/>
    <x v="0"/>
    <x v="0"/>
    <x v="1"/>
    <s v="Chaqueta Impermeable"/>
    <n v="3"/>
    <n v="95"/>
    <n v="45"/>
    <n v="2"/>
    <n v="3"/>
    <n v="300"/>
    <n v="285"/>
    <n v="135"/>
    <n v="150"/>
    <n v="0.52631578947368418"/>
    <x v="0"/>
  </r>
  <r>
    <x v="22"/>
    <d v="2026-08-08T00:00:00"/>
    <s v="Bogota"/>
    <x v="1"/>
    <x v="0"/>
    <x v="2"/>
    <s v="Silla Ergonomica"/>
    <n v="4"/>
    <n v="160"/>
    <n v="95"/>
    <n v="2"/>
    <n v="3"/>
    <n v="600"/>
    <n v="640"/>
    <n v="380"/>
    <n v="260"/>
    <n v="0.40625"/>
    <x v="0"/>
  </r>
  <r>
    <x v="23"/>
    <d v="2026-08-08T00:00:00"/>
    <s v="Cali"/>
    <x v="2"/>
    <x v="1"/>
    <x v="3"/>
    <s v="Tenis Deportivo"/>
    <n v="7"/>
    <n v="90"/>
    <n v="45"/>
    <n v="4"/>
    <n v="3"/>
    <n v="600"/>
    <n v="630"/>
    <n v="315"/>
    <n v="315"/>
    <n v="0.5"/>
    <x v="1"/>
  </r>
  <r>
    <x v="24"/>
    <d v="2026-08-09T00:00:00"/>
    <s v="Pasto"/>
    <x v="0"/>
    <x v="1"/>
    <x v="0"/>
    <s v="Monitor 27"/>
    <n v="3"/>
    <n v="310"/>
    <n v="210"/>
    <n v="2"/>
    <n v="3"/>
    <n v="900"/>
    <n v="930"/>
    <n v="630"/>
    <n v="300"/>
    <n v="0.32258064516129031"/>
    <x v="0"/>
  </r>
  <r>
    <x v="25"/>
    <d v="2026-08-09T00:00:00"/>
    <s v="Bogota"/>
    <x v="1"/>
    <x v="0"/>
    <x v="1"/>
    <s v="Buzo Hooded"/>
    <n v="8"/>
    <n v="50"/>
    <n v="22"/>
    <n v="2"/>
    <n v="3"/>
    <n v="400"/>
    <n v="400"/>
    <n v="176"/>
    <n v="224"/>
    <n v="0.56000000000000005"/>
    <x v="0"/>
  </r>
  <r>
    <x v="26"/>
    <d v="2026-08-09T00:00:00"/>
    <s v="Cali"/>
    <x v="2"/>
    <x v="0"/>
    <x v="2"/>
    <s v="Cama King"/>
    <n v="1"/>
    <n v="750"/>
    <n v="480"/>
    <n v="8"/>
    <n v="4"/>
    <n v="700"/>
    <n v="750"/>
    <n v="480"/>
    <n v="270"/>
    <n v="0.36"/>
    <x v="1"/>
  </r>
  <r>
    <x v="27"/>
    <d v="2026-08-10T00:00:00"/>
    <s v="Pasto"/>
    <x v="0"/>
    <x v="0"/>
    <x v="3"/>
    <s v="Botines Cuero"/>
    <n v="4"/>
    <n v="140"/>
    <n v="75"/>
    <n v="3"/>
    <n v="3"/>
    <n v="500"/>
    <n v="560"/>
    <n v="300"/>
    <n v="260"/>
    <n v="0.4642857142857143"/>
    <x v="0"/>
  </r>
  <r>
    <x v="28"/>
    <d v="2026-08-10T00:00:00"/>
    <s v="Bogota"/>
    <x v="1"/>
    <x v="1"/>
    <x v="0"/>
    <s v="Teclado Mecanico"/>
    <n v="6"/>
    <n v="90"/>
    <n v="50"/>
    <n v="1"/>
    <n v="2"/>
    <n v="500"/>
    <n v="540"/>
    <n v="300"/>
    <n v="240"/>
    <n v="0.44444444444444442"/>
    <x v="0"/>
  </r>
  <r>
    <x v="29"/>
    <d v="2026-08-10T00:00:00"/>
    <s v="Cali"/>
    <x v="2"/>
    <x v="0"/>
    <x v="1"/>
    <s v="Pantalón Cargo"/>
    <n v="6"/>
    <n v="60"/>
    <n v="28"/>
    <n v="5"/>
    <n v="3"/>
    <n v="350"/>
    <n v="360"/>
    <n v="168"/>
    <n v="192"/>
    <n v="0.53333333333333333"/>
    <x v="1"/>
  </r>
  <r>
    <x v="0"/>
    <d v="2026-08-01T00:00:00"/>
    <s v="Pasto"/>
    <x v="0"/>
    <x v="0"/>
    <x v="0"/>
    <s v="Laptop Pro 15"/>
    <n v="2"/>
    <n v="850"/>
    <n v="600"/>
    <n v="2"/>
    <n v="3"/>
    <n v="1500"/>
    <n v="1700"/>
    <n v="1200"/>
    <n v="500"/>
    <n v="0.29411764705882354"/>
    <x v="0"/>
  </r>
  <r>
    <x v="1"/>
    <d v="2026-08-01T00:00:00"/>
    <s v="Bogota"/>
    <x v="1"/>
    <x v="1"/>
    <x v="1"/>
    <s v="Chaqueta Cuero"/>
    <n v="5"/>
    <n v="120"/>
    <n v="70"/>
    <n v="3"/>
    <n v="3"/>
    <n v="500"/>
    <n v="600"/>
    <n v="350"/>
    <n v="250"/>
    <n v="0.41666666666666669"/>
    <x v="0"/>
  </r>
  <r>
    <x v="2"/>
    <d v="2026-08-01T00:00:00"/>
    <s v="Cali"/>
    <x v="2"/>
    <x v="0"/>
    <x v="2"/>
    <s v="Cafetera Express"/>
    <n v="3"/>
    <n v="90"/>
    <n v="50"/>
    <n v="6"/>
    <n v="4"/>
    <n v="300"/>
    <n v="270"/>
    <n v="150"/>
    <n v="120"/>
    <n v="0.44444444444444442"/>
    <x v="1"/>
  </r>
  <r>
    <x v="3"/>
    <d v="2026-08-02T00:00:00"/>
    <s v="Pasto"/>
    <x v="0"/>
    <x v="1"/>
    <x v="3"/>
    <s v="Tenis Running"/>
    <n v="4"/>
    <n v="110"/>
    <n v="60"/>
    <n v="1"/>
    <n v="2"/>
    <n v="400"/>
    <n v="440"/>
    <n v="240"/>
    <n v="200"/>
    <n v="0.45454545454545453"/>
    <x v="0"/>
  </r>
  <r>
    <x v="4"/>
    <d v="2026-08-02T00:00:00"/>
    <s v="Bogota"/>
    <x v="1"/>
    <x v="0"/>
    <x v="0"/>
    <s v="Smartphone X"/>
    <n v="3"/>
    <n v="650"/>
    <n v="450"/>
    <n v="2"/>
    <n v="3"/>
    <n v="1800"/>
    <n v="1950"/>
    <n v="1350"/>
    <n v="600"/>
    <n v="0.30769230769230771"/>
    <x v="0"/>
  </r>
  <r>
    <x v="5"/>
    <d v="2026-08-02T00:00:00"/>
    <s v="Cali"/>
    <x v="2"/>
    <x v="0"/>
    <x v="1"/>
    <s v="Jean Slim Fit"/>
    <n v="8"/>
    <n v="45"/>
    <n v="20"/>
    <n v="5"/>
    <n v="3"/>
    <n v="400"/>
    <n v="360"/>
    <n v="160"/>
    <n v="200"/>
    <n v="0.55555555555555558"/>
    <x v="1"/>
  </r>
  <r>
    <x v="6"/>
    <d v="2026-08-03T00:00:00"/>
    <s v="Pasto"/>
    <x v="0"/>
    <x v="0"/>
    <x v="2"/>
    <s v="Aspiradora Robot"/>
    <n v="2"/>
    <n v="280"/>
    <n v="180"/>
    <n v="3"/>
    <n v="3"/>
    <n v="500"/>
    <n v="560"/>
    <n v="360"/>
    <n v="200"/>
    <n v="0.35714285714285715"/>
    <x v="0"/>
  </r>
  <r>
    <x v="7"/>
    <d v="2026-08-03T00:00:00"/>
    <s v="Bogota"/>
    <x v="1"/>
    <x v="1"/>
    <x v="3"/>
    <s v="Botas Moto"/>
    <n v="3"/>
    <n v="150"/>
    <n v="85"/>
    <n v="2"/>
    <n v="2"/>
    <n v="400"/>
    <n v="450"/>
    <n v="255"/>
    <n v="195"/>
    <n v="0.43333333333333335"/>
    <x v="0"/>
  </r>
  <r>
    <x v="8"/>
    <d v="2026-08-03T00:00:00"/>
    <s v="Cali"/>
    <x v="2"/>
    <x v="0"/>
    <x v="0"/>
    <s v="Smart TV 55"/>
    <n v="2"/>
    <n v="520"/>
    <n v="380"/>
    <n v="7"/>
    <n v="4"/>
    <n v="1000"/>
    <n v="1040"/>
    <n v="760"/>
    <n v="280"/>
    <n v="0.26923076923076922"/>
    <x v="1"/>
  </r>
  <r>
    <x v="9"/>
    <d v="2026-08-04T00:00:00"/>
    <s v="Pasto"/>
    <x v="0"/>
    <x v="1"/>
    <x v="1"/>
    <s v="Camisa Lino"/>
    <n v="6"/>
    <n v="55"/>
    <n v="25"/>
    <n v="2"/>
    <n v="3"/>
    <n v="300"/>
    <n v="330"/>
    <n v="150"/>
    <n v="180"/>
    <n v="0.54545454545454541"/>
    <x v="0"/>
  </r>
  <r>
    <x v="10"/>
    <d v="2026-08-04T00:00:00"/>
    <s v="Bogota"/>
    <x v="1"/>
    <x v="0"/>
    <x v="2"/>
    <s v="Juego Comedor"/>
    <n v="1"/>
    <n v="450"/>
    <n v="290"/>
    <n v="4"/>
    <n v="3"/>
    <n v="400"/>
    <n v="450"/>
    <n v="290"/>
    <n v="160"/>
    <n v="0.35555555555555557"/>
    <x v="1"/>
  </r>
  <r>
    <x v="11"/>
    <d v="2026-08-04T00:00:00"/>
    <s v="Cali"/>
    <x v="2"/>
    <x v="1"/>
    <x v="3"/>
    <s v="Sandalias"/>
    <n v="10"/>
    <n v="35"/>
    <n v="15"/>
    <n v="4"/>
    <n v="3"/>
    <n v="300"/>
    <n v="350"/>
    <n v="150"/>
    <n v="200"/>
    <n v="0.5714285714285714"/>
    <x v="1"/>
  </r>
  <r>
    <x v="12"/>
    <d v="2026-08-05T00:00:00"/>
    <s v="Pasto"/>
    <x v="0"/>
    <x v="0"/>
    <x v="0"/>
    <s v="Tablet 10"/>
    <n v="4"/>
    <n v="220"/>
    <n v="140"/>
    <n v="2"/>
    <n v="3"/>
    <n v="800"/>
    <n v="880"/>
    <n v="560"/>
    <n v="320"/>
    <n v="0.36363636363636365"/>
    <x v="0"/>
  </r>
  <r>
    <x v="13"/>
    <d v="2026-08-05T00:00:00"/>
    <s v="Bogota"/>
    <x v="1"/>
    <x v="0"/>
    <x v="1"/>
    <s v="Saco Lana"/>
    <n v="5"/>
    <n v="65"/>
    <n v="30"/>
    <n v="2"/>
    <n v="3"/>
    <n v="300"/>
    <n v="325"/>
    <n v="150"/>
    <n v="175"/>
    <n v="0.53846153846153844"/>
    <x v="0"/>
  </r>
  <r>
    <x v="14"/>
    <d v="2026-08-05T00:00:00"/>
    <s v="Cali"/>
    <x v="2"/>
    <x v="0"/>
    <x v="2"/>
    <s v="Escritorio Pro"/>
    <n v="2"/>
    <n v="180"/>
    <n v="110"/>
    <n v="6"/>
    <n v="3"/>
    <n v="350"/>
    <n v="360"/>
    <n v="220"/>
    <n v="140"/>
    <n v="0.3888888888888889"/>
    <x v="1"/>
  </r>
  <r>
    <x v="15"/>
    <d v="2026-08-06T00:00:00"/>
    <s v="Pasto"/>
    <x v="0"/>
    <x v="1"/>
    <x v="3"/>
    <s v="Tenis Urbano"/>
    <n v="6"/>
    <n v="85"/>
    <n v="45"/>
    <n v="1"/>
    <n v="2"/>
    <n v="500"/>
    <n v="510"/>
    <n v="270"/>
    <n v="240"/>
    <n v="0.47058823529411764"/>
    <x v="0"/>
  </r>
  <r>
    <x v="16"/>
    <d v="2026-08-06T00:00:00"/>
    <s v="Bogota"/>
    <x v="1"/>
    <x v="0"/>
    <x v="0"/>
    <s v="Audifonos BT"/>
    <n v="12"/>
    <n v="75"/>
    <n v="35"/>
    <n v="1"/>
    <n v="2"/>
    <n v="800"/>
    <n v="900"/>
    <n v="420"/>
    <n v="480"/>
    <n v="0.53333333333333333"/>
    <x v="0"/>
  </r>
  <r>
    <x v="17"/>
    <d v="2026-08-06T00:00:00"/>
    <s v="Cali"/>
    <x v="2"/>
    <x v="1"/>
    <x v="1"/>
    <s v="Vestido Formal"/>
    <n v="4"/>
    <n v="110"/>
    <n v="55"/>
    <n v="5"/>
    <n v="3"/>
    <n v="400"/>
    <n v="440"/>
    <n v="220"/>
    <n v="220"/>
    <n v="0.5"/>
    <x v="1"/>
  </r>
  <r>
    <x v="18"/>
    <d v="2026-08-07T00:00:00"/>
    <s v="Pasto"/>
    <x v="0"/>
    <x v="0"/>
    <x v="2"/>
    <s v="Lámpara LED"/>
    <n v="15"/>
    <n v="25"/>
    <n v="10"/>
    <n v="2"/>
    <n v="3"/>
    <n v="300"/>
    <n v="375"/>
    <n v="150"/>
    <n v="225"/>
    <n v="0.6"/>
    <x v="0"/>
  </r>
  <r>
    <x v="19"/>
    <d v="2026-08-07T00:00:00"/>
    <s v="Bogota"/>
    <x v="1"/>
    <x v="1"/>
    <x v="3"/>
    <s v="Zapatos Formales"/>
    <n v="5"/>
    <n v="130"/>
    <n v="70"/>
    <n v="3"/>
    <n v="3"/>
    <n v="600"/>
    <n v="650"/>
    <n v="350"/>
    <n v="300"/>
    <n v="0.46153846153846156"/>
    <x v="0"/>
  </r>
  <r>
    <x v="20"/>
    <d v="2026-08-07T00:00:00"/>
    <s v="Cali"/>
    <x v="2"/>
    <x v="0"/>
    <x v="0"/>
    <s v="Consola Videojuegos"/>
    <n v="2"/>
    <n v="500"/>
    <n v="380"/>
    <n v="6"/>
    <n v="4"/>
    <n v="900"/>
    <n v="1000"/>
    <n v="760"/>
    <n v="240"/>
    <n v="0.24"/>
    <x v="1"/>
  </r>
  <r>
    <x v="21"/>
    <d v="2026-08-08T00:00:00"/>
    <s v="Pasto"/>
    <x v="0"/>
    <x v="0"/>
    <x v="1"/>
    <s v="Chaqueta Impermeable"/>
    <n v="3"/>
    <n v="95"/>
    <n v="45"/>
    <n v="2"/>
    <n v="3"/>
    <n v="300"/>
    <n v="285"/>
    <n v="135"/>
    <n v="150"/>
    <n v="0.52631578947368418"/>
    <x v="0"/>
  </r>
  <r>
    <x v="22"/>
    <d v="2026-08-08T00:00:00"/>
    <s v="Bogota"/>
    <x v="1"/>
    <x v="0"/>
    <x v="2"/>
    <s v="Silla Ergonomica"/>
    <n v="4"/>
    <n v="160"/>
    <n v="95"/>
    <n v="2"/>
    <n v="3"/>
    <n v="600"/>
    <n v="640"/>
    <n v="380"/>
    <n v="260"/>
    <n v="0.40625"/>
    <x v="0"/>
  </r>
  <r>
    <x v="23"/>
    <d v="2026-08-08T00:00:00"/>
    <s v="Cali"/>
    <x v="2"/>
    <x v="1"/>
    <x v="3"/>
    <s v="Tenis Deportivo"/>
    <n v="7"/>
    <n v="90"/>
    <n v="45"/>
    <n v="4"/>
    <n v="3"/>
    <n v="600"/>
    <n v="630"/>
    <n v="315"/>
    <n v="315"/>
    <n v="0.5"/>
    <x v="1"/>
  </r>
  <r>
    <x v="24"/>
    <d v="2026-08-09T00:00:00"/>
    <s v="Pasto"/>
    <x v="0"/>
    <x v="1"/>
    <x v="0"/>
    <s v="Monitor 27"/>
    <n v="3"/>
    <n v="310"/>
    <n v="210"/>
    <n v="2"/>
    <n v="3"/>
    <n v="900"/>
    <n v="930"/>
    <n v="630"/>
    <n v="300"/>
    <n v="0.32258064516129031"/>
    <x v="0"/>
  </r>
  <r>
    <x v="25"/>
    <d v="2026-08-09T00:00:00"/>
    <s v="Bogota"/>
    <x v="1"/>
    <x v="0"/>
    <x v="1"/>
    <s v="Buzo Hooded"/>
    <n v="8"/>
    <n v="50"/>
    <n v="22"/>
    <n v="2"/>
    <n v="3"/>
    <n v="400"/>
    <n v="400"/>
    <n v="176"/>
    <n v="224"/>
    <n v="0.56000000000000005"/>
    <x v="0"/>
  </r>
  <r>
    <x v="26"/>
    <d v="2026-08-09T00:00:00"/>
    <s v="Cali"/>
    <x v="2"/>
    <x v="0"/>
    <x v="2"/>
    <s v="Cama King"/>
    <n v="1"/>
    <n v="750"/>
    <n v="480"/>
    <n v="8"/>
    <n v="4"/>
    <n v="700"/>
    <n v="750"/>
    <n v="480"/>
    <n v="270"/>
    <n v="0.36"/>
    <x v="1"/>
  </r>
  <r>
    <x v="27"/>
    <d v="2026-08-10T00:00:00"/>
    <s v="Pasto"/>
    <x v="0"/>
    <x v="0"/>
    <x v="3"/>
    <s v="Botines Cuero"/>
    <n v="4"/>
    <n v="140"/>
    <n v="75"/>
    <n v="3"/>
    <n v="3"/>
    <n v="500"/>
    <n v="560"/>
    <n v="300"/>
    <n v="260"/>
    <n v="0.4642857142857143"/>
    <x v="0"/>
  </r>
  <r>
    <x v="28"/>
    <d v="2026-08-10T00:00:00"/>
    <s v="Bogota"/>
    <x v="1"/>
    <x v="1"/>
    <x v="0"/>
    <s v="Teclado Mecanico"/>
    <n v="6"/>
    <n v="90"/>
    <n v="50"/>
    <n v="1"/>
    <n v="2"/>
    <n v="500"/>
    <n v="540"/>
    <n v="300"/>
    <n v="240"/>
    <n v="0.44444444444444442"/>
    <x v="0"/>
  </r>
  <r>
    <x v="29"/>
    <d v="2026-08-10T00:00:00"/>
    <s v="Cali"/>
    <x v="2"/>
    <x v="0"/>
    <x v="1"/>
    <s v="Pantalón Cargo"/>
    <n v="6"/>
    <n v="60"/>
    <n v="28"/>
    <n v="5"/>
    <n v="3"/>
    <n v="350"/>
    <n v="360"/>
    <n v="168"/>
    <n v="192"/>
    <n v="0.53333333333333333"/>
    <x v="1"/>
  </r>
  <r>
    <x v="0"/>
    <d v="2026-08-01T00:00:00"/>
    <s v="Pasto"/>
    <x v="0"/>
    <x v="0"/>
    <x v="0"/>
    <s v="Laptop Pro 15"/>
    <n v="2"/>
    <n v="850"/>
    <n v="600"/>
    <n v="2"/>
    <n v="3"/>
    <n v="1500"/>
    <n v="1700"/>
    <n v="1200"/>
    <n v="500"/>
    <n v="0.29411764705882354"/>
    <x v="0"/>
  </r>
  <r>
    <x v="1"/>
    <d v="2026-08-01T00:00:00"/>
    <s v="Bogota"/>
    <x v="1"/>
    <x v="1"/>
    <x v="1"/>
    <s v="Chaqueta Cuero"/>
    <n v="5"/>
    <n v="120"/>
    <n v="70"/>
    <n v="3"/>
    <n v="3"/>
    <n v="500"/>
    <n v="600"/>
    <n v="350"/>
    <n v="250"/>
    <n v="0.41666666666666669"/>
    <x v="0"/>
  </r>
  <r>
    <x v="2"/>
    <d v="2026-08-01T00:00:00"/>
    <s v="Cali"/>
    <x v="2"/>
    <x v="0"/>
    <x v="2"/>
    <s v="Cafetera Express"/>
    <n v="3"/>
    <n v="90"/>
    <n v="50"/>
    <n v="6"/>
    <n v="4"/>
    <n v="300"/>
    <n v="270"/>
    <n v="150"/>
    <n v="120"/>
    <n v="0.44444444444444442"/>
    <x v="1"/>
  </r>
  <r>
    <x v="3"/>
    <d v="2026-08-02T00:00:00"/>
    <s v="Pasto"/>
    <x v="0"/>
    <x v="1"/>
    <x v="3"/>
    <s v="Tenis Running"/>
    <n v="4"/>
    <n v="110"/>
    <n v="60"/>
    <n v="1"/>
    <n v="2"/>
    <n v="400"/>
    <n v="440"/>
    <n v="240"/>
    <n v="200"/>
    <n v="0.45454545454545453"/>
    <x v="0"/>
  </r>
  <r>
    <x v="4"/>
    <d v="2026-08-02T00:00:00"/>
    <s v="Bogota"/>
    <x v="1"/>
    <x v="0"/>
    <x v="0"/>
    <s v="Smartphone X"/>
    <n v="3"/>
    <n v="650"/>
    <n v="450"/>
    <n v="2"/>
    <n v="3"/>
    <n v="1800"/>
    <n v="1950"/>
    <n v="1350"/>
    <n v="600"/>
    <n v="0.30769230769230771"/>
    <x v="0"/>
  </r>
  <r>
    <x v="5"/>
    <d v="2026-08-02T00:00:00"/>
    <s v="Cali"/>
    <x v="2"/>
    <x v="0"/>
    <x v="1"/>
    <s v="Jean Slim Fit"/>
    <n v="8"/>
    <n v="45"/>
    <n v="20"/>
    <n v="5"/>
    <n v="3"/>
    <n v="400"/>
    <n v="360"/>
    <n v="160"/>
    <n v="200"/>
    <n v="0.55555555555555558"/>
    <x v="1"/>
  </r>
  <r>
    <x v="6"/>
    <d v="2026-08-03T00:00:00"/>
    <s v="Pasto"/>
    <x v="0"/>
    <x v="0"/>
    <x v="2"/>
    <s v="Aspiradora Robot"/>
    <n v="2"/>
    <n v="280"/>
    <n v="180"/>
    <n v="3"/>
    <n v="3"/>
    <n v="500"/>
    <n v="560"/>
    <n v="360"/>
    <n v="200"/>
    <n v="0.35714285714285715"/>
    <x v="0"/>
  </r>
  <r>
    <x v="7"/>
    <d v="2026-08-03T00:00:00"/>
    <s v="Bogota"/>
    <x v="1"/>
    <x v="1"/>
    <x v="3"/>
    <s v="Botas Moto"/>
    <n v="3"/>
    <n v="150"/>
    <n v="85"/>
    <n v="2"/>
    <n v="2"/>
    <n v="400"/>
    <n v="450"/>
    <n v="255"/>
    <n v="195"/>
    <n v="0.43333333333333335"/>
    <x v="0"/>
  </r>
  <r>
    <x v="8"/>
    <d v="2026-08-03T00:00:00"/>
    <s v="Cali"/>
    <x v="2"/>
    <x v="0"/>
    <x v="0"/>
    <s v="Smart TV 55"/>
    <n v="2"/>
    <n v="520"/>
    <n v="380"/>
    <n v="7"/>
    <n v="4"/>
    <n v="1000"/>
    <n v="1040"/>
    <n v="760"/>
    <n v="280"/>
    <n v="0.26923076923076922"/>
    <x v="1"/>
  </r>
  <r>
    <x v="9"/>
    <d v="2026-08-04T00:00:00"/>
    <s v="Pasto"/>
    <x v="0"/>
    <x v="1"/>
    <x v="1"/>
    <s v="Camisa Lino"/>
    <n v="6"/>
    <n v="55"/>
    <n v="25"/>
    <n v="2"/>
    <n v="3"/>
    <n v="300"/>
    <n v="330"/>
    <n v="150"/>
    <n v="180"/>
    <n v="0.54545454545454541"/>
    <x v="0"/>
  </r>
  <r>
    <x v="10"/>
    <d v="2026-08-04T00:00:00"/>
    <s v="Bogota"/>
    <x v="1"/>
    <x v="0"/>
    <x v="2"/>
    <s v="Juego Comedor"/>
    <n v="1"/>
    <n v="450"/>
    <n v="290"/>
    <n v="4"/>
    <n v="3"/>
    <n v="400"/>
    <n v="450"/>
    <n v="290"/>
    <n v="160"/>
    <n v="0.35555555555555557"/>
    <x v="1"/>
  </r>
  <r>
    <x v="11"/>
    <d v="2026-08-04T00:00:00"/>
    <s v="Cali"/>
    <x v="2"/>
    <x v="1"/>
    <x v="3"/>
    <s v="Sandalias"/>
    <n v="10"/>
    <n v="35"/>
    <n v="15"/>
    <n v="4"/>
    <n v="3"/>
    <n v="300"/>
    <n v="350"/>
    <n v="150"/>
    <n v="200"/>
    <n v="0.5714285714285714"/>
    <x v="1"/>
  </r>
  <r>
    <x v="12"/>
    <d v="2026-08-05T00:00:00"/>
    <s v="Pasto"/>
    <x v="0"/>
    <x v="0"/>
    <x v="0"/>
    <s v="Tablet 10"/>
    <n v="4"/>
    <n v="220"/>
    <n v="140"/>
    <n v="2"/>
    <n v="3"/>
    <n v="800"/>
    <n v="880"/>
    <n v="560"/>
    <n v="320"/>
    <n v="0.36363636363636365"/>
    <x v="0"/>
  </r>
  <r>
    <x v="13"/>
    <d v="2026-08-05T00:00:00"/>
    <s v="Bogota"/>
    <x v="1"/>
    <x v="0"/>
    <x v="1"/>
    <s v="Saco Lana"/>
    <n v="5"/>
    <n v="65"/>
    <n v="30"/>
    <n v="2"/>
    <n v="3"/>
    <n v="300"/>
    <n v="325"/>
    <n v="150"/>
    <n v="175"/>
    <n v="0.53846153846153844"/>
    <x v="0"/>
  </r>
  <r>
    <x v="14"/>
    <d v="2026-08-05T00:00:00"/>
    <s v="Cali"/>
    <x v="2"/>
    <x v="0"/>
    <x v="2"/>
    <s v="Escritorio Pro"/>
    <n v="2"/>
    <n v="180"/>
    <n v="110"/>
    <n v="6"/>
    <n v="3"/>
    <n v="350"/>
    <n v="360"/>
    <n v="220"/>
    <n v="140"/>
    <n v="0.3888888888888889"/>
    <x v="1"/>
  </r>
  <r>
    <x v="15"/>
    <d v="2026-08-06T00:00:00"/>
    <s v="Pasto"/>
    <x v="0"/>
    <x v="1"/>
    <x v="3"/>
    <s v="Tenis Urbano"/>
    <n v="6"/>
    <n v="85"/>
    <n v="45"/>
    <n v="1"/>
    <n v="2"/>
    <n v="500"/>
    <n v="510"/>
    <n v="270"/>
    <n v="240"/>
    <n v="0.47058823529411764"/>
    <x v="0"/>
  </r>
  <r>
    <x v="16"/>
    <d v="2026-08-06T00:00:00"/>
    <s v="Bogota"/>
    <x v="1"/>
    <x v="0"/>
    <x v="0"/>
    <s v="Audifonos BT"/>
    <n v="12"/>
    <n v="75"/>
    <n v="35"/>
    <n v="1"/>
    <n v="2"/>
    <n v="800"/>
    <n v="900"/>
    <n v="420"/>
    <n v="480"/>
    <n v="0.53333333333333333"/>
    <x v="0"/>
  </r>
  <r>
    <x v="17"/>
    <d v="2026-08-06T00:00:00"/>
    <s v="Cali"/>
    <x v="2"/>
    <x v="1"/>
    <x v="1"/>
    <s v="Vestido Formal"/>
    <n v="4"/>
    <n v="110"/>
    <n v="55"/>
    <n v="5"/>
    <n v="3"/>
    <n v="400"/>
    <n v="440"/>
    <n v="220"/>
    <n v="220"/>
    <n v="0.5"/>
    <x v="1"/>
  </r>
  <r>
    <x v="18"/>
    <d v="2026-08-07T00:00:00"/>
    <s v="Pasto"/>
    <x v="0"/>
    <x v="0"/>
    <x v="2"/>
    <s v="Lámpara LED"/>
    <n v="15"/>
    <n v="25"/>
    <n v="10"/>
    <n v="2"/>
    <n v="3"/>
    <n v="300"/>
    <n v="375"/>
    <n v="150"/>
    <n v="225"/>
    <n v="0.6"/>
    <x v="0"/>
  </r>
  <r>
    <x v="19"/>
    <d v="2026-08-07T00:00:00"/>
    <s v="Bogota"/>
    <x v="1"/>
    <x v="1"/>
    <x v="3"/>
    <s v="Zapatos Formales"/>
    <n v="5"/>
    <n v="130"/>
    <n v="70"/>
    <n v="3"/>
    <n v="3"/>
    <n v="600"/>
    <n v="650"/>
    <n v="350"/>
    <n v="300"/>
    <n v="0.46153846153846156"/>
    <x v="0"/>
  </r>
  <r>
    <x v="20"/>
    <d v="2026-08-07T00:00:00"/>
    <s v="Cali"/>
    <x v="2"/>
    <x v="0"/>
    <x v="0"/>
    <s v="Consola Videojuegos"/>
    <n v="2"/>
    <n v="500"/>
    <n v="380"/>
    <n v="6"/>
    <n v="4"/>
    <n v="900"/>
    <n v="1000"/>
    <n v="760"/>
    <n v="240"/>
    <n v="0.24"/>
    <x v="1"/>
  </r>
  <r>
    <x v="21"/>
    <d v="2026-08-08T00:00:00"/>
    <s v="Pasto"/>
    <x v="0"/>
    <x v="0"/>
    <x v="1"/>
    <s v="Chaqueta Impermeable"/>
    <n v="3"/>
    <n v="95"/>
    <n v="45"/>
    <n v="2"/>
    <n v="3"/>
    <n v="300"/>
    <n v="285"/>
    <n v="135"/>
    <n v="150"/>
    <n v="0.52631578947368418"/>
    <x v="0"/>
  </r>
  <r>
    <x v="22"/>
    <d v="2026-08-08T00:00:00"/>
    <s v="Bogota"/>
    <x v="1"/>
    <x v="0"/>
    <x v="2"/>
    <s v="Silla Ergonomica"/>
    <n v="4"/>
    <n v="160"/>
    <n v="95"/>
    <n v="2"/>
    <n v="3"/>
    <n v="600"/>
    <n v="640"/>
    <n v="380"/>
    <n v="260"/>
    <n v="0.40625"/>
    <x v="0"/>
  </r>
  <r>
    <x v="23"/>
    <d v="2026-08-08T00:00:00"/>
    <s v="Cali"/>
    <x v="2"/>
    <x v="1"/>
    <x v="3"/>
    <s v="Tenis Deportivo"/>
    <n v="7"/>
    <n v="90"/>
    <n v="45"/>
    <n v="4"/>
    <n v="3"/>
    <n v="600"/>
    <n v="630"/>
    <n v="315"/>
    <n v="315"/>
    <n v="0.5"/>
    <x v="1"/>
  </r>
  <r>
    <x v="24"/>
    <d v="2026-08-09T00:00:00"/>
    <s v="Pasto"/>
    <x v="0"/>
    <x v="1"/>
    <x v="0"/>
    <s v="Monitor 27"/>
    <n v="3"/>
    <n v="310"/>
    <n v="210"/>
    <n v="2"/>
    <n v="3"/>
    <n v="900"/>
    <n v="930"/>
    <n v="630"/>
    <n v="300"/>
    <n v="0.32258064516129031"/>
    <x v="0"/>
  </r>
  <r>
    <x v="25"/>
    <d v="2026-08-09T00:00:00"/>
    <s v="Bogota"/>
    <x v="1"/>
    <x v="0"/>
    <x v="1"/>
    <s v="Buzo Hooded"/>
    <n v="8"/>
    <n v="50"/>
    <n v="22"/>
    <n v="2"/>
    <n v="3"/>
    <n v="400"/>
    <n v="400"/>
    <n v="176"/>
    <n v="224"/>
    <n v="0.56000000000000005"/>
    <x v="0"/>
  </r>
  <r>
    <x v="26"/>
    <d v="2026-08-09T00:00:00"/>
    <s v="Cali"/>
    <x v="2"/>
    <x v="0"/>
    <x v="2"/>
    <s v="Cama King"/>
    <n v="1"/>
    <n v="750"/>
    <n v="480"/>
    <n v="8"/>
    <n v="4"/>
    <n v="700"/>
    <n v="750"/>
    <n v="480"/>
    <n v="270"/>
    <n v="0.36"/>
    <x v="1"/>
  </r>
  <r>
    <x v="27"/>
    <d v="2026-08-10T00:00:00"/>
    <s v="Pasto"/>
    <x v="0"/>
    <x v="0"/>
    <x v="3"/>
    <s v="Botines Cuero"/>
    <n v="4"/>
    <n v="140"/>
    <n v="75"/>
    <n v="3"/>
    <n v="3"/>
    <n v="500"/>
    <n v="560"/>
    <n v="300"/>
    <n v="260"/>
    <n v="0.4642857142857143"/>
    <x v="0"/>
  </r>
  <r>
    <x v="28"/>
    <d v="2026-08-10T00:00:00"/>
    <s v="Bogota"/>
    <x v="1"/>
    <x v="1"/>
    <x v="0"/>
    <s v="Teclado Mecanico"/>
    <n v="6"/>
    <n v="90"/>
    <n v="50"/>
    <n v="1"/>
    <n v="2"/>
    <n v="500"/>
    <n v="540"/>
    <n v="300"/>
    <n v="240"/>
    <n v="0.44444444444444442"/>
    <x v="0"/>
  </r>
  <r>
    <x v="29"/>
    <d v="2026-08-10T00:00:00"/>
    <s v="Cali"/>
    <x v="2"/>
    <x v="0"/>
    <x v="1"/>
    <s v="Pantalón Cargo"/>
    <n v="6"/>
    <n v="60"/>
    <n v="28"/>
    <n v="5"/>
    <n v="3"/>
    <n v="350"/>
    <n v="360"/>
    <n v="168"/>
    <n v="192"/>
    <n v="0.53333333333333333"/>
    <x v="1"/>
  </r>
  <r>
    <x v="0"/>
    <d v="2026-08-01T00:00:00"/>
    <s v="Pasto"/>
    <x v="0"/>
    <x v="0"/>
    <x v="0"/>
    <s v="Laptop Pro 15"/>
    <n v="2"/>
    <n v="850"/>
    <n v="600"/>
    <n v="2"/>
    <n v="3"/>
    <n v="1500"/>
    <n v="1700"/>
    <n v="1200"/>
    <n v="500"/>
    <n v="0.29411764705882354"/>
    <x v="0"/>
  </r>
  <r>
    <x v="1"/>
    <d v="2026-08-01T00:00:00"/>
    <s v="Bogota"/>
    <x v="1"/>
    <x v="1"/>
    <x v="1"/>
    <s v="Chaqueta Cuero"/>
    <n v="5"/>
    <n v="120"/>
    <n v="70"/>
    <n v="3"/>
    <n v="3"/>
    <n v="500"/>
    <n v="600"/>
    <n v="350"/>
    <n v="250"/>
    <n v="0.41666666666666669"/>
    <x v="0"/>
  </r>
  <r>
    <x v="2"/>
    <d v="2026-08-01T00:00:00"/>
    <s v="Cali"/>
    <x v="2"/>
    <x v="0"/>
    <x v="2"/>
    <s v="Cafetera Express"/>
    <n v="3"/>
    <n v="90"/>
    <n v="50"/>
    <n v="6"/>
    <n v="4"/>
    <n v="300"/>
    <n v="270"/>
    <n v="150"/>
    <n v="120"/>
    <n v="0.44444444444444442"/>
    <x v="1"/>
  </r>
  <r>
    <x v="3"/>
    <d v="2026-08-02T00:00:00"/>
    <s v="Pasto"/>
    <x v="0"/>
    <x v="1"/>
    <x v="3"/>
    <s v="Tenis Running"/>
    <n v="4"/>
    <n v="110"/>
    <n v="60"/>
    <n v="1"/>
    <n v="2"/>
    <n v="400"/>
    <n v="440"/>
    <n v="240"/>
    <n v="200"/>
    <n v="0.45454545454545453"/>
    <x v="0"/>
  </r>
  <r>
    <x v="4"/>
    <d v="2026-08-02T00:00:00"/>
    <s v="Bogota"/>
    <x v="1"/>
    <x v="0"/>
    <x v="0"/>
    <s v="Smartphone X"/>
    <n v="3"/>
    <n v="650"/>
    <n v="450"/>
    <n v="2"/>
    <n v="3"/>
    <n v="1800"/>
    <n v="1950"/>
    <n v="1350"/>
    <n v="600"/>
    <n v="0.30769230769230771"/>
    <x v="0"/>
  </r>
  <r>
    <x v="5"/>
    <d v="2026-08-02T00:00:00"/>
    <s v="Cali"/>
    <x v="2"/>
    <x v="0"/>
    <x v="1"/>
    <s v="Jean Slim Fit"/>
    <n v="8"/>
    <n v="45"/>
    <n v="20"/>
    <n v="5"/>
    <n v="3"/>
    <n v="400"/>
    <n v="360"/>
    <n v="160"/>
    <n v="200"/>
    <n v="0.55555555555555558"/>
    <x v="1"/>
  </r>
  <r>
    <x v="6"/>
    <d v="2026-08-03T00:00:00"/>
    <s v="Pasto"/>
    <x v="0"/>
    <x v="0"/>
    <x v="2"/>
    <s v="Aspiradora Robot"/>
    <n v="2"/>
    <n v="280"/>
    <n v="180"/>
    <n v="3"/>
    <n v="3"/>
    <n v="500"/>
    <n v="560"/>
    <n v="360"/>
    <n v="200"/>
    <n v="0.35714285714285715"/>
    <x v="0"/>
  </r>
  <r>
    <x v="7"/>
    <d v="2026-08-03T00:00:00"/>
    <s v="Bogota"/>
    <x v="1"/>
    <x v="1"/>
    <x v="3"/>
    <s v="Botas Moto"/>
    <n v="3"/>
    <n v="150"/>
    <n v="85"/>
    <n v="2"/>
    <n v="2"/>
    <n v="400"/>
    <n v="450"/>
    <n v="255"/>
    <n v="195"/>
    <n v="0.43333333333333335"/>
    <x v="0"/>
  </r>
  <r>
    <x v="8"/>
    <d v="2026-08-03T00:00:00"/>
    <s v="Cali"/>
    <x v="2"/>
    <x v="0"/>
    <x v="0"/>
    <s v="Smart TV 55"/>
    <n v="2"/>
    <n v="520"/>
    <n v="380"/>
    <n v="7"/>
    <n v="4"/>
    <n v="1000"/>
    <n v="1040"/>
    <n v="760"/>
    <n v="280"/>
    <n v="0.26923076923076922"/>
    <x v="1"/>
  </r>
  <r>
    <x v="9"/>
    <d v="2026-08-04T00:00:00"/>
    <s v="Pasto"/>
    <x v="0"/>
    <x v="1"/>
    <x v="1"/>
    <s v="Camisa Lino"/>
    <n v="6"/>
    <n v="55"/>
    <n v="25"/>
    <n v="2"/>
    <n v="3"/>
    <n v="300"/>
    <n v="330"/>
    <n v="150"/>
    <n v="180"/>
    <n v="0.54545454545454541"/>
    <x v="0"/>
  </r>
  <r>
    <x v="10"/>
    <d v="2026-08-04T00:00:00"/>
    <s v="Bogota"/>
    <x v="1"/>
    <x v="0"/>
    <x v="2"/>
    <s v="Juego Comedor"/>
    <n v="1"/>
    <n v="450"/>
    <n v="290"/>
    <n v="4"/>
    <n v="3"/>
    <n v="400"/>
    <n v="450"/>
    <n v="290"/>
    <n v="160"/>
    <n v="0.35555555555555557"/>
    <x v="1"/>
  </r>
  <r>
    <x v="11"/>
    <d v="2026-08-04T00:00:00"/>
    <s v="Cali"/>
    <x v="2"/>
    <x v="1"/>
    <x v="3"/>
    <s v="Sandalias"/>
    <n v="10"/>
    <n v="35"/>
    <n v="15"/>
    <n v="4"/>
    <n v="3"/>
    <n v="300"/>
    <n v="350"/>
    <n v="150"/>
    <n v="200"/>
    <n v="0.5714285714285714"/>
    <x v="1"/>
  </r>
  <r>
    <x v="12"/>
    <d v="2026-08-05T00:00:00"/>
    <s v="Pasto"/>
    <x v="0"/>
    <x v="0"/>
    <x v="0"/>
    <s v="Tablet 10"/>
    <n v="4"/>
    <n v="220"/>
    <n v="140"/>
    <n v="2"/>
    <n v="3"/>
    <n v="800"/>
    <n v="880"/>
    <n v="560"/>
    <n v="320"/>
    <n v="0.36363636363636365"/>
    <x v="0"/>
  </r>
  <r>
    <x v="13"/>
    <d v="2026-08-05T00:00:00"/>
    <s v="Bogota"/>
    <x v="1"/>
    <x v="0"/>
    <x v="1"/>
    <s v="Saco Lana"/>
    <n v="5"/>
    <n v="65"/>
    <n v="30"/>
    <n v="2"/>
    <n v="3"/>
    <n v="300"/>
    <n v="325"/>
    <n v="150"/>
    <n v="175"/>
    <n v="0.53846153846153844"/>
    <x v="0"/>
  </r>
  <r>
    <x v="14"/>
    <d v="2026-08-05T00:00:00"/>
    <s v="Cali"/>
    <x v="2"/>
    <x v="0"/>
    <x v="2"/>
    <s v="Escritorio Pro"/>
    <n v="2"/>
    <n v="180"/>
    <n v="110"/>
    <n v="6"/>
    <n v="3"/>
    <n v="350"/>
    <n v="360"/>
    <n v="220"/>
    <n v="140"/>
    <n v="0.3888888888888889"/>
    <x v="1"/>
  </r>
  <r>
    <x v="15"/>
    <d v="2026-08-06T00:00:00"/>
    <s v="Pasto"/>
    <x v="0"/>
    <x v="1"/>
    <x v="3"/>
    <s v="Tenis Urbano"/>
    <n v="6"/>
    <n v="85"/>
    <n v="45"/>
    <n v="1"/>
    <n v="2"/>
    <n v="500"/>
    <n v="510"/>
    <n v="270"/>
    <n v="240"/>
    <n v="0.47058823529411764"/>
    <x v="0"/>
  </r>
  <r>
    <x v="16"/>
    <d v="2026-08-06T00:00:00"/>
    <s v="Bogota"/>
    <x v="1"/>
    <x v="0"/>
    <x v="0"/>
    <s v="Audifonos BT"/>
    <n v="12"/>
    <n v="75"/>
    <n v="35"/>
    <n v="1"/>
    <n v="2"/>
    <n v="800"/>
    <n v="900"/>
    <n v="420"/>
    <n v="480"/>
    <n v="0.53333333333333333"/>
    <x v="0"/>
  </r>
  <r>
    <x v="17"/>
    <d v="2026-08-06T00:00:00"/>
    <s v="Cali"/>
    <x v="2"/>
    <x v="1"/>
    <x v="1"/>
    <s v="Vestido Formal"/>
    <n v="4"/>
    <n v="110"/>
    <n v="55"/>
    <n v="5"/>
    <n v="3"/>
    <n v="400"/>
    <n v="440"/>
    <n v="220"/>
    <n v="220"/>
    <n v="0.5"/>
    <x v="1"/>
  </r>
  <r>
    <x v="18"/>
    <d v="2026-08-07T00:00:00"/>
    <s v="Pasto"/>
    <x v="0"/>
    <x v="0"/>
    <x v="2"/>
    <s v="Lámpara LED"/>
    <n v="15"/>
    <n v="25"/>
    <n v="10"/>
    <n v="2"/>
    <n v="3"/>
    <n v="300"/>
    <n v="375"/>
    <n v="150"/>
    <n v="225"/>
    <n v="0.6"/>
    <x v="0"/>
  </r>
  <r>
    <x v="19"/>
    <d v="2026-08-07T00:00:00"/>
    <s v="Bogota"/>
    <x v="1"/>
    <x v="1"/>
    <x v="3"/>
    <s v="Zapatos Formales"/>
    <n v="5"/>
    <n v="130"/>
    <n v="70"/>
    <n v="3"/>
    <n v="3"/>
    <n v="600"/>
    <n v="650"/>
    <n v="350"/>
    <n v="300"/>
    <n v="0.46153846153846156"/>
    <x v="0"/>
  </r>
  <r>
    <x v="20"/>
    <d v="2026-08-07T00:00:00"/>
    <s v="Cali"/>
    <x v="2"/>
    <x v="0"/>
    <x v="0"/>
    <s v="Consola Videojuegos"/>
    <n v="2"/>
    <n v="500"/>
    <n v="380"/>
    <n v="6"/>
    <n v="4"/>
    <n v="900"/>
    <n v="1000"/>
    <n v="760"/>
    <n v="240"/>
    <n v="0.24"/>
    <x v="1"/>
  </r>
  <r>
    <x v="21"/>
    <d v="2026-08-08T00:00:00"/>
    <s v="Pasto"/>
    <x v="0"/>
    <x v="0"/>
    <x v="1"/>
    <s v="Chaqueta Impermeable"/>
    <n v="3"/>
    <n v="95"/>
    <n v="45"/>
    <n v="2"/>
    <n v="3"/>
    <n v="300"/>
    <n v="285"/>
    <n v="135"/>
    <n v="150"/>
    <n v="0.52631578947368418"/>
    <x v="0"/>
  </r>
  <r>
    <x v="22"/>
    <d v="2026-08-08T00:00:00"/>
    <s v="Bogota"/>
    <x v="1"/>
    <x v="0"/>
    <x v="2"/>
    <s v="Silla Ergonomica"/>
    <n v="4"/>
    <n v="160"/>
    <n v="95"/>
    <n v="2"/>
    <n v="3"/>
    <n v="600"/>
    <n v="640"/>
    <n v="380"/>
    <n v="260"/>
    <n v="0.40625"/>
    <x v="0"/>
  </r>
  <r>
    <x v="23"/>
    <d v="2026-08-08T00:00:00"/>
    <s v="Cali"/>
    <x v="2"/>
    <x v="1"/>
    <x v="3"/>
    <s v="Tenis Deportivo"/>
    <n v="7"/>
    <n v="90"/>
    <n v="45"/>
    <n v="4"/>
    <n v="3"/>
    <n v="600"/>
    <n v="630"/>
    <n v="315"/>
    <n v="315"/>
    <n v="0.5"/>
    <x v="1"/>
  </r>
  <r>
    <x v="24"/>
    <d v="2026-08-09T00:00:00"/>
    <s v="Pasto"/>
    <x v="0"/>
    <x v="1"/>
    <x v="0"/>
    <s v="Monitor 27"/>
    <n v="3"/>
    <n v="310"/>
    <n v="210"/>
    <n v="2"/>
    <n v="3"/>
    <n v="900"/>
    <n v="930"/>
    <n v="630"/>
    <n v="300"/>
    <n v="0.32258064516129031"/>
    <x v="0"/>
  </r>
  <r>
    <x v="25"/>
    <d v="2026-08-09T00:00:00"/>
    <s v="Bogota"/>
    <x v="1"/>
    <x v="0"/>
    <x v="1"/>
    <s v="Buzo Hooded"/>
    <n v="8"/>
    <n v="50"/>
    <n v="22"/>
    <n v="2"/>
    <n v="3"/>
    <n v="400"/>
    <n v="400"/>
    <n v="176"/>
    <n v="224"/>
    <n v="0.56000000000000005"/>
    <x v="0"/>
  </r>
  <r>
    <x v="26"/>
    <d v="2026-08-09T00:00:00"/>
    <s v="Cali"/>
    <x v="2"/>
    <x v="0"/>
    <x v="2"/>
    <s v="Cama King"/>
    <n v="1"/>
    <n v="750"/>
    <n v="480"/>
    <n v="8"/>
    <n v="4"/>
    <n v="700"/>
    <n v="750"/>
    <n v="480"/>
    <n v="270"/>
    <n v="0.36"/>
    <x v="1"/>
  </r>
  <r>
    <x v="27"/>
    <d v="2026-08-10T00:00:00"/>
    <s v="Pasto"/>
    <x v="0"/>
    <x v="0"/>
    <x v="3"/>
    <s v="Botines Cuero"/>
    <n v="4"/>
    <n v="140"/>
    <n v="75"/>
    <n v="3"/>
    <n v="3"/>
    <n v="500"/>
    <n v="560"/>
    <n v="300"/>
    <n v="260"/>
    <n v="0.4642857142857143"/>
    <x v="0"/>
  </r>
  <r>
    <x v="28"/>
    <d v="2026-08-10T00:00:00"/>
    <s v="Bogota"/>
    <x v="1"/>
    <x v="1"/>
    <x v="0"/>
    <s v="Teclado Mecanico"/>
    <n v="6"/>
    <n v="90"/>
    <n v="50"/>
    <n v="1"/>
    <n v="2"/>
    <n v="500"/>
    <n v="540"/>
    <n v="300"/>
    <n v="240"/>
    <n v="0.44444444444444442"/>
    <x v="0"/>
  </r>
  <r>
    <x v="29"/>
    <d v="2026-08-10T00:00:00"/>
    <s v="Cali"/>
    <x v="2"/>
    <x v="0"/>
    <x v="1"/>
    <s v="Pantalón Cargo"/>
    <n v="6"/>
    <n v="60"/>
    <n v="28"/>
    <n v="5"/>
    <n v="3"/>
    <n v="350"/>
    <n v="360"/>
    <n v="168"/>
    <n v="192"/>
    <n v="0.53333333333333333"/>
    <x v="1"/>
  </r>
  <r>
    <x v="0"/>
    <d v="2026-08-01T00:00:00"/>
    <s v="Pasto"/>
    <x v="0"/>
    <x v="0"/>
    <x v="0"/>
    <s v="Laptop Pro 15"/>
    <n v="2"/>
    <n v="850"/>
    <n v="600"/>
    <n v="2"/>
    <n v="3"/>
    <n v="1500"/>
    <n v="1700"/>
    <n v="1200"/>
    <n v="500"/>
    <n v="0.29411764705882354"/>
    <x v="0"/>
  </r>
  <r>
    <x v="1"/>
    <d v="2026-08-01T00:00:00"/>
    <s v="Bogota"/>
    <x v="1"/>
    <x v="1"/>
    <x v="1"/>
    <s v="Chaqueta Cuero"/>
    <n v="5"/>
    <n v="120"/>
    <n v="70"/>
    <n v="3"/>
    <n v="3"/>
    <n v="500"/>
    <n v="600"/>
    <n v="350"/>
    <n v="250"/>
    <n v="0.41666666666666669"/>
    <x v="0"/>
  </r>
  <r>
    <x v="2"/>
    <d v="2026-08-01T00:00:00"/>
    <s v="Cali"/>
    <x v="2"/>
    <x v="0"/>
    <x v="2"/>
    <s v="Cafetera Express"/>
    <n v="3"/>
    <n v="90"/>
    <n v="50"/>
    <n v="6"/>
    <n v="4"/>
    <n v="300"/>
    <n v="270"/>
    <n v="150"/>
    <n v="120"/>
    <n v="0.44444444444444442"/>
    <x v="1"/>
  </r>
  <r>
    <x v="3"/>
    <d v="2026-08-02T00:00:00"/>
    <s v="Pasto"/>
    <x v="0"/>
    <x v="1"/>
    <x v="3"/>
    <s v="Tenis Running"/>
    <n v="4"/>
    <n v="110"/>
    <n v="60"/>
    <n v="1"/>
    <n v="2"/>
    <n v="400"/>
    <n v="440"/>
    <n v="240"/>
    <n v="200"/>
    <n v="0.45454545454545453"/>
    <x v="0"/>
  </r>
  <r>
    <x v="4"/>
    <d v="2026-08-02T00:00:00"/>
    <s v="Bogota"/>
    <x v="1"/>
    <x v="0"/>
    <x v="0"/>
    <s v="Smartphone X"/>
    <n v="3"/>
    <n v="650"/>
    <n v="450"/>
    <n v="2"/>
    <n v="3"/>
    <n v="1800"/>
    <n v="1950"/>
    <n v="1350"/>
    <n v="600"/>
    <n v="0.30769230769230771"/>
    <x v="0"/>
  </r>
  <r>
    <x v="5"/>
    <d v="2026-08-02T00:00:00"/>
    <s v="Cali"/>
    <x v="2"/>
    <x v="0"/>
    <x v="1"/>
    <s v="Jean Slim Fit"/>
    <n v="8"/>
    <n v="45"/>
    <n v="20"/>
    <n v="5"/>
    <n v="3"/>
    <n v="400"/>
    <n v="360"/>
    <n v="160"/>
    <n v="200"/>
    <n v="0.55555555555555558"/>
    <x v="1"/>
  </r>
  <r>
    <x v="6"/>
    <d v="2026-08-03T00:00:00"/>
    <s v="Pasto"/>
    <x v="0"/>
    <x v="0"/>
    <x v="2"/>
    <s v="Aspiradora Robot"/>
    <n v="2"/>
    <n v="280"/>
    <n v="180"/>
    <n v="3"/>
    <n v="3"/>
    <n v="500"/>
    <n v="560"/>
    <n v="360"/>
    <n v="200"/>
    <n v="0.35714285714285715"/>
    <x v="0"/>
  </r>
  <r>
    <x v="7"/>
    <d v="2026-08-03T00:00:00"/>
    <s v="Bogota"/>
    <x v="1"/>
    <x v="1"/>
    <x v="3"/>
    <s v="Botas Moto"/>
    <n v="3"/>
    <n v="150"/>
    <n v="85"/>
    <n v="2"/>
    <n v="2"/>
    <n v="400"/>
    <n v="450"/>
    <n v="255"/>
    <n v="195"/>
    <n v="0.43333333333333335"/>
    <x v="0"/>
  </r>
  <r>
    <x v="8"/>
    <d v="2026-08-03T00:00:00"/>
    <s v="Cali"/>
    <x v="2"/>
    <x v="0"/>
    <x v="0"/>
    <s v="Smart TV 55"/>
    <n v="2"/>
    <n v="520"/>
    <n v="380"/>
    <n v="7"/>
    <n v="4"/>
    <n v="1000"/>
    <n v="1040"/>
    <n v="760"/>
    <n v="280"/>
    <n v="0.26923076923076922"/>
    <x v="1"/>
  </r>
  <r>
    <x v="9"/>
    <d v="2026-08-04T00:00:00"/>
    <s v="Pasto"/>
    <x v="0"/>
    <x v="1"/>
    <x v="1"/>
    <s v="Camisa Lino"/>
    <n v="6"/>
    <n v="55"/>
    <n v="25"/>
    <n v="2"/>
    <n v="3"/>
    <n v="300"/>
    <n v="330"/>
    <n v="150"/>
    <n v="180"/>
    <n v="0.54545454545454541"/>
    <x v="0"/>
  </r>
  <r>
    <x v="10"/>
    <d v="2026-08-04T00:00:00"/>
    <s v="Bogota"/>
    <x v="1"/>
    <x v="0"/>
    <x v="2"/>
    <s v="Juego Comedor"/>
    <n v="1"/>
    <n v="450"/>
    <n v="290"/>
    <n v="4"/>
    <n v="3"/>
    <n v="400"/>
    <n v="450"/>
    <n v="290"/>
    <n v="160"/>
    <n v="0.35555555555555557"/>
    <x v="1"/>
  </r>
  <r>
    <x v="11"/>
    <d v="2026-08-04T00:00:00"/>
    <s v="Cali"/>
    <x v="2"/>
    <x v="1"/>
    <x v="3"/>
    <s v="Sandalias"/>
    <n v="10"/>
    <n v="35"/>
    <n v="15"/>
    <n v="4"/>
    <n v="3"/>
    <n v="300"/>
    <n v="350"/>
    <n v="150"/>
    <n v="200"/>
    <n v="0.5714285714285714"/>
    <x v="1"/>
  </r>
  <r>
    <x v="12"/>
    <d v="2026-08-05T00:00:00"/>
    <s v="Pasto"/>
    <x v="0"/>
    <x v="0"/>
    <x v="0"/>
    <s v="Tablet 10"/>
    <n v="4"/>
    <n v="220"/>
    <n v="140"/>
    <n v="2"/>
    <n v="3"/>
    <n v="800"/>
    <n v="880"/>
    <n v="560"/>
    <n v="320"/>
    <n v="0.36363636363636365"/>
    <x v="0"/>
  </r>
  <r>
    <x v="13"/>
    <d v="2026-08-05T00:00:00"/>
    <s v="Bogota"/>
    <x v="1"/>
    <x v="0"/>
    <x v="1"/>
    <s v="Saco Lana"/>
    <n v="5"/>
    <n v="65"/>
    <n v="30"/>
    <n v="2"/>
    <n v="3"/>
    <n v="300"/>
    <n v="325"/>
    <n v="150"/>
    <n v="175"/>
    <n v="0.53846153846153844"/>
    <x v="0"/>
  </r>
  <r>
    <x v="14"/>
    <d v="2026-08-05T00:00:00"/>
    <s v="Cali"/>
    <x v="2"/>
    <x v="0"/>
    <x v="2"/>
    <s v="Escritorio Pro"/>
    <n v="2"/>
    <n v="180"/>
    <n v="110"/>
    <n v="6"/>
    <n v="3"/>
    <n v="350"/>
    <n v="360"/>
    <n v="220"/>
    <n v="140"/>
    <n v="0.3888888888888889"/>
    <x v="1"/>
  </r>
  <r>
    <x v="15"/>
    <d v="2026-08-06T00:00:00"/>
    <s v="Pasto"/>
    <x v="0"/>
    <x v="1"/>
    <x v="3"/>
    <s v="Tenis Urbano"/>
    <n v="6"/>
    <n v="85"/>
    <n v="45"/>
    <n v="1"/>
    <n v="2"/>
    <n v="500"/>
    <n v="510"/>
    <n v="270"/>
    <n v="240"/>
    <n v="0.47058823529411764"/>
    <x v="0"/>
  </r>
  <r>
    <x v="16"/>
    <d v="2026-08-06T00:00:00"/>
    <s v="Bogota"/>
    <x v="1"/>
    <x v="0"/>
    <x v="0"/>
    <s v="Audifonos BT"/>
    <n v="12"/>
    <n v="75"/>
    <n v="35"/>
    <n v="1"/>
    <n v="2"/>
    <n v="800"/>
    <n v="900"/>
    <n v="420"/>
    <n v="480"/>
    <n v="0.53333333333333333"/>
    <x v="0"/>
  </r>
  <r>
    <x v="17"/>
    <d v="2026-08-06T00:00:00"/>
    <s v="Cali"/>
    <x v="2"/>
    <x v="1"/>
    <x v="1"/>
    <s v="Vestido Formal"/>
    <n v="4"/>
    <n v="110"/>
    <n v="55"/>
    <n v="5"/>
    <n v="3"/>
    <n v="400"/>
    <n v="440"/>
    <n v="220"/>
    <n v="220"/>
    <n v="0.5"/>
    <x v="1"/>
  </r>
  <r>
    <x v="18"/>
    <d v="2026-08-07T00:00:00"/>
    <s v="Pasto"/>
    <x v="0"/>
    <x v="0"/>
    <x v="2"/>
    <s v="Lámpara LED"/>
    <n v="15"/>
    <n v="25"/>
    <n v="10"/>
    <n v="2"/>
    <n v="3"/>
    <n v="300"/>
    <n v="375"/>
    <n v="150"/>
    <n v="225"/>
    <n v="0.6"/>
    <x v="0"/>
  </r>
  <r>
    <x v="19"/>
    <d v="2026-08-07T00:00:00"/>
    <s v="Bogota"/>
    <x v="1"/>
    <x v="1"/>
    <x v="3"/>
    <s v="Zapatos Formales"/>
    <n v="5"/>
    <n v="130"/>
    <n v="70"/>
    <n v="3"/>
    <n v="3"/>
    <n v="600"/>
    <n v="650"/>
    <n v="350"/>
    <n v="300"/>
    <n v="0.46153846153846156"/>
    <x v="0"/>
  </r>
  <r>
    <x v="20"/>
    <d v="2026-08-07T00:00:00"/>
    <s v="Cali"/>
    <x v="2"/>
    <x v="0"/>
    <x v="0"/>
    <s v="Consola Videojuegos"/>
    <n v="2"/>
    <n v="500"/>
    <n v="380"/>
    <n v="6"/>
    <n v="4"/>
    <n v="900"/>
    <n v="1000"/>
    <n v="760"/>
    <n v="240"/>
    <n v="0.24"/>
    <x v="1"/>
  </r>
  <r>
    <x v="21"/>
    <d v="2026-08-08T00:00:00"/>
    <s v="Pasto"/>
    <x v="0"/>
    <x v="0"/>
    <x v="1"/>
    <s v="Chaqueta Impermeable"/>
    <n v="3"/>
    <n v="95"/>
    <n v="45"/>
    <n v="2"/>
    <n v="3"/>
    <n v="300"/>
    <n v="285"/>
    <n v="135"/>
    <n v="150"/>
    <n v="0.52631578947368418"/>
    <x v="0"/>
  </r>
  <r>
    <x v="22"/>
    <d v="2026-08-08T00:00:00"/>
    <s v="Bogota"/>
    <x v="1"/>
    <x v="0"/>
    <x v="2"/>
    <s v="Silla Ergonomica"/>
    <n v="4"/>
    <n v="160"/>
    <n v="95"/>
    <n v="2"/>
    <n v="3"/>
    <n v="600"/>
    <n v="640"/>
    <n v="380"/>
    <n v="260"/>
    <n v="0.40625"/>
    <x v="0"/>
  </r>
  <r>
    <x v="23"/>
    <d v="2026-08-08T00:00:00"/>
    <s v="Cali"/>
    <x v="2"/>
    <x v="1"/>
    <x v="3"/>
    <s v="Tenis Deportivo"/>
    <n v="7"/>
    <n v="90"/>
    <n v="45"/>
    <n v="4"/>
    <n v="3"/>
    <n v="600"/>
    <n v="630"/>
    <n v="315"/>
    <n v="315"/>
    <n v="0.5"/>
    <x v="1"/>
  </r>
  <r>
    <x v="24"/>
    <d v="2026-08-09T00:00:00"/>
    <s v="Pasto"/>
    <x v="0"/>
    <x v="1"/>
    <x v="0"/>
    <s v="Monitor 27"/>
    <n v="3"/>
    <n v="310"/>
    <n v="210"/>
    <n v="2"/>
    <n v="3"/>
    <n v="900"/>
    <n v="930"/>
    <n v="630"/>
    <n v="300"/>
    <n v="0.32258064516129031"/>
    <x v="0"/>
  </r>
  <r>
    <x v="25"/>
    <d v="2026-08-09T00:00:00"/>
    <s v="Bogota"/>
    <x v="1"/>
    <x v="0"/>
    <x v="1"/>
    <s v="Buzo Hooded"/>
    <n v="8"/>
    <n v="50"/>
    <n v="22"/>
    <n v="2"/>
    <n v="3"/>
    <n v="400"/>
    <n v="400"/>
    <n v="176"/>
    <n v="224"/>
    <n v="0.56000000000000005"/>
    <x v="0"/>
  </r>
  <r>
    <x v="26"/>
    <d v="2026-08-09T00:00:00"/>
    <s v="Cali"/>
    <x v="2"/>
    <x v="0"/>
    <x v="2"/>
    <s v="Cama King"/>
    <n v="1"/>
    <n v="750"/>
    <n v="480"/>
    <n v="8"/>
    <n v="4"/>
    <n v="700"/>
    <n v="750"/>
    <n v="480"/>
    <n v="270"/>
    <n v="0.36"/>
    <x v="1"/>
  </r>
  <r>
    <x v="27"/>
    <d v="2026-08-10T00:00:00"/>
    <s v="Pasto"/>
    <x v="0"/>
    <x v="0"/>
    <x v="3"/>
    <s v="Botines Cuero"/>
    <n v="4"/>
    <n v="140"/>
    <n v="75"/>
    <n v="3"/>
    <n v="3"/>
    <n v="500"/>
    <n v="560"/>
    <n v="300"/>
    <n v="260"/>
    <n v="0.4642857142857143"/>
    <x v="0"/>
  </r>
  <r>
    <x v="28"/>
    <d v="2026-08-10T00:00:00"/>
    <s v="Bogota"/>
    <x v="1"/>
    <x v="1"/>
    <x v="0"/>
    <s v="Teclado Mecanico"/>
    <n v="6"/>
    <n v="90"/>
    <n v="50"/>
    <n v="1"/>
    <n v="2"/>
    <n v="500"/>
    <n v="540"/>
    <n v="300"/>
    <n v="240"/>
    <n v="0.44444444444444442"/>
    <x v="0"/>
  </r>
  <r>
    <x v="29"/>
    <d v="2026-08-10T00:00:00"/>
    <s v="Cali"/>
    <x v="2"/>
    <x v="0"/>
    <x v="1"/>
    <s v="Pantalón Cargo"/>
    <n v="6"/>
    <n v="60"/>
    <n v="28"/>
    <n v="5"/>
    <n v="3"/>
    <n v="350"/>
    <n v="360"/>
    <n v="168"/>
    <n v="192"/>
    <n v="0.53333333333333333"/>
    <x v="1"/>
  </r>
  <r>
    <x v="0"/>
    <d v="2026-08-01T00:00:00"/>
    <s v="Pasto"/>
    <x v="0"/>
    <x v="0"/>
    <x v="0"/>
    <s v="Laptop Pro 15"/>
    <n v="2"/>
    <n v="850"/>
    <n v="600"/>
    <n v="2"/>
    <n v="3"/>
    <n v="1500"/>
    <n v="1700"/>
    <n v="1200"/>
    <n v="500"/>
    <n v="0.29411764705882354"/>
    <x v="0"/>
  </r>
  <r>
    <x v="1"/>
    <d v="2026-08-01T00:00:00"/>
    <s v="Bogota"/>
    <x v="1"/>
    <x v="1"/>
    <x v="1"/>
    <s v="Chaqueta Cuero"/>
    <n v="5"/>
    <n v="120"/>
    <n v="70"/>
    <n v="3"/>
    <n v="3"/>
    <n v="500"/>
    <n v="600"/>
    <n v="350"/>
    <n v="250"/>
    <n v="0.41666666666666669"/>
    <x v="0"/>
  </r>
  <r>
    <x v="2"/>
    <d v="2026-08-01T00:00:00"/>
    <s v="Cali"/>
    <x v="2"/>
    <x v="0"/>
    <x v="2"/>
    <s v="Cafetera Express"/>
    <n v="3"/>
    <n v="90"/>
    <n v="50"/>
    <n v="6"/>
    <n v="4"/>
    <n v="300"/>
    <n v="270"/>
    <n v="150"/>
    <n v="120"/>
    <n v="0.44444444444444442"/>
    <x v="1"/>
  </r>
  <r>
    <x v="3"/>
    <d v="2026-08-02T00:00:00"/>
    <s v="Pasto"/>
    <x v="0"/>
    <x v="1"/>
    <x v="3"/>
    <s v="Tenis Running"/>
    <n v="4"/>
    <n v="110"/>
    <n v="60"/>
    <n v="1"/>
    <n v="2"/>
    <n v="400"/>
    <n v="440"/>
    <n v="240"/>
    <n v="200"/>
    <n v="0.45454545454545453"/>
    <x v="0"/>
  </r>
  <r>
    <x v="4"/>
    <d v="2026-08-02T00:00:00"/>
    <s v="Bogota"/>
    <x v="1"/>
    <x v="0"/>
    <x v="0"/>
    <s v="Smartphone X"/>
    <n v="3"/>
    <n v="650"/>
    <n v="450"/>
    <n v="2"/>
    <n v="3"/>
    <n v="1800"/>
    <n v="1950"/>
    <n v="1350"/>
    <n v="600"/>
    <n v="0.30769230769230771"/>
    <x v="0"/>
  </r>
  <r>
    <x v="5"/>
    <d v="2026-08-02T00:00:00"/>
    <s v="Cali"/>
    <x v="2"/>
    <x v="0"/>
    <x v="1"/>
    <s v="Jean Slim Fit"/>
    <n v="8"/>
    <n v="45"/>
    <n v="20"/>
    <n v="5"/>
    <n v="3"/>
    <n v="400"/>
    <n v="360"/>
    <n v="160"/>
    <n v="200"/>
    <n v="0.55555555555555558"/>
    <x v="1"/>
  </r>
  <r>
    <x v="6"/>
    <d v="2026-08-03T00:00:00"/>
    <s v="Pasto"/>
    <x v="0"/>
    <x v="0"/>
    <x v="2"/>
    <s v="Aspiradora Robot"/>
    <n v="2"/>
    <n v="280"/>
    <n v="180"/>
    <n v="3"/>
    <n v="3"/>
    <n v="500"/>
    <n v="560"/>
    <n v="360"/>
    <n v="200"/>
    <n v="0.35714285714285715"/>
    <x v="0"/>
  </r>
  <r>
    <x v="7"/>
    <d v="2026-08-03T00:00:00"/>
    <s v="Bogota"/>
    <x v="1"/>
    <x v="1"/>
    <x v="3"/>
    <s v="Botas Moto"/>
    <n v="3"/>
    <n v="150"/>
    <n v="85"/>
    <n v="2"/>
    <n v="2"/>
    <n v="400"/>
    <n v="450"/>
    <n v="255"/>
    <n v="195"/>
    <n v="0.43333333333333335"/>
    <x v="0"/>
  </r>
  <r>
    <x v="8"/>
    <d v="2026-08-03T00:00:00"/>
    <s v="Cali"/>
    <x v="2"/>
    <x v="0"/>
    <x v="0"/>
    <s v="Smart TV 55"/>
    <n v="2"/>
    <n v="520"/>
    <n v="380"/>
    <n v="7"/>
    <n v="4"/>
    <n v="1000"/>
    <n v="1040"/>
    <n v="760"/>
    <n v="280"/>
    <n v="0.26923076923076922"/>
    <x v="1"/>
  </r>
  <r>
    <x v="9"/>
    <d v="2026-08-04T00:00:00"/>
    <s v="Pasto"/>
    <x v="0"/>
    <x v="1"/>
    <x v="1"/>
    <s v="Camisa Lino"/>
    <n v="6"/>
    <n v="55"/>
    <n v="25"/>
    <n v="2"/>
    <n v="3"/>
    <n v="300"/>
    <n v="330"/>
    <n v="150"/>
    <n v="180"/>
    <n v="0.54545454545454541"/>
    <x v="0"/>
  </r>
  <r>
    <x v="10"/>
    <d v="2026-08-04T00:00:00"/>
    <s v="Bogota"/>
    <x v="1"/>
    <x v="0"/>
    <x v="2"/>
    <s v="Juego Comedor"/>
    <n v="1"/>
    <n v="450"/>
    <n v="290"/>
    <n v="4"/>
    <n v="3"/>
    <n v="400"/>
    <n v="450"/>
    <n v="290"/>
    <n v="160"/>
    <n v="0.35555555555555557"/>
    <x v="1"/>
  </r>
  <r>
    <x v="11"/>
    <d v="2026-08-04T00:00:00"/>
    <s v="Cali"/>
    <x v="2"/>
    <x v="1"/>
    <x v="3"/>
    <s v="Sandalias"/>
    <n v="10"/>
    <n v="35"/>
    <n v="15"/>
    <n v="4"/>
    <n v="3"/>
    <n v="300"/>
    <n v="350"/>
    <n v="150"/>
    <n v="200"/>
    <n v="0.5714285714285714"/>
    <x v="1"/>
  </r>
  <r>
    <x v="12"/>
    <d v="2026-08-05T00:00:00"/>
    <s v="Pasto"/>
    <x v="0"/>
    <x v="0"/>
    <x v="0"/>
    <s v="Tablet 10"/>
    <n v="4"/>
    <n v="220"/>
    <n v="140"/>
    <n v="2"/>
    <n v="3"/>
    <n v="800"/>
    <n v="880"/>
    <n v="560"/>
    <n v="320"/>
    <n v="0.36363636363636365"/>
    <x v="0"/>
  </r>
  <r>
    <x v="13"/>
    <d v="2026-08-05T00:00:00"/>
    <s v="Bogota"/>
    <x v="1"/>
    <x v="0"/>
    <x v="1"/>
    <s v="Saco Lana"/>
    <n v="5"/>
    <n v="65"/>
    <n v="30"/>
    <n v="2"/>
    <n v="3"/>
    <n v="300"/>
    <n v="325"/>
    <n v="150"/>
    <n v="175"/>
    <n v="0.53846153846153844"/>
    <x v="0"/>
  </r>
  <r>
    <x v="14"/>
    <d v="2026-08-05T00:00:00"/>
    <s v="Cali"/>
    <x v="2"/>
    <x v="0"/>
    <x v="2"/>
    <s v="Escritorio Pro"/>
    <n v="2"/>
    <n v="180"/>
    <n v="110"/>
    <n v="6"/>
    <n v="3"/>
    <n v="350"/>
    <n v="360"/>
    <n v="220"/>
    <n v="140"/>
    <n v="0.3888888888888889"/>
    <x v="1"/>
  </r>
  <r>
    <x v="15"/>
    <d v="2026-08-06T00:00:00"/>
    <s v="Pasto"/>
    <x v="0"/>
    <x v="1"/>
    <x v="3"/>
    <s v="Tenis Urbano"/>
    <n v="6"/>
    <n v="85"/>
    <n v="45"/>
    <n v="1"/>
    <n v="2"/>
    <n v="500"/>
    <n v="510"/>
    <n v="270"/>
    <n v="240"/>
    <n v="0.47058823529411764"/>
    <x v="0"/>
  </r>
  <r>
    <x v="16"/>
    <d v="2026-08-06T00:00:00"/>
    <s v="Bogota"/>
    <x v="1"/>
    <x v="0"/>
    <x v="0"/>
    <s v="Audifonos BT"/>
    <n v="12"/>
    <n v="75"/>
    <n v="35"/>
    <n v="1"/>
    <n v="2"/>
    <n v="800"/>
    <n v="900"/>
    <n v="420"/>
    <n v="480"/>
    <n v="0.53333333333333333"/>
    <x v="0"/>
  </r>
  <r>
    <x v="17"/>
    <d v="2026-08-06T00:00:00"/>
    <s v="Cali"/>
    <x v="2"/>
    <x v="1"/>
    <x v="1"/>
    <s v="Vestido Formal"/>
    <n v="4"/>
    <n v="110"/>
    <n v="55"/>
    <n v="5"/>
    <n v="3"/>
    <n v="400"/>
    <n v="440"/>
    <n v="220"/>
    <n v="220"/>
    <n v="0.5"/>
    <x v="1"/>
  </r>
  <r>
    <x v="18"/>
    <d v="2026-08-07T00:00:00"/>
    <s v="Pasto"/>
    <x v="0"/>
    <x v="0"/>
    <x v="2"/>
    <s v="Lámpara LED"/>
    <n v="15"/>
    <n v="25"/>
    <n v="10"/>
    <n v="2"/>
    <n v="3"/>
    <n v="300"/>
    <n v="375"/>
    <n v="150"/>
    <n v="225"/>
    <n v="0.6"/>
    <x v="0"/>
  </r>
  <r>
    <x v="19"/>
    <d v="2026-08-07T00:00:00"/>
    <s v="Bogota"/>
    <x v="1"/>
    <x v="1"/>
    <x v="3"/>
    <s v="Zapatos Formales"/>
    <n v="5"/>
    <n v="130"/>
    <n v="70"/>
    <n v="3"/>
    <n v="3"/>
    <n v="600"/>
    <n v="650"/>
    <n v="350"/>
    <n v="300"/>
    <n v="0.46153846153846156"/>
    <x v="0"/>
  </r>
  <r>
    <x v="20"/>
    <d v="2026-08-07T00:00:00"/>
    <s v="Cali"/>
    <x v="2"/>
    <x v="0"/>
    <x v="0"/>
    <s v="Consola Videojuegos"/>
    <n v="2"/>
    <n v="500"/>
    <n v="380"/>
    <n v="6"/>
    <n v="4"/>
    <n v="900"/>
    <n v="1000"/>
    <n v="760"/>
    <n v="240"/>
    <n v="0.24"/>
    <x v="1"/>
  </r>
  <r>
    <x v="21"/>
    <d v="2026-08-08T00:00:00"/>
    <s v="Pasto"/>
    <x v="0"/>
    <x v="0"/>
    <x v="1"/>
    <s v="Chaqueta Impermeable"/>
    <n v="3"/>
    <n v="95"/>
    <n v="45"/>
    <n v="2"/>
    <n v="3"/>
    <n v="300"/>
    <n v="285"/>
    <n v="135"/>
    <n v="150"/>
    <n v="0.52631578947368418"/>
    <x v="0"/>
  </r>
  <r>
    <x v="22"/>
    <d v="2026-08-08T00:00:00"/>
    <s v="Bogota"/>
    <x v="1"/>
    <x v="0"/>
    <x v="2"/>
    <s v="Silla Ergonomica"/>
    <n v="4"/>
    <n v="160"/>
    <n v="95"/>
    <n v="2"/>
    <n v="3"/>
    <n v="600"/>
    <n v="640"/>
    <n v="380"/>
    <n v="260"/>
    <n v="0.40625"/>
    <x v="0"/>
  </r>
  <r>
    <x v="23"/>
    <d v="2026-08-08T00:00:00"/>
    <s v="Cali"/>
    <x v="2"/>
    <x v="1"/>
    <x v="3"/>
    <s v="Tenis Deportivo"/>
    <n v="7"/>
    <n v="90"/>
    <n v="45"/>
    <n v="4"/>
    <n v="3"/>
    <n v="600"/>
    <n v="630"/>
    <n v="315"/>
    <n v="315"/>
    <n v="0.5"/>
    <x v="1"/>
  </r>
  <r>
    <x v="24"/>
    <d v="2026-08-09T00:00:00"/>
    <s v="Pasto"/>
    <x v="0"/>
    <x v="1"/>
    <x v="0"/>
    <s v="Monitor 27"/>
    <n v="3"/>
    <n v="310"/>
    <n v="210"/>
    <n v="2"/>
    <n v="3"/>
    <n v="900"/>
    <n v="930"/>
    <n v="630"/>
    <n v="300"/>
    <n v="0.32258064516129031"/>
    <x v="0"/>
  </r>
  <r>
    <x v="25"/>
    <d v="2026-08-09T00:00:00"/>
    <s v="Bogota"/>
    <x v="1"/>
    <x v="0"/>
    <x v="1"/>
    <s v="Buzo Hooded"/>
    <n v="8"/>
    <n v="50"/>
    <n v="22"/>
    <n v="2"/>
    <n v="3"/>
    <n v="400"/>
    <n v="400"/>
    <n v="176"/>
    <n v="224"/>
    <n v="0.56000000000000005"/>
    <x v="0"/>
  </r>
  <r>
    <x v="26"/>
    <d v="2026-08-09T00:00:00"/>
    <s v="Cali"/>
    <x v="2"/>
    <x v="0"/>
    <x v="2"/>
    <s v="Cama King"/>
    <n v="1"/>
    <n v="750"/>
    <n v="480"/>
    <n v="8"/>
    <n v="4"/>
    <n v="700"/>
    <n v="750"/>
    <n v="480"/>
    <n v="270"/>
    <n v="0.36"/>
    <x v="1"/>
  </r>
  <r>
    <x v="27"/>
    <d v="2026-08-10T00:00:00"/>
    <s v="Pasto"/>
    <x v="0"/>
    <x v="0"/>
    <x v="3"/>
    <s v="Botines Cuero"/>
    <n v="4"/>
    <n v="140"/>
    <n v="75"/>
    <n v="3"/>
    <n v="3"/>
    <n v="500"/>
    <n v="560"/>
    <n v="300"/>
    <n v="260"/>
    <n v="0.4642857142857143"/>
    <x v="0"/>
  </r>
  <r>
    <x v="28"/>
    <d v="2026-08-10T00:00:00"/>
    <s v="Bogota"/>
    <x v="1"/>
    <x v="1"/>
    <x v="0"/>
    <s v="Teclado Mecanico"/>
    <n v="6"/>
    <n v="90"/>
    <n v="50"/>
    <n v="1"/>
    <n v="2"/>
    <n v="500"/>
    <n v="540"/>
    <n v="300"/>
    <n v="240"/>
    <n v="0.44444444444444442"/>
    <x v="0"/>
  </r>
  <r>
    <x v="29"/>
    <d v="2026-08-10T00:00:00"/>
    <s v="Cali"/>
    <x v="2"/>
    <x v="0"/>
    <x v="1"/>
    <s v="Pantalón Cargo"/>
    <n v="6"/>
    <n v="60"/>
    <n v="28"/>
    <n v="5"/>
    <n v="3"/>
    <n v="350"/>
    <n v="360"/>
    <n v="168"/>
    <n v="192"/>
    <n v="0.53333333333333333"/>
    <x v="1"/>
  </r>
  <r>
    <x v="0"/>
    <d v="2026-08-01T00:00:00"/>
    <s v="Pasto"/>
    <x v="0"/>
    <x v="0"/>
    <x v="0"/>
    <s v="Laptop Pro 15"/>
    <n v="2"/>
    <n v="850"/>
    <n v="600"/>
    <n v="2"/>
    <n v="3"/>
    <n v="1500"/>
    <n v="1700"/>
    <n v="1200"/>
    <n v="500"/>
    <n v="0.29411764705882354"/>
    <x v="0"/>
  </r>
  <r>
    <x v="1"/>
    <d v="2026-08-01T00:00:00"/>
    <s v="Bogota"/>
    <x v="1"/>
    <x v="1"/>
    <x v="1"/>
    <s v="Chaqueta Cuero"/>
    <n v="5"/>
    <n v="120"/>
    <n v="70"/>
    <n v="3"/>
    <n v="3"/>
    <n v="500"/>
    <n v="600"/>
    <n v="350"/>
    <n v="250"/>
    <n v="0.41666666666666669"/>
    <x v="0"/>
  </r>
  <r>
    <x v="2"/>
    <d v="2026-08-01T00:00:00"/>
    <s v="Cali"/>
    <x v="2"/>
    <x v="0"/>
    <x v="2"/>
    <s v="Cafetera Express"/>
    <n v="3"/>
    <n v="90"/>
    <n v="50"/>
    <n v="6"/>
    <n v="4"/>
    <n v="300"/>
    <n v="270"/>
    <n v="150"/>
    <n v="120"/>
    <n v="0.44444444444444442"/>
    <x v="1"/>
  </r>
  <r>
    <x v="3"/>
    <d v="2026-08-02T00:00:00"/>
    <s v="Pasto"/>
    <x v="0"/>
    <x v="1"/>
    <x v="3"/>
    <s v="Tenis Running"/>
    <n v="4"/>
    <n v="110"/>
    <n v="60"/>
    <n v="1"/>
    <n v="2"/>
    <n v="400"/>
    <n v="440"/>
    <n v="240"/>
    <n v="200"/>
    <n v="0.45454545454545453"/>
    <x v="0"/>
  </r>
  <r>
    <x v="4"/>
    <d v="2026-08-02T00:00:00"/>
    <s v="Bogota"/>
    <x v="1"/>
    <x v="0"/>
    <x v="0"/>
    <s v="Smartphone X"/>
    <n v="3"/>
    <n v="650"/>
    <n v="450"/>
    <n v="2"/>
    <n v="3"/>
    <n v="1800"/>
    <n v="1950"/>
    <n v="1350"/>
    <n v="600"/>
    <n v="0.30769230769230771"/>
    <x v="0"/>
  </r>
  <r>
    <x v="5"/>
    <d v="2026-08-02T00:00:00"/>
    <s v="Cali"/>
    <x v="2"/>
    <x v="0"/>
    <x v="1"/>
    <s v="Jean Slim Fit"/>
    <n v="8"/>
    <n v="45"/>
    <n v="20"/>
    <n v="5"/>
    <n v="3"/>
    <n v="400"/>
    <n v="360"/>
    <n v="160"/>
    <n v="200"/>
    <n v="0.55555555555555558"/>
    <x v="1"/>
  </r>
  <r>
    <x v="6"/>
    <d v="2026-08-03T00:00:00"/>
    <s v="Pasto"/>
    <x v="0"/>
    <x v="0"/>
    <x v="2"/>
    <s v="Aspiradora Robot"/>
    <n v="2"/>
    <n v="280"/>
    <n v="180"/>
    <n v="3"/>
    <n v="3"/>
    <n v="500"/>
    <n v="560"/>
    <n v="360"/>
    <n v="200"/>
    <n v="0.35714285714285715"/>
    <x v="0"/>
  </r>
  <r>
    <x v="7"/>
    <d v="2026-08-03T00:00:00"/>
    <s v="Bogota"/>
    <x v="1"/>
    <x v="1"/>
    <x v="3"/>
    <s v="Botas Moto"/>
    <n v="3"/>
    <n v="150"/>
    <n v="85"/>
    <n v="2"/>
    <n v="2"/>
    <n v="400"/>
    <n v="450"/>
    <n v="255"/>
    <n v="195"/>
    <n v="0.43333333333333335"/>
    <x v="0"/>
  </r>
  <r>
    <x v="8"/>
    <d v="2026-08-03T00:00:00"/>
    <s v="Cali"/>
    <x v="2"/>
    <x v="0"/>
    <x v="0"/>
    <s v="Smart TV 55"/>
    <n v="2"/>
    <n v="520"/>
    <n v="380"/>
    <n v="7"/>
    <n v="4"/>
    <n v="1000"/>
    <n v="1040"/>
    <n v="760"/>
    <n v="280"/>
    <n v="0.26923076923076922"/>
    <x v="1"/>
  </r>
  <r>
    <x v="9"/>
    <d v="2026-08-04T00:00:00"/>
    <s v="Pasto"/>
    <x v="0"/>
    <x v="1"/>
    <x v="1"/>
    <s v="Camisa Lino"/>
    <n v="6"/>
    <n v="55"/>
    <n v="25"/>
    <n v="2"/>
    <n v="3"/>
    <n v="300"/>
    <n v="330"/>
    <n v="150"/>
    <n v="180"/>
    <n v="0.54545454545454541"/>
    <x v="0"/>
  </r>
  <r>
    <x v="10"/>
    <d v="2026-08-04T00:00:00"/>
    <s v="Bogota"/>
    <x v="1"/>
    <x v="0"/>
    <x v="2"/>
    <s v="Juego Comedor"/>
    <n v="1"/>
    <n v="450"/>
    <n v="290"/>
    <n v="4"/>
    <n v="3"/>
    <n v="400"/>
    <n v="450"/>
    <n v="290"/>
    <n v="160"/>
    <n v="0.35555555555555557"/>
    <x v="1"/>
  </r>
  <r>
    <x v="11"/>
    <d v="2026-08-04T00:00:00"/>
    <s v="Cali"/>
    <x v="2"/>
    <x v="1"/>
    <x v="3"/>
    <s v="Sandalias"/>
    <n v="10"/>
    <n v="35"/>
    <n v="15"/>
    <n v="4"/>
    <n v="3"/>
    <n v="300"/>
    <n v="350"/>
    <n v="150"/>
    <n v="200"/>
    <n v="0.5714285714285714"/>
    <x v="1"/>
  </r>
  <r>
    <x v="12"/>
    <d v="2026-08-05T00:00:00"/>
    <s v="Pasto"/>
    <x v="0"/>
    <x v="0"/>
    <x v="0"/>
    <s v="Tablet 10"/>
    <n v="4"/>
    <n v="220"/>
    <n v="140"/>
    <n v="2"/>
    <n v="3"/>
    <n v="800"/>
    <n v="880"/>
    <n v="560"/>
    <n v="320"/>
    <n v="0.36363636363636365"/>
    <x v="0"/>
  </r>
  <r>
    <x v="13"/>
    <d v="2026-08-05T00:00:00"/>
    <s v="Bogota"/>
    <x v="1"/>
    <x v="0"/>
    <x v="1"/>
    <s v="Saco Lana"/>
    <n v="5"/>
    <n v="65"/>
    <n v="30"/>
    <n v="2"/>
    <n v="3"/>
    <n v="300"/>
    <n v="325"/>
    <n v="150"/>
    <n v="175"/>
    <n v="0.53846153846153844"/>
    <x v="0"/>
  </r>
  <r>
    <x v="14"/>
    <d v="2026-08-05T00:00:00"/>
    <s v="Cali"/>
    <x v="2"/>
    <x v="0"/>
    <x v="2"/>
    <s v="Escritorio Pro"/>
    <n v="2"/>
    <n v="180"/>
    <n v="110"/>
    <n v="6"/>
    <n v="3"/>
    <n v="350"/>
    <n v="360"/>
    <n v="220"/>
    <n v="140"/>
    <n v="0.3888888888888889"/>
    <x v="1"/>
  </r>
  <r>
    <x v="15"/>
    <d v="2026-08-06T00:00:00"/>
    <s v="Pasto"/>
    <x v="0"/>
    <x v="1"/>
    <x v="3"/>
    <s v="Tenis Urbano"/>
    <n v="6"/>
    <n v="85"/>
    <n v="45"/>
    <n v="1"/>
    <n v="2"/>
    <n v="500"/>
    <n v="510"/>
    <n v="270"/>
    <n v="240"/>
    <n v="0.47058823529411764"/>
    <x v="0"/>
  </r>
  <r>
    <x v="16"/>
    <d v="2026-08-06T00:00:00"/>
    <s v="Bogota"/>
    <x v="1"/>
    <x v="0"/>
    <x v="0"/>
    <s v="Audifonos BT"/>
    <n v="12"/>
    <n v="75"/>
    <n v="35"/>
    <n v="1"/>
    <n v="2"/>
    <n v="800"/>
    <n v="900"/>
    <n v="420"/>
    <n v="480"/>
    <n v="0.53333333333333333"/>
    <x v="0"/>
  </r>
  <r>
    <x v="17"/>
    <d v="2026-08-06T00:00:00"/>
    <s v="Cali"/>
    <x v="2"/>
    <x v="1"/>
    <x v="1"/>
    <s v="Vestido Formal"/>
    <n v="4"/>
    <n v="110"/>
    <n v="55"/>
    <n v="5"/>
    <n v="3"/>
    <n v="400"/>
    <n v="440"/>
    <n v="220"/>
    <n v="220"/>
    <n v="0.5"/>
    <x v="1"/>
  </r>
  <r>
    <x v="18"/>
    <d v="2026-08-07T00:00:00"/>
    <s v="Pasto"/>
    <x v="0"/>
    <x v="0"/>
    <x v="2"/>
    <s v="Lámpara LED"/>
    <n v="15"/>
    <n v="25"/>
    <n v="10"/>
    <n v="2"/>
    <n v="3"/>
    <n v="300"/>
    <n v="375"/>
    <n v="150"/>
    <n v="225"/>
    <n v="0.6"/>
    <x v="0"/>
  </r>
  <r>
    <x v="19"/>
    <d v="2026-08-07T00:00:00"/>
    <s v="Bogota"/>
    <x v="1"/>
    <x v="1"/>
    <x v="3"/>
    <s v="Zapatos Formales"/>
    <n v="5"/>
    <n v="130"/>
    <n v="70"/>
    <n v="3"/>
    <n v="3"/>
    <n v="600"/>
    <n v="650"/>
    <n v="350"/>
    <n v="300"/>
    <n v="0.46153846153846156"/>
    <x v="0"/>
  </r>
  <r>
    <x v="20"/>
    <d v="2026-08-07T00:00:00"/>
    <s v="Cali"/>
    <x v="2"/>
    <x v="0"/>
    <x v="0"/>
    <s v="Consola Videojuegos"/>
    <n v="2"/>
    <n v="500"/>
    <n v="380"/>
    <n v="6"/>
    <n v="4"/>
    <n v="900"/>
    <n v="1000"/>
    <n v="760"/>
    <n v="240"/>
    <n v="0.24"/>
    <x v="1"/>
  </r>
  <r>
    <x v="21"/>
    <d v="2026-08-08T00:00:00"/>
    <s v="Pasto"/>
    <x v="0"/>
    <x v="0"/>
    <x v="1"/>
    <s v="Chaqueta Impermeable"/>
    <n v="3"/>
    <n v="95"/>
    <n v="45"/>
    <n v="2"/>
    <n v="3"/>
    <n v="300"/>
    <n v="285"/>
    <n v="135"/>
    <n v="150"/>
    <n v="0.52631578947368418"/>
    <x v="0"/>
  </r>
  <r>
    <x v="22"/>
    <d v="2026-08-08T00:00:00"/>
    <s v="Bogota"/>
    <x v="1"/>
    <x v="0"/>
    <x v="2"/>
    <s v="Silla Ergonomica"/>
    <n v="4"/>
    <n v="160"/>
    <n v="95"/>
    <n v="2"/>
    <n v="3"/>
    <n v="600"/>
    <n v="640"/>
    <n v="380"/>
    <n v="260"/>
    <n v="0.40625"/>
    <x v="0"/>
  </r>
  <r>
    <x v="23"/>
    <d v="2026-08-08T00:00:00"/>
    <s v="Cali"/>
    <x v="2"/>
    <x v="1"/>
    <x v="3"/>
    <s v="Tenis Deportivo"/>
    <n v="7"/>
    <n v="90"/>
    <n v="45"/>
    <n v="4"/>
    <n v="3"/>
    <n v="600"/>
    <n v="630"/>
    <n v="315"/>
    <n v="315"/>
    <n v="0.5"/>
    <x v="1"/>
  </r>
  <r>
    <x v="24"/>
    <d v="2026-08-09T00:00:00"/>
    <s v="Pasto"/>
    <x v="0"/>
    <x v="1"/>
    <x v="0"/>
    <s v="Monitor 27"/>
    <n v="3"/>
    <n v="310"/>
    <n v="210"/>
    <n v="2"/>
    <n v="3"/>
    <n v="900"/>
    <n v="930"/>
    <n v="630"/>
    <n v="300"/>
    <n v="0.32258064516129031"/>
    <x v="0"/>
  </r>
  <r>
    <x v="25"/>
    <d v="2026-08-09T00:00:00"/>
    <s v="Bogota"/>
    <x v="1"/>
    <x v="0"/>
    <x v="1"/>
    <s v="Buzo Hooded"/>
    <n v="8"/>
    <n v="50"/>
    <n v="22"/>
    <n v="2"/>
    <n v="3"/>
    <n v="400"/>
    <n v="400"/>
    <n v="176"/>
    <n v="224"/>
    <n v="0.56000000000000005"/>
    <x v="0"/>
  </r>
  <r>
    <x v="26"/>
    <d v="2026-08-09T00:00:00"/>
    <s v="Cali"/>
    <x v="2"/>
    <x v="0"/>
    <x v="2"/>
    <s v="Cama King"/>
    <n v="1"/>
    <n v="750"/>
    <n v="480"/>
    <n v="8"/>
    <n v="4"/>
    <n v="700"/>
    <n v="750"/>
    <n v="480"/>
    <n v="270"/>
    <n v="0.36"/>
    <x v="1"/>
  </r>
  <r>
    <x v="27"/>
    <d v="2026-08-10T00:00:00"/>
    <s v="Pasto"/>
    <x v="0"/>
    <x v="0"/>
    <x v="3"/>
    <s v="Botines Cuero"/>
    <n v="4"/>
    <n v="140"/>
    <n v="75"/>
    <n v="3"/>
    <n v="3"/>
    <n v="500"/>
    <n v="560"/>
    <n v="300"/>
    <n v="260"/>
    <n v="0.4642857142857143"/>
    <x v="0"/>
  </r>
  <r>
    <x v="28"/>
    <d v="2026-08-10T00:00:00"/>
    <s v="Bogota"/>
    <x v="1"/>
    <x v="1"/>
    <x v="0"/>
    <s v="Teclado Mecanico"/>
    <n v="6"/>
    <n v="90"/>
    <n v="50"/>
    <n v="1"/>
    <n v="2"/>
    <n v="500"/>
    <n v="540"/>
    <n v="300"/>
    <n v="240"/>
    <n v="0.44444444444444442"/>
    <x v="0"/>
  </r>
  <r>
    <x v="29"/>
    <d v="2026-08-10T00:00:00"/>
    <s v="Cali"/>
    <x v="2"/>
    <x v="0"/>
    <x v="1"/>
    <s v="Pantalón Cargo"/>
    <n v="6"/>
    <n v="60"/>
    <n v="28"/>
    <n v="5"/>
    <n v="3"/>
    <n v="350"/>
    <n v="360"/>
    <n v="168"/>
    <n v="192"/>
    <n v="0.53333333333333333"/>
    <x v="1"/>
  </r>
  <r>
    <x v="0"/>
    <d v="2026-08-01T00:00:00"/>
    <s v="Pasto"/>
    <x v="0"/>
    <x v="0"/>
    <x v="0"/>
    <s v="Laptop Pro 15"/>
    <n v="2"/>
    <n v="850"/>
    <n v="600"/>
    <n v="2"/>
    <n v="3"/>
    <n v="1500"/>
    <n v="1700"/>
    <n v="1200"/>
    <n v="500"/>
    <n v="0.29411764705882354"/>
    <x v="0"/>
  </r>
  <r>
    <x v="1"/>
    <d v="2026-08-01T00:00:00"/>
    <s v="Bogota"/>
    <x v="1"/>
    <x v="1"/>
    <x v="1"/>
    <s v="Chaqueta Cuero"/>
    <n v="5"/>
    <n v="120"/>
    <n v="70"/>
    <n v="3"/>
    <n v="3"/>
    <n v="500"/>
    <n v="600"/>
    <n v="350"/>
    <n v="250"/>
    <n v="0.41666666666666669"/>
    <x v="0"/>
  </r>
  <r>
    <x v="2"/>
    <d v="2026-08-01T00:00:00"/>
    <s v="Cali"/>
    <x v="2"/>
    <x v="0"/>
    <x v="2"/>
    <s v="Cafetera Express"/>
    <n v="3"/>
    <n v="90"/>
    <n v="50"/>
    <n v="6"/>
    <n v="4"/>
    <n v="300"/>
    <n v="270"/>
    <n v="150"/>
    <n v="120"/>
    <n v="0.44444444444444442"/>
    <x v="1"/>
  </r>
  <r>
    <x v="3"/>
    <d v="2026-08-02T00:00:00"/>
    <s v="Pasto"/>
    <x v="0"/>
    <x v="1"/>
    <x v="3"/>
    <s v="Tenis Running"/>
    <n v="4"/>
    <n v="110"/>
    <n v="60"/>
    <n v="1"/>
    <n v="2"/>
    <n v="400"/>
    <n v="440"/>
    <n v="240"/>
    <n v="200"/>
    <n v="0.45454545454545453"/>
    <x v="0"/>
  </r>
  <r>
    <x v="4"/>
    <d v="2026-08-02T00:00:00"/>
    <s v="Bogota"/>
    <x v="1"/>
    <x v="0"/>
    <x v="0"/>
    <s v="Smartphone X"/>
    <n v="3"/>
    <n v="650"/>
    <n v="450"/>
    <n v="2"/>
    <n v="3"/>
    <n v="1800"/>
    <n v="1950"/>
    <n v="1350"/>
    <n v="600"/>
    <n v="0.30769230769230771"/>
    <x v="0"/>
  </r>
  <r>
    <x v="5"/>
    <d v="2026-08-02T00:00:00"/>
    <s v="Cali"/>
    <x v="2"/>
    <x v="0"/>
    <x v="1"/>
    <s v="Jean Slim Fit"/>
    <n v="8"/>
    <n v="45"/>
    <n v="20"/>
    <n v="5"/>
    <n v="3"/>
    <n v="400"/>
    <n v="360"/>
    <n v="160"/>
    <n v="200"/>
    <n v="0.55555555555555558"/>
    <x v="1"/>
  </r>
  <r>
    <x v="6"/>
    <d v="2026-08-03T00:00:00"/>
    <s v="Pasto"/>
    <x v="0"/>
    <x v="0"/>
    <x v="2"/>
    <s v="Aspiradora Robot"/>
    <n v="2"/>
    <n v="280"/>
    <n v="180"/>
    <n v="3"/>
    <n v="3"/>
    <n v="500"/>
    <n v="560"/>
    <n v="360"/>
    <n v="200"/>
    <n v="0.35714285714285715"/>
    <x v="0"/>
  </r>
  <r>
    <x v="7"/>
    <d v="2026-08-03T00:00:00"/>
    <s v="Bogota"/>
    <x v="1"/>
    <x v="1"/>
    <x v="3"/>
    <s v="Botas Moto"/>
    <n v="3"/>
    <n v="150"/>
    <n v="85"/>
    <n v="2"/>
    <n v="2"/>
    <n v="400"/>
    <n v="450"/>
    <n v="255"/>
    <n v="195"/>
    <n v="0.43333333333333335"/>
    <x v="0"/>
  </r>
  <r>
    <x v="8"/>
    <d v="2026-08-03T00:00:00"/>
    <s v="Cali"/>
    <x v="2"/>
    <x v="0"/>
    <x v="0"/>
    <s v="Smart TV 55"/>
    <n v="2"/>
    <n v="520"/>
    <n v="380"/>
    <n v="7"/>
    <n v="4"/>
    <n v="1000"/>
    <n v="1040"/>
    <n v="760"/>
    <n v="280"/>
    <n v="0.26923076923076922"/>
    <x v="1"/>
  </r>
  <r>
    <x v="9"/>
    <d v="2026-08-04T00:00:00"/>
    <s v="Pasto"/>
    <x v="0"/>
    <x v="1"/>
    <x v="1"/>
    <s v="Camisa Lino"/>
    <n v="6"/>
    <n v="55"/>
    <n v="25"/>
    <n v="2"/>
    <n v="3"/>
    <n v="300"/>
    <n v="330"/>
    <n v="150"/>
    <n v="180"/>
    <n v="0.54545454545454541"/>
    <x v="0"/>
  </r>
  <r>
    <x v="10"/>
    <d v="2026-08-04T00:00:00"/>
    <s v="Bogota"/>
    <x v="1"/>
    <x v="0"/>
    <x v="2"/>
    <s v="Juego Comedor"/>
    <n v="1"/>
    <n v="450"/>
    <n v="290"/>
    <n v="4"/>
    <n v="3"/>
    <n v="400"/>
    <n v="450"/>
    <n v="290"/>
    <n v="160"/>
    <n v="0.35555555555555557"/>
    <x v="1"/>
  </r>
  <r>
    <x v="11"/>
    <d v="2026-08-04T00:00:00"/>
    <s v="Cali"/>
    <x v="2"/>
    <x v="1"/>
    <x v="3"/>
    <s v="Sandalias"/>
    <n v="10"/>
    <n v="35"/>
    <n v="15"/>
    <n v="4"/>
    <n v="3"/>
    <n v="300"/>
    <n v="350"/>
    <n v="150"/>
    <n v="200"/>
    <n v="0.5714285714285714"/>
    <x v="1"/>
  </r>
  <r>
    <x v="12"/>
    <d v="2026-08-05T00:00:00"/>
    <s v="Pasto"/>
    <x v="0"/>
    <x v="0"/>
    <x v="0"/>
    <s v="Tablet 10"/>
    <n v="4"/>
    <n v="220"/>
    <n v="140"/>
    <n v="2"/>
    <n v="3"/>
    <n v="800"/>
    <n v="880"/>
    <n v="560"/>
    <n v="320"/>
    <n v="0.36363636363636365"/>
    <x v="0"/>
  </r>
  <r>
    <x v="13"/>
    <d v="2026-08-05T00:00:00"/>
    <s v="Bogota"/>
    <x v="1"/>
    <x v="0"/>
    <x v="1"/>
    <s v="Saco Lana"/>
    <n v="5"/>
    <n v="65"/>
    <n v="30"/>
    <n v="2"/>
    <n v="3"/>
    <n v="300"/>
    <n v="325"/>
    <n v="150"/>
    <n v="175"/>
    <n v="0.53846153846153844"/>
    <x v="0"/>
  </r>
  <r>
    <x v="14"/>
    <d v="2026-08-05T00:00:00"/>
    <s v="Cali"/>
    <x v="2"/>
    <x v="0"/>
    <x v="2"/>
    <s v="Escritorio Pro"/>
    <n v="2"/>
    <n v="180"/>
    <n v="110"/>
    <n v="6"/>
    <n v="3"/>
    <n v="350"/>
    <n v="360"/>
    <n v="220"/>
    <n v="140"/>
    <n v="0.3888888888888889"/>
    <x v="1"/>
  </r>
  <r>
    <x v="15"/>
    <d v="2026-08-06T00:00:00"/>
    <s v="Pasto"/>
    <x v="0"/>
    <x v="1"/>
    <x v="3"/>
    <s v="Tenis Urbano"/>
    <n v="6"/>
    <n v="85"/>
    <n v="45"/>
    <n v="1"/>
    <n v="2"/>
    <n v="500"/>
    <n v="510"/>
    <n v="270"/>
    <n v="240"/>
    <n v="0.47058823529411764"/>
    <x v="0"/>
  </r>
  <r>
    <x v="16"/>
    <d v="2026-08-06T00:00:00"/>
    <s v="Bogota"/>
    <x v="1"/>
    <x v="0"/>
    <x v="0"/>
    <s v="Audifonos BT"/>
    <n v="12"/>
    <n v="75"/>
    <n v="35"/>
    <n v="1"/>
    <n v="2"/>
    <n v="800"/>
    <n v="900"/>
    <n v="420"/>
    <n v="480"/>
    <n v="0.53333333333333333"/>
    <x v="0"/>
  </r>
  <r>
    <x v="17"/>
    <d v="2026-08-06T00:00:00"/>
    <s v="Cali"/>
    <x v="2"/>
    <x v="1"/>
    <x v="1"/>
    <s v="Vestido Formal"/>
    <n v="4"/>
    <n v="110"/>
    <n v="55"/>
    <n v="5"/>
    <n v="3"/>
    <n v="400"/>
    <n v="440"/>
    <n v="220"/>
    <n v="220"/>
    <n v="0.5"/>
    <x v="1"/>
  </r>
  <r>
    <x v="18"/>
    <d v="2026-08-07T00:00:00"/>
    <s v="Pasto"/>
    <x v="0"/>
    <x v="0"/>
    <x v="2"/>
    <s v="Lámpara LED"/>
    <n v="15"/>
    <n v="25"/>
    <n v="10"/>
    <n v="2"/>
    <n v="3"/>
    <n v="300"/>
    <n v="375"/>
    <n v="150"/>
    <n v="225"/>
    <n v="0.6"/>
    <x v="0"/>
  </r>
  <r>
    <x v="19"/>
    <d v="2026-08-07T00:00:00"/>
    <s v="Bogota"/>
    <x v="1"/>
    <x v="1"/>
    <x v="3"/>
    <s v="Zapatos Formales"/>
    <n v="5"/>
    <n v="130"/>
    <n v="70"/>
    <n v="3"/>
    <n v="3"/>
    <n v="600"/>
    <n v="650"/>
    <n v="350"/>
    <n v="300"/>
    <n v="0.46153846153846156"/>
    <x v="0"/>
  </r>
  <r>
    <x v="20"/>
    <d v="2026-08-07T00:00:00"/>
    <s v="Cali"/>
    <x v="2"/>
    <x v="0"/>
    <x v="0"/>
    <s v="Consola Videojuegos"/>
    <n v="2"/>
    <n v="500"/>
    <n v="380"/>
    <n v="6"/>
    <n v="4"/>
    <n v="900"/>
    <n v="1000"/>
    <n v="760"/>
    <n v="240"/>
    <n v="0.24"/>
    <x v="1"/>
  </r>
  <r>
    <x v="21"/>
    <d v="2026-08-08T00:00:00"/>
    <s v="Pasto"/>
    <x v="0"/>
    <x v="0"/>
    <x v="1"/>
    <s v="Chaqueta Impermeable"/>
    <n v="3"/>
    <n v="95"/>
    <n v="45"/>
    <n v="2"/>
    <n v="3"/>
    <n v="300"/>
    <n v="285"/>
    <n v="135"/>
    <n v="150"/>
    <n v="0.52631578947368418"/>
    <x v="0"/>
  </r>
  <r>
    <x v="22"/>
    <d v="2026-08-08T00:00:00"/>
    <s v="Bogota"/>
    <x v="1"/>
    <x v="0"/>
    <x v="2"/>
    <s v="Silla Ergonomica"/>
    <n v="4"/>
    <n v="160"/>
    <n v="95"/>
    <n v="2"/>
    <n v="3"/>
    <n v="600"/>
    <n v="640"/>
    <n v="380"/>
    <n v="260"/>
    <n v="0.40625"/>
    <x v="0"/>
  </r>
  <r>
    <x v="23"/>
    <d v="2026-08-08T00:00:00"/>
    <s v="Cali"/>
    <x v="2"/>
    <x v="1"/>
    <x v="3"/>
    <s v="Tenis Deportivo"/>
    <n v="7"/>
    <n v="90"/>
    <n v="45"/>
    <n v="4"/>
    <n v="3"/>
    <n v="600"/>
    <n v="630"/>
    <n v="315"/>
    <n v="315"/>
    <n v="0.5"/>
    <x v="1"/>
  </r>
  <r>
    <x v="24"/>
    <d v="2026-08-09T00:00:00"/>
    <s v="Pasto"/>
    <x v="0"/>
    <x v="1"/>
    <x v="0"/>
    <s v="Monitor 27"/>
    <n v="3"/>
    <n v="310"/>
    <n v="210"/>
    <n v="2"/>
    <n v="3"/>
    <n v="900"/>
    <n v="930"/>
    <n v="630"/>
    <n v="300"/>
    <n v="0.32258064516129031"/>
    <x v="0"/>
  </r>
  <r>
    <x v="25"/>
    <d v="2026-08-09T00:00:00"/>
    <s v="Bogota"/>
    <x v="1"/>
    <x v="0"/>
    <x v="1"/>
    <s v="Buzo Hooded"/>
    <n v="8"/>
    <n v="50"/>
    <n v="22"/>
    <n v="2"/>
    <n v="3"/>
    <n v="400"/>
    <n v="400"/>
    <n v="176"/>
    <n v="224"/>
    <n v="0.56000000000000005"/>
    <x v="0"/>
  </r>
  <r>
    <x v="26"/>
    <d v="2026-08-09T00:00:00"/>
    <s v="Cali"/>
    <x v="2"/>
    <x v="0"/>
    <x v="2"/>
    <s v="Cama King"/>
    <n v="1"/>
    <n v="750"/>
    <n v="480"/>
    <n v="8"/>
    <n v="4"/>
    <n v="700"/>
    <n v="750"/>
    <n v="480"/>
    <n v="270"/>
    <n v="0.36"/>
    <x v="1"/>
  </r>
  <r>
    <x v="27"/>
    <d v="2026-08-10T00:00:00"/>
    <s v="Pasto"/>
    <x v="0"/>
    <x v="0"/>
    <x v="3"/>
    <s v="Botines Cuero"/>
    <n v="4"/>
    <n v="140"/>
    <n v="75"/>
    <n v="3"/>
    <n v="3"/>
    <n v="500"/>
    <n v="560"/>
    <n v="300"/>
    <n v="260"/>
    <n v="0.4642857142857143"/>
    <x v="0"/>
  </r>
  <r>
    <x v="28"/>
    <d v="2026-08-10T00:00:00"/>
    <s v="Bogota"/>
    <x v="1"/>
    <x v="1"/>
    <x v="0"/>
    <s v="Teclado Mecanico"/>
    <n v="6"/>
    <n v="90"/>
    <n v="50"/>
    <n v="1"/>
    <n v="2"/>
    <n v="500"/>
    <n v="540"/>
    <n v="300"/>
    <n v="240"/>
    <n v="0.44444444444444442"/>
    <x v="0"/>
  </r>
  <r>
    <x v="29"/>
    <d v="2026-08-10T00:00:00"/>
    <s v="Cali"/>
    <x v="2"/>
    <x v="0"/>
    <x v="1"/>
    <s v="Pantalón Cargo"/>
    <n v="6"/>
    <n v="60"/>
    <n v="28"/>
    <n v="5"/>
    <n v="3"/>
    <n v="350"/>
    <n v="360"/>
    <n v="168"/>
    <n v="192"/>
    <n v="0.53333333333333333"/>
    <x v="1"/>
  </r>
  <r>
    <x v="0"/>
    <d v="2026-08-01T00:00:00"/>
    <s v="Pasto"/>
    <x v="0"/>
    <x v="0"/>
    <x v="0"/>
    <s v="Laptop Pro 15"/>
    <n v="2"/>
    <n v="850"/>
    <n v="600"/>
    <n v="2"/>
    <n v="3"/>
    <n v="1500"/>
    <n v="1700"/>
    <n v="1200"/>
    <n v="500"/>
    <n v="0.29411764705882354"/>
    <x v="0"/>
  </r>
  <r>
    <x v="1"/>
    <d v="2026-08-01T00:00:00"/>
    <s v="Bogota"/>
    <x v="1"/>
    <x v="1"/>
    <x v="1"/>
    <s v="Chaqueta Cuero"/>
    <n v="5"/>
    <n v="120"/>
    <n v="70"/>
    <n v="3"/>
    <n v="3"/>
    <n v="500"/>
    <n v="600"/>
    <n v="350"/>
    <n v="250"/>
    <n v="0.41666666666666669"/>
    <x v="0"/>
  </r>
  <r>
    <x v="2"/>
    <d v="2026-08-01T00:00:00"/>
    <s v="Cali"/>
    <x v="2"/>
    <x v="0"/>
    <x v="2"/>
    <s v="Cafetera Express"/>
    <n v="3"/>
    <n v="90"/>
    <n v="50"/>
    <n v="6"/>
    <n v="4"/>
    <n v="300"/>
    <n v="270"/>
    <n v="150"/>
    <n v="120"/>
    <n v="0.44444444444444442"/>
    <x v="1"/>
  </r>
  <r>
    <x v="3"/>
    <d v="2026-08-02T00:00:00"/>
    <s v="Pasto"/>
    <x v="0"/>
    <x v="1"/>
    <x v="3"/>
    <s v="Tenis Running"/>
    <n v="4"/>
    <n v="110"/>
    <n v="60"/>
    <n v="1"/>
    <n v="2"/>
    <n v="400"/>
    <n v="440"/>
    <n v="240"/>
    <n v="200"/>
    <n v="0.45454545454545453"/>
    <x v="0"/>
  </r>
  <r>
    <x v="4"/>
    <d v="2026-08-02T00:00:00"/>
    <s v="Bogota"/>
    <x v="1"/>
    <x v="0"/>
    <x v="0"/>
    <s v="Smartphone X"/>
    <n v="3"/>
    <n v="650"/>
    <n v="450"/>
    <n v="2"/>
    <n v="3"/>
    <n v="1800"/>
    <n v="1950"/>
    <n v="1350"/>
    <n v="600"/>
    <n v="0.30769230769230771"/>
    <x v="0"/>
  </r>
  <r>
    <x v="5"/>
    <d v="2026-08-02T00:00:00"/>
    <s v="Cali"/>
    <x v="2"/>
    <x v="0"/>
    <x v="1"/>
    <s v="Jean Slim Fit"/>
    <n v="8"/>
    <n v="45"/>
    <n v="20"/>
    <n v="5"/>
    <n v="3"/>
    <n v="400"/>
    <n v="360"/>
    <n v="160"/>
    <n v="200"/>
    <n v="0.55555555555555558"/>
    <x v="1"/>
  </r>
  <r>
    <x v="6"/>
    <d v="2026-08-03T00:00:00"/>
    <s v="Pasto"/>
    <x v="0"/>
    <x v="0"/>
    <x v="2"/>
    <s v="Aspiradora Robot"/>
    <n v="2"/>
    <n v="280"/>
    <n v="180"/>
    <n v="3"/>
    <n v="3"/>
    <n v="500"/>
    <n v="560"/>
    <n v="360"/>
    <n v="200"/>
    <n v="0.35714285714285715"/>
    <x v="0"/>
  </r>
  <r>
    <x v="7"/>
    <d v="2026-08-03T00:00:00"/>
    <s v="Bogota"/>
    <x v="1"/>
    <x v="1"/>
    <x v="3"/>
    <s v="Botas Moto"/>
    <n v="3"/>
    <n v="150"/>
    <n v="85"/>
    <n v="2"/>
    <n v="2"/>
    <n v="400"/>
    <n v="450"/>
    <n v="255"/>
    <n v="195"/>
    <n v="0.43333333333333335"/>
    <x v="0"/>
  </r>
  <r>
    <x v="8"/>
    <d v="2026-08-03T00:00:00"/>
    <s v="Cali"/>
    <x v="2"/>
    <x v="0"/>
    <x v="0"/>
    <s v="Smart TV 55"/>
    <n v="2"/>
    <n v="520"/>
    <n v="380"/>
    <n v="7"/>
    <n v="4"/>
    <n v="1000"/>
    <n v="1040"/>
    <n v="760"/>
    <n v="280"/>
    <n v="0.26923076923076922"/>
    <x v="1"/>
  </r>
  <r>
    <x v="9"/>
    <d v="2026-08-04T00:00:00"/>
    <s v="Pasto"/>
    <x v="0"/>
    <x v="1"/>
    <x v="1"/>
    <s v="Camisa Lino"/>
    <n v="6"/>
    <n v="55"/>
    <n v="25"/>
    <n v="2"/>
    <n v="3"/>
    <n v="300"/>
    <n v="330"/>
    <n v="150"/>
    <n v="180"/>
    <n v="0.54545454545454541"/>
    <x v="0"/>
  </r>
  <r>
    <x v="10"/>
    <d v="2026-08-04T00:00:00"/>
    <s v="Bogota"/>
    <x v="1"/>
    <x v="0"/>
    <x v="2"/>
    <s v="Juego Comedor"/>
    <n v="1"/>
    <n v="450"/>
    <n v="290"/>
    <n v="4"/>
    <n v="3"/>
    <n v="400"/>
    <n v="450"/>
    <n v="290"/>
    <n v="160"/>
    <n v="0.35555555555555557"/>
    <x v="1"/>
  </r>
  <r>
    <x v="11"/>
    <d v="2026-08-04T00:00:00"/>
    <s v="Cali"/>
    <x v="2"/>
    <x v="1"/>
    <x v="3"/>
    <s v="Sandalias"/>
    <n v="10"/>
    <n v="35"/>
    <n v="15"/>
    <n v="4"/>
    <n v="3"/>
    <n v="300"/>
    <n v="350"/>
    <n v="150"/>
    <n v="200"/>
    <n v="0.5714285714285714"/>
    <x v="1"/>
  </r>
  <r>
    <x v="12"/>
    <d v="2026-08-05T00:00:00"/>
    <s v="Pasto"/>
    <x v="0"/>
    <x v="0"/>
    <x v="0"/>
    <s v="Tablet 10"/>
    <n v="4"/>
    <n v="220"/>
    <n v="140"/>
    <n v="2"/>
    <n v="3"/>
    <n v="800"/>
    <n v="880"/>
    <n v="560"/>
    <n v="320"/>
    <n v="0.36363636363636365"/>
    <x v="0"/>
  </r>
  <r>
    <x v="13"/>
    <d v="2026-08-05T00:00:00"/>
    <s v="Bogota"/>
    <x v="1"/>
    <x v="0"/>
    <x v="1"/>
    <s v="Saco Lana"/>
    <n v="5"/>
    <n v="65"/>
    <n v="30"/>
    <n v="2"/>
    <n v="3"/>
    <n v="300"/>
    <n v="325"/>
    <n v="150"/>
    <n v="175"/>
    <n v="0.53846153846153844"/>
    <x v="0"/>
  </r>
  <r>
    <x v="14"/>
    <d v="2026-08-05T00:00:00"/>
    <s v="Cali"/>
    <x v="2"/>
    <x v="0"/>
    <x v="2"/>
    <s v="Escritorio Pro"/>
    <n v="2"/>
    <n v="180"/>
    <n v="110"/>
    <n v="6"/>
    <n v="3"/>
    <n v="350"/>
    <n v="360"/>
    <n v="220"/>
    <n v="140"/>
    <n v="0.3888888888888889"/>
    <x v="1"/>
  </r>
  <r>
    <x v="15"/>
    <d v="2026-08-06T00:00:00"/>
    <s v="Pasto"/>
    <x v="0"/>
    <x v="1"/>
    <x v="3"/>
    <s v="Tenis Urbano"/>
    <n v="6"/>
    <n v="85"/>
    <n v="45"/>
    <n v="1"/>
    <n v="2"/>
    <n v="500"/>
    <n v="510"/>
    <n v="270"/>
    <n v="240"/>
    <n v="0.47058823529411764"/>
    <x v="0"/>
  </r>
  <r>
    <x v="16"/>
    <d v="2026-08-06T00:00:00"/>
    <s v="Bogota"/>
    <x v="1"/>
    <x v="0"/>
    <x v="0"/>
    <s v="Audifonos BT"/>
    <n v="12"/>
    <n v="75"/>
    <n v="35"/>
    <n v="1"/>
    <n v="2"/>
    <n v="800"/>
    <n v="900"/>
    <n v="420"/>
    <n v="480"/>
    <n v="0.53333333333333333"/>
    <x v="0"/>
  </r>
  <r>
    <x v="17"/>
    <d v="2026-08-06T00:00:00"/>
    <s v="Cali"/>
    <x v="2"/>
    <x v="1"/>
    <x v="1"/>
    <s v="Vestido Formal"/>
    <n v="4"/>
    <n v="110"/>
    <n v="55"/>
    <n v="5"/>
    <n v="3"/>
    <n v="400"/>
    <n v="440"/>
    <n v="220"/>
    <n v="220"/>
    <n v="0.5"/>
    <x v="1"/>
  </r>
  <r>
    <x v="18"/>
    <d v="2026-08-07T00:00:00"/>
    <s v="Pasto"/>
    <x v="0"/>
    <x v="0"/>
    <x v="2"/>
    <s v="Lámpara LED"/>
    <n v="15"/>
    <n v="25"/>
    <n v="10"/>
    <n v="2"/>
    <n v="3"/>
    <n v="300"/>
    <n v="375"/>
    <n v="150"/>
    <n v="225"/>
    <n v="0.6"/>
    <x v="0"/>
  </r>
  <r>
    <x v="19"/>
    <d v="2026-08-07T00:00:00"/>
    <s v="Bogota"/>
    <x v="1"/>
    <x v="1"/>
    <x v="3"/>
    <s v="Zapatos Formales"/>
    <n v="5"/>
    <n v="130"/>
    <n v="70"/>
    <n v="3"/>
    <n v="3"/>
    <n v="600"/>
    <n v="650"/>
    <n v="350"/>
    <n v="300"/>
    <n v="0.46153846153846156"/>
    <x v="0"/>
  </r>
  <r>
    <x v="20"/>
    <d v="2026-08-07T00:00:00"/>
    <s v="Cali"/>
    <x v="2"/>
    <x v="0"/>
    <x v="0"/>
    <s v="Consola Videojuegos"/>
    <n v="2"/>
    <n v="500"/>
    <n v="380"/>
    <n v="6"/>
    <n v="4"/>
    <n v="900"/>
    <n v="1000"/>
    <n v="760"/>
    <n v="240"/>
    <n v="0.24"/>
    <x v="1"/>
  </r>
  <r>
    <x v="21"/>
    <d v="2026-08-08T00:00:00"/>
    <s v="Pasto"/>
    <x v="0"/>
    <x v="0"/>
    <x v="1"/>
    <s v="Chaqueta Impermeable"/>
    <n v="3"/>
    <n v="95"/>
    <n v="45"/>
    <n v="2"/>
    <n v="3"/>
    <n v="300"/>
    <n v="285"/>
    <n v="135"/>
    <n v="150"/>
    <n v="0.52631578947368418"/>
    <x v="0"/>
  </r>
  <r>
    <x v="22"/>
    <d v="2026-08-08T00:00:00"/>
    <s v="Bogota"/>
    <x v="1"/>
    <x v="0"/>
    <x v="2"/>
    <s v="Silla Ergonomica"/>
    <n v="4"/>
    <n v="160"/>
    <n v="95"/>
    <n v="2"/>
    <n v="3"/>
    <n v="600"/>
    <n v="640"/>
    <n v="380"/>
    <n v="260"/>
    <n v="0.40625"/>
    <x v="0"/>
  </r>
  <r>
    <x v="23"/>
    <d v="2026-08-08T00:00:00"/>
    <s v="Cali"/>
    <x v="2"/>
    <x v="1"/>
    <x v="3"/>
    <s v="Tenis Deportivo"/>
    <n v="7"/>
    <n v="90"/>
    <n v="45"/>
    <n v="4"/>
    <n v="3"/>
    <n v="600"/>
    <n v="630"/>
    <n v="315"/>
    <n v="315"/>
    <n v="0.5"/>
    <x v="1"/>
  </r>
  <r>
    <x v="24"/>
    <d v="2026-08-09T00:00:00"/>
    <s v="Pasto"/>
    <x v="0"/>
    <x v="1"/>
    <x v="0"/>
    <s v="Monitor 27"/>
    <n v="3"/>
    <n v="310"/>
    <n v="210"/>
    <n v="2"/>
    <n v="3"/>
    <n v="900"/>
    <n v="930"/>
    <n v="630"/>
    <n v="300"/>
    <n v="0.32258064516129031"/>
    <x v="0"/>
  </r>
  <r>
    <x v="25"/>
    <d v="2026-08-09T00:00:00"/>
    <s v="Bogota"/>
    <x v="1"/>
    <x v="0"/>
    <x v="1"/>
    <s v="Buzo Hooded"/>
    <n v="8"/>
    <n v="50"/>
    <n v="22"/>
    <n v="2"/>
    <n v="3"/>
    <n v="400"/>
    <n v="400"/>
    <n v="176"/>
    <n v="224"/>
    <n v="0.56000000000000005"/>
    <x v="0"/>
  </r>
  <r>
    <x v="26"/>
    <d v="2026-08-09T00:00:00"/>
    <s v="Cali"/>
    <x v="2"/>
    <x v="0"/>
    <x v="2"/>
    <s v="Cama King"/>
    <n v="1"/>
    <n v="750"/>
    <n v="480"/>
    <n v="8"/>
    <n v="4"/>
    <n v="700"/>
    <n v="750"/>
    <n v="480"/>
    <n v="270"/>
    <n v="0.36"/>
    <x v="1"/>
  </r>
  <r>
    <x v="27"/>
    <d v="2026-08-10T00:00:00"/>
    <s v="Pasto"/>
    <x v="0"/>
    <x v="0"/>
    <x v="3"/>
    <s v="Botines Cuero"/>
    <n v="4"/>
    <n v="140"/>
    <n v="75"/>
    <n v="3"/>
    <n v="3"/>
    <n v="500"/>
    <n v="560"/>
    <n v="300"/>
    <n v="260"/>
    <n v="0.4642857142857143"/>
    <x v="0"/>
  </r>
  <r>
    <x v="28"/>
    <d v="2026-08-10T00:00:00"/>
    <s v="Bogota"/>
    <x v="1"/>
    <x v="1"/>
    <x v="0"/>
    <s v="Teclado Mecanico"/>
    <n v="6"/>
    <n v="90"/>
    <n v="50"/>
    <n v="1"/>
    <n v="2"/>
    <n v="500"/>
    <n v="540"/>
    <n v="300"/>
    <n v="240"/>
    <n v="0.44444444444444442"/>
    <x v="0"/>
  </r>
  <r>
    <x v="29"/>
    <d v="2026-08-10T00:00:00"/>
    <s v="Cali"/>
    <x v="2"/>
    <x v="0"/>
    <x v="1"/>
    <s v="Pantalón Cargo"/>
    <n v="6"/>
    <n v="60"/>
    <n v="28"/>
    <n v="5"/>
    <n v="3"/>
    <n v="350"/>
    <n v="360"/>
    <n v="168"/>
    <n v="192"/>
    <n v="0.53333333333333333"/>
    <x v="1"/>
  </r>
  <r>
    <x v="0"/>
    <d v="2026-08-01T00:00:00"/>
    <s v="Pasto"/>
    <x v="0"/>
    <x v="0"/>
    <x v="0"/>
    <s v="Laptop Pro 15"/>
    <n v="2"/>
    <n v="850"/>
    <n v="600"/>
    <n v="2"/>
    <n v="3"/>
    <n v="1500"/>
    <n v="1700"/>
    <n v="1200"/>
    <n v="500"/>
    <n v="0.29411764705882354"/>
    <x v="0"/>
  </r>
  <r>
    <x v="1"/>
    <d v="2026-08-01T00:00:00"/>
    <s v="Bogota"/>
    <x v="1"/>
    <x v="1"/>
    <x v="1"/>
    <s v="Chaqueta Cuero"/>
    <n v="5"/>
    <n v="120"/>
    <n v="70"/>
    <n v="3"/>
    <n v="3"/>
    <n v="500"/>
    <n v="600"/>
    <n v="350"/>
    <n v="250"/>
    <n v="0.41666666666666669"/>
    <x v="0"/>
  </r>
  <r>
    <x v="2"/>
    <d v="2026-08-01T00:00:00"/>
    <s v="Cali"/>
    <x v="2"/>
    <x v="0"/>
    <x v="2"/>
    <s v="Cafetera Express"/>
    <n v="3"/>
    <n v="90"/>
    <n v="50"/>
    <n v="6"/>
    <n v="4"/>
    <n v="300"/>
    <n v="270"/>
    <n v="150"/>
    <n v="120"/>
    <n v="0.44444444444444442"/>
    <x v="1"/>
  </r>
  <r>
    <x v="3"/>
    <d v="2026-08-02T00:00:00"/>
    <s v="Pasto"/>
    <x v="0"/>
    <x v="1"/>
    <x v="3"/>
    <s v="Tenis Running"/>
    <n v="4"/>
    <n v="110"/>
    <n v="60"/>
    <n v="1"/>
    <n v="2"/>
    <n v="400"/>
    <n v="440"/>
    <n v="240"/>
    <n v="200"/>
    <n v="0.45454545454545453"/>
    <x v="0"/>
  </r>
  <r>
    <x v="4"/>
    <d v="2026-08-02T00:00:00"/>
    <s v="Bogota"/>
    <x v="1"/>
    <x v="0"/>
    <x v="0"/>
    <s v="Smartphone X"/>
    <n v="3"/>
    <n v="650"/>
    <n v="450"/>
    <n v="2"/>
    <n v="3"/>
    <n v="1800"/>
    <n v="1950"/>
    <n v="1350"/>
    <n v="600"/>
    <n v="0.30769230769230771"/>
    <x v="0"/>
  </r>
  <r>
    <x v="5"/>
    <d v="2026-08-02T00:00:00"/>
    <s v="Cali"/>
    <x v="2"/>
    <x v="0"/>
    <x v="1"/>
    <s v="Jean Slim Fit"/>
    <n v="8"/>
    <n v="45"/>
    <n v="20"/>
    <n v="5"/>
    <n v="3"/>
    <n v="400"/>
    <n v="360"/>
    <n v="160"/>
    <n v="200"/>
    <n v="0.55555555555555558"/>
    <x v="1"/>
  </r>
  <r>
    <x v="6"/>
    <d v="2026-08-03T00:00:00"/>
    <s v="Pasto"/>
    <x v="0"/>
    <x v="0"/>
    <x v="2"/>
    <s v="Aspiradora Robot"/>
    <n v="2"/>
    <n v="280"/>
    <n v="180"/>
    <n v="3"/>
    <n v="3"/>
    <n v="500"/>
    <n v="560"/>
    <n v="360"/>
    <n v="200"/>
    <n v="0.35714285714285715"/>
    <x v="0"/>
  </r>
  <r>
    <x v="7"/>
    <d v="2026-08-03T00:00:00"/>
    <s v="Bogota"/>
    <x v="1"/>
    <x v="1"/>
    <x v="3"/>
    <s v="Botas Moto"/>
    <n v="3"/>
    <n v="150"/>
    <n v="85"/>
    <n v="2"/>
    <n v="2"/>
    <n v="400"/>
    <n v="450"/>
    <n v="255"/>
    <n v="195"/>
    <n v="0.43333333333333335"/>
    <x v="0"/>
  </r>
  <r>
    <x v="8"/>
    <d v="2026-08-03T00:00:00"/>
    <s v="Cali"/>
    <x v="2"/>
    <x v="0"/>
    <x v="0"/>
    <s v="Smart TV 55"/>
    <n v="2"/>
    <n v="520"/>
    <n v="380"/>
    <n v="7"/>
    <n v="4"/>
    <n v="1000"/>
    <n v="1040"/>
    <n v="760"/>
    <n v="280"/>
    <n v="0.26923076923076922"/>
    <x v="1"/>
  </r>
  <r>
    <x v="9"/>
    <d v="2026-08-04T00:00:00"/>
    <s v="Pasto"/>
    <x v="0"/>
    <x v="1"/>
    <x v="1"/>
    <s v="Camisa Lino"/>
    <n v="6"/>
    <n v="55"/>
    <n v="25"/>
    <n v="2"/>
    <n v="3"/>
    <n v="300"/>
    <n v="330"/>
    <n v="150"/>
    <n v="180"/>
    <n v="0.54545454545454541"/>
    <x v="0"/>
  </r>
  <r>
    <x v="10"/>
    <d v="2026-08-04T00:00:00"/>
    <s v="Bogota"/>
    <x v="1"/>
    <x v="0"/>
    <x v="2"/>
    <s v="Juego Comedor"/>
    <n v="1"/>
    <n v="450"/>
    <n v="290"/>
    <n v="4"/>
    <n v="3"/>
    <n v="400"/>
    <n v="450"/>
    <n v="290"/>
    <n v="160"/>
    <n v="0.35555555555555557"/>
    <x v="1"/>
  </r>
  <r>
    <x v="11"/>
    <d v="2026-08-04T00:00:00"/>
    <s v="Cali"/>
    <x v="2"/>
    <x v="1"/>
    <x v="3"/>
    <s v="Sandalias"/>
    <n v="10"/>
    <n v="35"/>
    <n v="15"/>
    <n v="4"/>
    <n v="3"/>
    <n v="300"/>
    <n v="350"/>
    <n v="150"/>
    <n v="200"/>
    <n v="0.5714285714285714"/>
    <x v="1"/>
  </r>
  <r>
    <x v="12"/>
    <d v="2026-08-05T00:00:00"/>
    <s v="Pasto"/>
    <x v="0"/>
    <x v="0"/>
    <x v="0"/>
    <s v="Tablet 10"/>
    <n v="4"/>
    <n v="220"/>
    <n v="140"/>
    <n v="2"/>
    <n v="3"/>
    <n v="800"/>
    <n v="880"/>
    <n v="560"/>
    <n v="320"/>
    <n v="0.36363636363636365"/>
    <x v="0"/>
  </r>
  <r>
    <x v="13"/>
    <d v="2026-08-05T00:00:00"/>
    <s v="Bogota"/>
    <x v="1"/>
    <x v="0"/>
    <x v="1"/>
    <s v="Saco Lana"/>
    <n v="5"/>
    <n v="65"/>
    <n v="30"/>
    <n v="2"/>
    <n v="3"/>
    <n v="300"/>
    <n v="325"/>
    <n v="150"/>
    <n v="175"/>
    <n v="0.53846153846153844"/>
    <x v="0"/>
  </r>
  <r>
    <x v="14"/>
    <d v="2026-08-05T00:00:00"/>
    <s v="Cali"/>
    <x v="2"/>
    <x v="0"/>
    <x v="2"/>
    <s v="Escritorio Pro"/>
    <n v="2"/>
    <n v="180"/>
    <n v="110"/>
    <n v="6"/>
    <n v="3"/>
    <n v="350"/>
    <n v="360"/>
    <n v="220"/>
    <n v="140"/>
    <n v="0.3888888888888889"/>
    <x v="1"/>
  </r>
  <r>
    <x v="15"/>
    <d v="2026-08-06T00:00:00"/>
    <s v="Pasto"/>
    <x v="0"/>
    <x v="1"/>
    <x v="3"/>
    <s v="Tenis Urbano"/>
    <n v="6"/>
    <n v="85"/>
    <n v="45"/>
    <n v="1"/>
    <n v="2"/>
    <n v="500"/>
    <n v="510"/>
    <n v="270"/>
    <n v="240"/>
    <n v="0.47058823529411764"/>
    <x v="0"/>
  </r>
  <r>
    <x v="16"/>
    <d v="2026-08-06T00:00:00"/>
    <s v="Bogota"/>
    <x v="1"/>
    <x v="0"/>
    <x v="0"/>
    <s v="Audifonos BT"/>
    <n v="12"/>
    <n v="75"/>
    <n v="35"/>
    <n v="1"/>
    <n v="2"/>
    <n v="800"/>
    <n v="900"/>
    <n v="420"/>
    <n v="480"/>
    <n v="0.53333333333333333"/>
    <x v="0"/>
  </r>
  <r>
    <x v="17"/>
    <d v="2026-08-06T00:00:00"/>
    <s v="Cali"/>
    <x v="2"/>
    <x v="1"/>
    <x v="1"/>
    <s v="Vestido Formal"/>
    <n v="4"/>
    <n v="110"/>
    <n v="55"/>
    <n v="5"/>
    <n v="3"/>
    <n v="400"/>
    <n v="440"/>
    <n v="220"/>
    <n v="220"/>
    <n v="0.5"/>
    <x v="1"/>
  </r>
  <r>
    <x v="18"/>
    <d v="2026-08-07T00:00:00"/>
    <s v="Pasto"/>
    <x v="0"/>
    <x v="0"/>
    <x v="2"/>
    <s v="Lámpara LED"/>
    <n v="15"/>
    <n v="25"/>
    <n v="10"/>
    <n v="2"/>
    <n v="3"/>
    <n v="300"/>
    <n v="375"/>
    <n v="150"/>
    <n v="225"/>
    <n v="0.6"/>
    <x v="0"/>
  </r>
  <r>
    <x v="19"/>
    <d v="2026-08-07T00:00:00"/>
    <s v="Bogota"/>
    <x v="1"/>
    <x v="1"/>
    <x v="3"/>
    <s v="Zapatos Formales"/>
    <n v="5"/>
    <n v="130"/>
    <n v="70"/>
    <n v="3"/>
    <n v="3"/>
    <n v="600"/>
    <n v="650"/>
    <n v="350"/>
    <n v="300"/>
    <n v="0.46153846153846156"/>
    <x v="0"/>
  </r>
  <r>
    <x v="20"/>
    <d v="2026-08-07T00:00:00"/>
    <s v="Cali"/>
    <x v="2"/>
    <x v="0"/>
    <x v="0"/>
    <s v="Consola Videojuegos"/>
    <n v="2"/>
    <n v="500"/>
    <n v="380"/>
    <n v="6"/>
    <n v="4"/>
    <n v="900"/>
    <n v="1000"/>
    <n v="760"/>
    <n v="240"/>
    <n v="0.24"/>
    <x v="1"/>
  </r>
  <r>
    <x v="21"/>
    <d v="2026-08-08T00:00:00"/>
    <s v="Pasto"/>
    <x v="0"/>
    <x v="0"/>
    <x v="1"/>
    <s v="Chaqueta Impermeable"/>
    <n v="3"/>
    <n v="95"/>
    <n v="45"/>
    <n v="2"/>
    <n v="3"/>
    <n v="300"/>
    <n v="285"/>
    <n v="135"/>
    <n v="150"/>
    <n v="0.52631578947368418"/>
    <x v="0"/>
  </r>
  <r>
    <x v="22"/>
    <d v="2026-08-08T00:00:00"/>
    <s v="Bogota"/>
    <x v="1"/>
    <x v="0"/>
    <x v="2"/>
    <s v="Silla Ergonomica"/>
    <n v="4"/>
    <n v="160"/>
    <n v="95"/>
    <n v="2"/>
    <n v="3"/>
    <n v="600"/>
    <n v="640"/>
    <n v="380"/>
    <n v="260"/>
    <n v="0.40625"/>
    <x v="0"/>
  </r>
  <r>
    <x v="23"/>
    <d v="2026-08-08T00:00:00"/>
    <s v="Cali"/>
    <x v="2"/>
    <x v="1"/>
    <x v="3"/>
    <s v="Tenis Deportivo"/>
    <n v="7"/>
    <n v="90"/>
    <n v="45"/>
    <n v="4"/>
    <n v="3"/>
    <n v="600"/>
    <n v="630"/>
    <n v="315"/>
    <n v="315"/>
    <n v="0.5"/>
    <x v="1"/>
  </r>
  <r>
    <x v="24"/>
    <d v="2026-08-09T00:00:00"/>
    <s v="Pasto"/>
    <x v="0"/>
    <x v="1"/>
    <x v="0"/>
    <s v="Monitor 27"/>
    <n v="3"/>
    <n v="310"/>
    <n v="210"/>
    <n v="2"/>
    <n v="3"/>
    <n v="900"/>
    <n v="930"/>
    <n v="630"/>
    <n v="300"/>
    <n v="0.32258064516129031"/>
    <x v="0"/>
  </r>
  <r>
    <x v="25"/>
    <d v="2026-08-09T00:00:00"/>
    <s v="Bogota"/>
    <x v="1"/>
    <x v="0"/>
    <x v="1"/>
    <s v="Buzo Hooded"/>
    <n v="8"/>
    <n v="50"/>
    <n v="22"/>
    <n v="2"/>
    <n v="3"/>
    <n v="400"/>
    <n v="400"/>
    <n v="176"/>
    <n v="224"/>
    <n v="0.56000000000000005"/>
    <x v="0"/>
  </r>
  <r>
    <x v="26"/>
    <d v="2026-08-09T00:00:00"/>
    <s v="Cali"/>
    <x v="2"/>
    <x v="0"/>
    <x v="2"/>
    <s v="Cama King"/>
    <n v="1"/>
    <n v="750"/>
    <n v="480"/>
    <n v="8"/>
    <n v="4"/>
    <n v="700"/>
    <n v="750"/>
    <n v="480"/>
    <n v="270"/>
    <n v="0.36"/>
    <x v="1"/>
  </r>
  <r>
    <x v="27"/>
    <d v="2026-08-10T00:00:00"/>
    <s v="Pasto"/>
    <x v="0"/>
    <x v="0"/>
    <x v="3"/>
    <s v="Botines Cuero"/>
    <n v="4"/>
    <n v="140"/>
    <n v="75"/>
    <n v="3"/>
    <n v="3"/>
    <n v="500"/>
    <n v="560"/>
    <n v="300"/>
    <n v="260"/>
    <n v="0.4642857142857143"/>
    <x v="0"/>
  </r>
  <r>
    <x v="28"/>
    <d v="2026-08-10T00:00:00"/>
    <s v="Bogota"/>
    <x v="1"/>
    <x v="1"/>
    <x v="0"/>
    <s v="Teclado Mecanico"/>
    <n v="6"/>
    <n v="90"/>
    <n v="50"/>
    <n v="1"/>
    <n v="2"/>
    <n v="500"/>
    <n v="540"/>
    <n v="300"/>
    <n v="240"/>
    <n v="0.44444444444444442"/>
    <x v="0"/>
  </r>
  <r>
    <x v="29"/>
    <d v="2026-08-10T00:00:00"/>
    <s v="Cali"/>
    <x v="2"/>
    <x v="0"/>
    <x v="1"/>
    <s v="Pantalón Cargo"/>
    <n v="6"/>
    <n v="60"/>
    <n v="28"/>
    <n v="5"/>
    <n v="3"/>
    <n v="350"/>
    <n v="360"/>
    <n v="168"/>
    <n v="192"/>
    <n v="0.53333333333333333"/>
    <x v="1"/>
  </r>
  <r>
    <x v="0"/>
    <d v="2026-08-01T00:00:00"/>
    <s v="Pasto"/>
    <x v="0"/>
    <x v="0"/>
    <x v="0"/>
    <s v="Laptop Pro 15"/>
    <n v="2"/>
    <n v="850"/>
    <n v="600"/>
    <n v="2"/>
    <n v="3"/>
    <n v="1500"/>
    <n v="1700"/>
    <n v="1200"/>
    <n v="500"/>
    <n v="0.29411764705882354"/>
    <x v="0"/>
  </r>
  <r>
    <x v="1"/>
    <d v="2026-08-01T00:00:00"/>
    <s v="Bogota"/>
    <x v="1"/>
    <x v="1"/>
    <x v="1"/>
    <s v="Chaqueta Cuero"/>
    <n v="5"/>
    <n v="120"/>
    <n v="70"/>
    <n v="3"/>
    <n v="3"/>
    <n v="500"/>
    <n v="600"/>
    <n v="350"/>
    <n v="250"/>
    <n v="0.41666666666666669"/>
    <x v="0"/>
  </r>
  <r>
    <x v="2"/>
    <d v="2026-08-01T00:00:00"/>
    <s v="Cali"/>
    <x v="2"/>
    <x v="0"/>
    <x v="2"/>
    <s v="Cafetera Express"/>
    <n v="3"/>
    <n v="90"/>
    <n v="50"/>
    <n v="6"/>
    <n v="4"/>
    <n v="300"/>
    <n v="270"/>
    <n v="150"/>
    <n v="120"/>
    <n v="0.44444444444444442"/>
    <x v="1"/>
  </r>
  <r>
    <x v="3"/>
    <d v="2026-08-02T00:00:00"/>
    <s v="Pasto"/>
    <x v="0"/>
    <x v="1"/>
    <x v="3"/>
    <s v="Tenis Running"/>
    <n v="4"/>
    <n v="110"/>
    <n v="60"/>
    <n v="1"/>
    <n v="2"/>
    <n v="400"/>
    <n v="440"/>
    <n v="240"/>
    <n v="200"/>
    <n v="0.45454545454545453"/>
    <x v="0"/>
  </r>
  <r>
    <x v="4"/>
    <d v="2026-08-02T00:00:00"/>
    <s v="Bogota"/>
    <x v="1"/>
    <x v="0"/>
    <x v="0"/>
    <s v="Smartphone X"/>
    <n v="3"/>
    <n v="650"/>
    <n v="450"/>
    <n v="2"/>
    <n v="3"/>
    <n v="1800"/>
    <n v="1950"/>
    <n v="1350"/>
    <n v="600"/>
    <n v="0.30769230769230771"/>
    <x v="0"/>
  </r>
  <r>
    <x v="5"/>
    <d v="2026-08-02T00:00:00"/>
    <s v="Cali"/>
    <x v="2"/>
    <x v="0"/>
    <x v="1"/>
    <s v="Jean Slim Fit"/>
    <n v="8"/>
    <n v="45"/>
    <n v="20"/>
    <n v="5"/>
    <n v="3"/>
    <n v="400"/>
    <n v="360"/>
    <n v="160"/>
    <n v="200"/>
    <n v="0.55555555555555558"/>
    <x v="1"/>
  </r>
  <r>
    <x v="6"/>
    <d v="2026-08-03T00:00:00"/>
    <s v="Pasto"/>
    <x v="0"/>
    <x v="0"/>
    <x v="2"/>
    <s v="Aspiradora Robot"/>
    <n v="2"/>
    <n v="280"/>
    <n v="180"/>
    <n v="3"/>
    <n v="3"/>
    <n v="500"/>
    <n v="560"/>
    <n v="360"/>
    <n v="200"/>
    <n v="0.35714285714285715"/>
    <x v="0"/>
  </r>
  <r>
    <x v="7"/>
    <d v="2026-08-03T00:00:00"/>
    <s v="Bogota"/>
    <x v="1"/>
    <x v="1"/>
    <x v="3"/>
    <s v="Botas Moto"/>
    <n v="3"/>
    <n v="150"/>
    <n v="85"/>
    <n v="2"/>
    <n v="2"/>
    <n v="400"/>
    <n v="450"/>
    <n v="255"/>
    <n v="195"/>
    <n v="0.43333333333333335"/>
    <x v="0"/>
  </r>
  <r>
    <x v="8"/>
    <d v="2026-08-03T00:00:00"/>
    <s v="Cali"/>
    <x v="2"/>
    <x v="0"/>
    <x v="0"/>
    <s v="Smart TV 55"/>
    <n v="2"/>
    <n v="520"/>
    <n v="380"/>
    <n v="7"/>
    <n v="4"/>
    <n v="1000"/>
    <n v="1040"/>
    <n v="760"/>
    <n v="280"/>
    <n v="0.26923076923076922"/>
    <x v="1"/>
  </r>
  <r>
    <x v="9"/>
    <d v="2026-08-04T00:00:00"/>
    <s v="Pasto"/>
    <x v="0"/>
    <x v="1"/>
    <x v="1"/>
    <s v="Camisa Lino"/>
    <n v="6"/>
    <n v="55"/>
    <n v="25"/>
    <n v="2"/>
    <n v="3"/>
    <n v="300"/>
    <n v="330"/>
    <n v="150"/>
    <n v="180"/>
    <n v="0.54545454545454541"/>
    <x v="0"/>
  </r>
  <r>
    <x v="10"/>
    <d v="2026-08-04T00:00:00"/>
    <s v="Bogota"/>
    <x v="1"/>
    <x v="0"/>
    <x v="2"/>
    <s v="Juego Comedor"/>
    <n v="1"/>
    <n v="450"/>
    <n v="290"/>
    <n v="4"/>
    <n v="3"/>
    <n v="400"/>
    <n v="450"/>
    <n v="290"/>
    <n v="160"/>
    <n v="0.35555555555555557"/>
    <x v="1"/>
  </r>
  <r>
    <x v="11"/>
    <d v="2026-08-04T00:00:00"/>
    <s v="Cali"/>
    <x v="2"/>
    <x v="1"/>
    <x v="3"/>
    <s v="Sandalias"/>
    <n v="10"/>
    <n v="35"/>
    <n v="15"/>
    <n v="4"/>
    <n v="3"/>
    <n v="300"/>
    <n v="350"/>
    <n v="150"/>
    <n v="200"/>
    <n v="0.5714285714285714"/>
    <x v="1"/>
  </r>
  <r>
    <x v="12"/>
    <d v="2026-08-05T00:00:00"/>
    <s v="Pasto"/>
    <x v="0"/>
    <x v="0"/>
    <x v="0"/>
    <s v="Tablet 10"/>
    <n v="4"/>
    <n v="220"/>
    <n v="140"/>
    <n v="2"/>
    <n v="3"/>
    <n v="800"/>
    <n v="880"/>
    <n v="560"/>
    <n v="320"/>
    <n v="0.36363636363636365"/>
    <x v="0"/>
  </r>
  <r>
    <x v="13"/>
    <d v="2026-08-05T00:00:00"/>
    <s v="Bogota"/>
    <x v="1"/>
    <x v="0"/>
    <x v="1"/>
    <s v="Saco Lana"/>
    <n v="5"/>
    <n v="65"/>
    <n v="30"/>
    <n v="2"/>
    <n v="3"/>
    <n v="300"/>
    <n v="325"/>
    <n v="150"/>
    <n v="175"/>
    <n v="0.53846153846153844"/>
    <x v="0"/>
  </r>
  <r>
    <x v="14"/>
    <d v="2026-08-05T00:00:00"/>
    <s v="Cali"/>
    <x v="2"/>
    <x v="0"/>
    <x v="2"/>
    <s v="Escritorio Pro"/>
    <n v="2"/>
    <n v="180"/>
    <n v="110"/>
    <n v="6"/>
    <n v="3"/>
    <n v="350"/>
    <n v="360"/>
    <n v="220"/>
    <n v="140"/>
    <n v="0.3888888888888889"/>
    <x v="1"/>
  </r>
  <r>
    <x v="15"/>
    <d v="2026-08-06T00:00:00"/>
    <s v="Pasto"/>
    <x v="0"/>
    <x v="1"/>
    <x v="3"/>
    <s v="Tenis Urbano"/>
    <n v="6"/>
    <n v="85"/>
    <n v="45"/>
    <n v="1"/>
    <n v="2"/>
    <n v="500"/>
    <n v="510"/>
    <n v="270"/>
    <n v="240"/>
    <n v="0.47058823529411764"/>
    <x v="0"/>
  </r>
  <r>
    <x v="16"/>
    <d v="2026-08-06T00:00:00"/>
    <s v="Bogota"/>
    <x v="1"/>
    <x v="0"/>
    <x v="0"/>
    <s v="Audifonos BT"/>
    <n v="12"/>
    <n v="75"/>
    <n v="35"/>
    <n v="1"/>
    <n v="2"/>
    <n v="800"/>
    <n v="900"/>
    <n v="420"/>
    <n v="480"/>
    <n v="0.53333333333333333"/>
    <x v="0"/>
  </r>
  <r>
    <x v="17"/>
    <d v="2026-08-06T00:00:00"/>
    <s v="Cali"/>
    <x v="2"/>
    <x v="1"/>
    <x v="1"/>
    <s v="Vestido Formal"/>
    <n v="4"/>
    <n v="110"/>
    <n v="55"/>
    <n v="5"/>
    <n v="3"/>
    <n v="400"/>
    <n v="440"/>
    <n v="220"/>
    <n v="220"/>
    <n v="0.5"/>
    <x v="1"/>
  </r>
  <r>
    <x v="18"/>
    <d v="2026-08-07T00:00:00"/>
    <s v="Pasto"/>
    <x v="0"/>
    <x v="0"/>
    <x v="2"/>
    <s v="Lámpara LED"/>
    <n v="15"/>
    <n v="25"/>
    <n v="10"/>
    <n v="2"/>
    <n v="3"/>
    <n v="300"/>
    <n v="375"/>
    <n v="150"/>
    <n v="225"/>
    <n v="0.6"/>
    <x v="0"/>
  </r>
  <r>
    <x v="19"/>
    <d v="2026-08-07T00:00:00"/>
    <s v="Bogota"/>
    <x v="1"/>
    <x v="1"/>
    <x v="3"/>
    <s v="Zapatos Formales"/>
    <n v="5"/>
    <n v="130"/>
    <n v="70"/>
    <n v="3"/>
    <n v="3"/>
    <n v="600"/>
    <n v="650"/>
    <n v="350"/>
    <n v="300"/>
    <n v="0.46153846153846156"/>
    <x v="0"/>
  </r>
  <r>
    <x v="20"/>
    <d v="2026-08-07T00:00:00"/>
    <s v="Cali"/>
    <x v="2"/>
    <x v="0"/>
    <x v="0"/>
    <s v="Consola Videojuegos"/>
    <n v="2"/>
    <n v="500"/>
    <n v="380"/>
    <n v="6"/>
    <n v="4"/>
    <n v="900"/>
    <n v="1000"/>
    <n v="760"/>
    <n v="240"/>
    <n v="0.24"/>
    <x v="1"/>
  </r>
  <r>
    <x v="21"/>
    <d v="2026-08-08T00:00:00"/>
    <s v="Pasto"/>
    <x v="0"/>
    <x v="0"/>
    <x v="1"/>
    <s v="Chaqueta Impermeable"/>
    <n v="3"/>
    <n v="95"/>
    <n v="45"/>
    <n v="2"/>
    <n v="3"/>
    <n v="300"/>
    <n v="285"/>
    <n v="135"/>
    <n v="150"/>
    <n v="0.52631578947368418"/>
    <x v="0"/>
  </r>
  <r>
    <x v="22"/>
    <d v="2026-08-08T00:00:00"/>
    <s v="Bogota"/>
    <x v="1"/>
    <x v="0"/>
    <x v="2"/>
    <s v="Silla Ergonomica"/>
    <n v="4"/>
    <n v="160"/>
    <n v="95"/>
    <n v="2"/>
    <n v="3"/>
    <n v="600"/>
    <n v="640"/>
    <n v="380"/>
    <n v="260"/>
    <n v="0.40625"/>
    <x v="0"/>
  </r>
  <r>
    <x v="23"/>
    <d v="2026-08-08T00:00:00"/>
    <s v="Cali"/>
    <x v="2"/>
    <x v="1"/>
    <x v="3"/>
    <s v="Tenis Deportivo"/>
    <n v="7"/>
    <n v="90"/>
    <n v="45"/>
    <n v="4"/>
    <n v="3"/>
    <n v="600"/>
    <n v="630"/>
    <n v="315"/>
    <n v="315"/>
    <n v="0.5"/>
    <x v="1"/>
  </r>
  <r>
    <x v="24"/>
    <d v="2026-08-09T00:00:00"/>
    <s v="Pasto"/>
    <x v="0"/>
    <x v="1"/>
    <x v="0"/>
    <s v="Monitor 27"/>
    <n v="3"/>
    <n v="310"/>
    <n v="210"/>
    <n v="2"/>
    <n v="3"/>
    <n v="900"/>
    <n v="930"/>
    <n v="630"/>
    <n v="300"/>
    <n v="0.32258064516129031"/>
    <x v="0"/>
  </r>
  <r>
    <x v="25"/>
    <d v="2026-08-09T00:00:00"/>
    <s v="Bogota"/>
    <x v="1"/>
    <x v="0"/>
    <x v="1"/>
    <s v="Buzo Hooded"/>
    <n v="8"/>
    <n v="50"/>
    <n v="22"/>
    <n v="2"/>
    <n v="3"/>
    <n v="400"/>
    <n v="400"/>
    <n v="176"/>
    <n v="224"/>
    <n v="0.56000000000000005"/>
    <x v="0"/>
  </r>
  <r>
    <x v="26"/>
    <d v="2026-08-09T00:00:00"/>
    <s v="Cali"/>
    <x v="2"/>
    <x v="0"/>
    <x v="2"/>
    <s v="Cama King"/>
    <n v="1"/>
    <n v="750"/>
    <n v="480"/>
    <n v="8"/>
    <n v="4"/>
    <n v="700"/>
    <n v="750"/>
    <n v="480"/>
    <n v="270"/>
    <n v="0.36"/>
    <x v="1"/>
  </r>
  <r>
    <x v="27"/>
    <d v="2026-08-10T00:00:00"/>
    <s v="Pasto"/>
    <x v="0"/>
    <x v="0"/>
    <x v="3"/>
    <s v="Botines Cuero"/>
    <n v="4"/>
    <n v="140"/>
    <n v="75"/>
    <n v="3"/>
    <n v="3"/>
    <n v="500"/>
    <n v="560"/>
    <n v="300"/>
    <n v="260"/>
    <n v="0.4642857142857143"/>
    <x v="0"/>
  </r>
  <r>
    <x v="28"/>
    <d v="2026-08-10T00:00:00"/>
    <s v="Bogota"/>
    <x v="1"/>
    <x v="1"/>
    <x v="0"/>
    <s v="Teclado Mecanico"/>
    <n v="6"/>
    <n v="90"/>
    <n v="50"/>
    <n v="1"/>
    <n v="2"/>
    <n v="500"/>
    <n v="540"/>
    <n v="300"/>
    <n v="240"/>
    <n v="0.44444444444444442"/>
    <x v="0"/>
  </r>
  <r>
    <x v="29"/>
    <d v="2026-08-10T00:00:00"/>
    <s v="Cali"/>
    <x v="2"/>
    <x v="0"/>
    <x v="1"/>
    <s v="Pantalón Cargo"/>
    <n v="6"/>
    <n v="60"/>
    <n v="28"/>
    <n v="5"/>
    <n v="3"/>
    <n v="350"/>
    <n v="360"/>
    <n v="168"/>
    <n v="192"/>
    <n v="0.53333333333333333"/>
    <x v="1"/>
  </r>
  <r>
    <x v="0"/>
    <d v="2026-08-01T00:00:00"/>
    <s v="Pasto"/>
    <x v="0"/>
    <x v="0"/>
    <x v="0"/>
    <s v="Laptop Pro 15"/>
    <n v="2"/>
    <n v="850"/>
    <n v="600"/>
    <n v="2"/>
    <n v="3"/>
    <n v="1500"/>
    <n v="1700"/>
    <n v="1200"/>
    <n v="500"/>
    <n v="0.29411764705882354"/>
    <x v="0"/>
  </r>
  <r>
    <x v="1"/>
    <d v="2026-08-01T00:00:00"/>
    <s v="Bogota"/>
    <x v="1"/>
    <x v="1"/>
    <x v="1"/>
    <s v="Chaqueta Cuero"/>
    <n v="5"/>
    <n v="120"/>
    <n v="70"/>
    <n v="3"/>
    <n v="3"/>
    <n v="500"/>
    <n v="600"/>
    <n v="350"/>
    <n v="250"/>
    <n v="0.41666666666666669"/>
    <x v="0"/>
  </r>
  <r>
    <x v="2"/>
    <d v="2026-08-01T00:00:00"/>
    <s v="Cali"/>
    <x v="2"/>
    <x v="0"/>
    <x v="2"/>
    <s v="Cafetera Express"/>
    <n v="3"/>
    <n v="90"/>
    <n v="50"/>
    <n v="6"/>
    <n v="4"/>
    <n v="300"/>
    <n v="270"/>
    <n v="150"/>
    <n v="120"/>
    <n v="0.44444444444444442"/>
    <x v="1"/>
  </r>
  <r>
    <x v="3"/>
    <d v="2026-08-02T00:00:00"/>
    <s v="Pasto"/>
    <x v="0"/>
    <x v="1"/>
    <x v="3"/>
    <s v="Tenis Running"/>
    <n v="4"/>
    <n v="110"/>
    <n v="60"/>
    <n v="1"/>
    <n v="2"/>
    <n v="400"/>
    <n v="440"/>
    <n v="240"/>
    <n v="200"/>
    <n v="0.45454545454545453"/>
    <x v="0"/>
  </r>
  <r>
    <x v="4"/>
    <d v="2026-08-02T00:00:00"/>
    <s v="Bogota"/>
    <x v="1"/>
    <x v="0"/>
    <x v="0"/>
    <s v="Smartphone X"/>
    <n v="3"/>
    <n v="650"/>
    <n v="450"/>
    <n v="2"/>
    <n v="3"/>
    <n v="1800"/>
    <n v="1950"/>
    <n v="1350"/>
    <n v="600"/>
    <n v="0.30769230769230771"/>
    <x v="0"/>
  </r>
  <r>
    <x v="5"/>
    <d v="2026-08-02T00:00:00"/>
    <s v="Cali"/>
    <x v="2"/>
    <x v="0"/>
    <x v="1"/>
    <s v="Jean Slim Fit"/>
    <n v="8"/>
    <n v="45"/>
    <n v="20"/>
    <n v="5"/>
    <n v="3"/>
    <n v="400"/>
    <n v="360"/>
    <n v="160"/>
    <n v="200"/>
    <n v="0.55555555555555558"/>
    <x v="1"/>
  </r>
  <r>
    <x v="6"/>
    <d v="2026-08-03T00:00:00"/>
    <s v="Pasto"/>
    <x v="0"/>
    <x v="0"/>
    <x v="2"/>
    <s v="Aspiradora Robot"/>
    <n v="2"/>
    <n v="280"/>
    <n v="180"/>
    <n v="3"/>
    <n v="3"/>
    <n v="500"/>
    <n v="560"/>
    <n v="360"/>
    <n v="200"/>
    <n v="0.35714285714285715"/>
    <x v="0"/>
  </r>
  <r>
    <x v="7"/>
    <d v="2026-08-03T00:00:00"/>
    <s v="Bogota"/>
    <x v="1"/>
    <x v="1"/>
    <x v="3"/>
    <s v="Botas Moto"/>
    <n v="3"/>
    <n v="150"/>
    <n v="85"/>
    <n v="2"/>
    <n v="2"/>
    <n v="400"/>
    <n v="450"/>
    <n v="255"/>
    <n v="195"/>
    <n v="0.43333333333333335"/>
    <x v="0"/>
  </r>
  <r>
    <x v="8"/>
    <d v="2026-08-03T00:00:00"/>
    <s v="Cali"/>
    <x v="2"/>
    <x v="0"/>
    <x v="0"/>
    <s v="Smart TV 55"/>
    <n v="2"/>
    <n v="520"/>
    <n v="380"/>
    <n v="7"/>
    <n v="4"/>
    <n v="1000"/>
    <n v="1040"/>
    <n v="760"/>
    <n v="280"/>
    <n v="0.26923076923076922"/>
    <x v="1"/>
  </r>
  <r>
    <x v="9"/>
    <d v="2026-08-04T00:00:00"/>
    <s v="Pasto"/>
    <x v="0"/>
    <x v="1"/>
    <x v="1"/>
    <s v="Camisa Lino"/>
    <n v="6"/>
    <n v="55"/>
    <n v="25"/>
    <n v="2"/>
    <n v="3"/>
    <n v="300"/>
    <n v="330"/>
    <n v="150"/>
    <n v="180"/>
    <n v="0.54545454545454541"/>
    <x v="0"/>
  </r>
  <r>
    <x v="10"/>
    <d v="2026-08-04T00:00:00"/>
    <s v="Bogota"/>
    <x v="1"/>
    <x v="0"/>
    <x v="2"/>
    <s v="Juego Comedor"/>
    <n v="1"/>
    <n v="450"/>
    <n v="290"/>
    <n v="4"/>
    <n v="3"/>
    <n v="400"/>
    <n v="450"/>
    <n v="290"/>
    <n v="160"/>
    <n v="0.35555555555555557"/>
    <x v="1"/>
  </r>
  <r>
    <x v="11"/>
    <d v="2026-08-04T00:00:00"/>
    <s v="Cali"/>
    <x v="2"/>
    <x v="1"/>
    <x v="3"/>
    <s v="Sandalias"/>
    <n v="10"/>
    <n v="35"/>
    <n v="15"/>
    <n v="4"/>
    <n v="3"/>
    <n v="300"/>
    <n v="350"/>
    <n v="150"/>
    <n v="200"/>
    <n v="0.5714285714285714"/>
    <x v="1"/>
  </r>
  <r>
    <x v="12"/>
    <d v="2026-08-05T00:00:00"/>
    <s v="Pasto"/>
    <x v="0"/>
    <x v="0"/>
    <x v="0"/>
    <s v="Tablet 10"/>
    <n v="4"/>
    <n v="220"/>
    <n v="140"/>
    <n v="2"/>
    <n v="3"/>
    <n v="800"/>
    <n v="880"/>
    <n v="560"/>
    <n v="320"/>
    <n v="0.36363636363636365"/>
    <x v="0"/>
  </r>
  <r>
    <x v="13"/>
    <d v="2026-08-05T00:00:00"/>
    <s v="Bogota"/>
    <x v="1"/>
    <x v="0"/>
    <x v="1"/>
    <s v="Saco Lana"/>
    <n v="5"/>
    <n v="65"/>
    <n v="30"/>
    <n v="2"/>
    <n v="3"/>
    <n v="300"/>
    <n v="325"/>
    <n v="150"/>
    <n v="175"/>
    <n v="0.53846153846153844"/>
    <x v="0"/>
  </r>
  <r>
    <x v="14"/>
    <d v="2026-08-05T00:00:00"/>
    <s v="Cali"/>
    <x v="2"/>
    <x v="0"/>
    <x v="2"/>
    <s v="Escritorio Pro"/>
    <n v="2"/>
    <n v="180"/>
    <n v="110"/>
    <n v="6"/>
    <n v="3"/>
    <n v="350"/>
    <n v="360"/>
    <n v="220"/>
    <n v="140"/>
    <n v="0.3888888888888889"/>
    <x v="1"/>
  </r>
  <r>
    <x v="15"/>
    <d v="2026-08-06T00:00:00"/>
    <s v="Pasto"/>
    <x v="0"/>
    <x v="1"/>
    <x v="3"/>
    <s v="Tenis Urbano"/>
    <n v="6"/>
    <n v="85"/>
    <n v="45"/>
    <n v="1"/>
    <n v="2"/>
    <n v="500"/>
    <n v="510"/>
    <n v="270"/>
    <n v="240"/>
    <n v="0.47058823529411764"/>
    <x v="0"/>
  </r>
  <r>
    <x v="16"/>
    <d v="2026-08-06T00:00:00"/>
    <s v="Bogota"/>
    <x v="1"/>
    <x v="0"/>
    <x v="0"/>
    <s v="Audifonos BT"/>
    <n v="12"/>
    <n v="75"/>
    <n v="35"/>
    <n v="1"/>
    <n v="2"/>
    <n v="800"/>
    <n v="900"/>
    <n v="420"/>
    <n v="480"/>
    <n v="0.53333333333333333"/>
    <x v="0"/>
  </r>
  <r>
    <x v="17"/>
    <d v="2026-08-06T00:00:00"/>
    <s v="Cali"/>
    <x v="2"/>
    <x v="1"/>
    <x v="1"/>
    <s v="Vestido Formal"/>
    <n v="4"/>
    <n v="110"/>
    <n v="55"/>
    <n v="5"/>
    <n v="3"/>
    <n v="400"/>
    <n v="440"/>
    <n v="220"/>
    <n v="220"/>
    <n v="0.5"/>
    <x v="1"/>
  </r>
  <r>
    <x v="18"/>
    <d v="2026-08-07T00:00:00"/>
    <s v="Pasto"/>
    <x v="0"/>
    <x v="0"/>
    <x v="2"/>
    <s v="Lámpara LED"/>
    <n v="15"/>
    <n v="25"/>
    <n v="10"/>
    <n v="2"/>
    <n v="3"/>
    <n v="300"/>
    <n v="375"/>
    <n v="150"/>
    <n v="225"/>
    <n v="0.6"/>
    <x v="0"/>
  </r>
  <r>
    <x v="19"/>
    <d v="2026-08-07T00:00:00"/>
    <s v="Bogota"/>
    <x v="1"/>
    <x v="1"/>
    <x v="3"/>
    <s v="Zapatos Formales"/>
    <n v="5"/>
    <n v="130"/>
    <n v="70"/>
    <n v="3"/>
    <n v="3"/>
    <n v="600"/>
    <n v="650"/>
    <n v="350"/>
    <n v="300"/>
    <n v="0.46153846153846156"/>
    <x v="0"/>
  </r>
  <r>
    <x v="20"/>
    <d v="2026-08-07T00:00:00"/>
    <s v="Cali"/>
    <x v="2"/>
    <x v="0"/>
    <x v="0"/>
    <s v="Consola Videojuegos"/>
    <n v="2"/>
    <n v="500"/>
    <n v="380"/>
    <n v="6"/>
    <n v="4"/>
    <n v="900"/>
    <n v="1000"/>
    <n v="760"/>
    <n v="240"/>
    <n v="0.24"/>
    <x v="1"/>
  </r>
  <r>
    <x v="21"/>
    <d v="2026-08-08T00:00:00"/>
    <s v="Pasto"/>
    <x v="0"/>
    <x v="0"/>
    <x v="1"/>
    <s v="Chaqueta Impermeable"/>
    <n v="3"/>
    <n v="95"/>
    <n v="45"/>
    <n v="2"/>
    <n v="3"/>
    <n v="300"/>
    <n v="285"/>
    <n v="135"/>
    <n v="150"/>
    <n v="0.52631578947368418"/>
    <x v="0"/>
  </r>
  <r>
    <x v="22"/>
    <d v="2026-08-08T00:00:00"/>
    <s v="Bogota"/>
    <x v="1"/>
    <x v="0"/>
    <x v="2"/>
    <s v="Silla Ergonomica"/>
    <n v="4"/>
    <n v="160"/>
    <n v="95"/>
    <n v="2"/>
    <n v="3"/>
    <n v="600"/>
    <n v="640"/>
    <n v="380"/>
    <n v="260"/>
    <n v="0.40625"/>
    <x v="0"/>
  </r>
  <r>
    <x v="23"/>
    <d v="2026-08-08T00:00:00"/>
    <s v="Cali"/>
    <x v="2"/>
    <x v="1"/>
    <x v="3"/>
    <s v="Tenis Deportivo"/>
    <n v="7"/>
    <n v="90"/>
    <n v="45"/>
    <n v="4"/>
    <n v="3"/>
    <n v="600"/>
    <n v="630"/>
    <n v="315"/>
    <n v="315"/>
    <n v="0.5"/>
    <x v="1"/>
  </r>
  <r>
    <x v="24"/>
    <d v="2026-08-09T00:00:00"/>
    <s v="Pasto"/>
    <x v="0"/>
    <x v="1"/>
    <x v="0"/>
    <s v="Monitor 27"/>
    <n v="3"/>
    <n v="310"/>
    <n v="210"/>
    <n v="2"/>
    <n v="3"/>
    <n v="900"/>
    <n v="930"/>
    <n v="630"/>
    <n v="300"/>
    <n v="0.32258064516129031"/>
    <x v="0"/>
  </r>
  <r>
    <x v="25"/>
    <d v="2026-08-09T00:00:00"/>
    <s v="Bogota"/>
    <x v="1"/>
    <x v="0"/>
    <x v="1"/>
    <s v="Buzo Hooded"/>
    <n v="8"/>
    <n v="50"/>
    <n v="22"/>
    <n v="2"/>
    <n v="3"/>
    <n v="400"/>
    <n v="400"/>
    <n v="176"/>
    <n v="224"/>
    <n v="0.56000000000000005"/>
    <x v="0"/>
  </r>
  <r>
    <x v="26"/>
    <d v="2026-08-09T00:00:00"/>
    <s v="Cali"/>
    <x v="2"/>
    <x v="0"/>
    <x v="2"/>
    <s v="Cama King"/>
    <n v="1"/>
    <n v="750"/>
    <n v="480"/>
    <n v="8"/>
    <n v="4"/>
    <n v="700"/>
    <n v="750"/>
    <n v="480"/>
    <n v="270"/>
    <n v="0.36"/>
    <x v="1"/>
  </r>
  <r>
    <x v="27"/>
    <d v="2026-08-10T00:00:00"/>
    <s v="Pasto"/>
    <x v="0"/>
    <x v="0"/>
    <x v="3"/>
    <s v="Botines Cuero"/>
    <n v="4"/>
    <n v="140"/>
    <n v="75"/>
    <n v="3"/>
    <n v="3"/>
    <n v="500"/>
    <n v="560"/>
    <n v="300"/>
    <n v="260"/>
    <n v="0.4642857142857143"/>
    <x v="0"/>
  </r>
  <r>
    <x v="28"/>
    <d v="2026-08-10T00:00:00"/>
    <s v="Bogota"/>
    <x v="1"/>
    <x v="1"/>
    <x v="0"/>
    <s v="Teclado Mecanico"/>
    <n v="6"/>
    <n v="90"/>
    <n v="50"/>
    <n v="1"/>
    <n v="2"/>
    <n v="500"/>
    <n v="540"/>
    <n v="300"/>
    <n v="240"/>
    <n v="0.44444444444444442"/>
    <x v="0"/>
  </r>
  <r>
    <x v="29"/>
    <d v="2026-08-10T00:00:00"/>
    <s v="Cali"/>
    <x v="2"/>
    <x v="0"/>
    <x v="1"/>
    <s v="Pantalón Cargo"/>
    <n v="6"/>
    <n v="60"/>
    <n v="28"/>
    <n v="5"/>
    <n v="3"/>
    <n v="350"/>
    <n v="360"/>
    <n v="168"/>
    <n v="192"/>
    <n v="0.53333333333333333"/>
    <x v="1"/>
  </r>
  <r>
    <x v="0"/>
    <d v="2026-08-01T00:00:00"/>
    <s v="Pasto"/>
    <x v="0"/>
    <x v="0"/>
    <x v="0"/>
    <s v="Laptop Pro 15"/>
    <n v="2"/>
    <n v="850"/>
    <n v="600"/>
    <n v="2"/>
    <n v="3"/>
    <n v="1500"/>
    <n v="1700"/>
    <n v="1200"/>
    <n v="500"/>
    <n v="0.29411764705882354"/>
    <x v="0"/>
  </r>
  <r>
    <x v="1"/>
    <d v="2026-08-01T00:00:00"/>
    <s v="Bogota"/>
    <x v="1"/>
    <x v="1"/>
    <x v="1"/>
    <s v="Chaqueta Cuero"/>
    <n v="5"/>
    <n v="120"/>
    <n v="70"/>
    <n v="3"/>
    <n v="3"/>
    <n v="500"/>
    <n v="600"/>
    <n v="350"/>
    <n v="250"/>
    <n v="0.41666666666666669"/>
    <x v="0"/>
  </r>
  <r>
    <x v="2"/>
    <d v="2026-08-01T00:00:00"/>
    <s v="Cali"/>
    <x v="2"/>
    <x v="0"/>
    <x v="2"/>
    <s v="Cafetera Express"/>
    <n v="3"/>
    <n v="90"/>
    <n v="50"/>
    <n v="6"/>
    <n v="4"/>
    <n v="300"/>
    <n v="270"/>
    <n v="150"/>
    <n v="120"/>
    <n v="0.44444444444444442"/>
    <x v="1"/>
  </r>
  <r>
    <x v="3"/>
    <d v="2026-08-02T00:00:00"/>
    <s v="Pasto"/>
    <x v="0"/>
    <x v="1"/>
    <x v="3"/>
    <s v="Tenis Running"/>
    <n v="4"/>
    <n v="110"/>
    <n v="60"/>
    <n v="1"/>
    <n v="2"/>
    <n v="400"/>
    <n v="440"/>
    <n v="240"/>
    <n v="200"/>
    <n v="0.45454545454545453"/>
    <x v="0"/>
  </r>
  <r>
    <x v="4"/>
    <d v="2026-08-02T00:00:00"/>
    <s v="Bogota"/>
    <x v="1"/>
    <x v="0"/>
    <x v="0"/>
    <s v="Smartphone X"/>
    <n v="3"/>
    <n v="650"/>
    <n v="450"/>
    <n v="2"/>
    <n v="3"/>
    <n v="1800"/>
    <n v="1950"/>
    <n v="1350"/>
    <n v="600"/>
    <n v="0.30769230769230771"/>
    <x v="0"/>
  </r>
  <r>
    <x v="5"/>
    <d v="2026-08-02T00:00:00"/>
    <s v="Cali"/>
    <x v="2"/>
    <x v="0"/>
    <x v="1"/>
    <s v="Jean Slim Fit"/>
    <n v="8"/>
    <n v="45"/>
    <n v="20"/>
    <n v="5"/>
    <n v="3"/>
    <n v="400"/>
    <n v="360"/>
    <n v="160"/>
    <n v="200"/>
    <n v="0.55555555555555558"/>
    <x v="1"/>
  </r>
  <r>
    <x v="6"/>
    <d v="2026-08-03T00:00:00"/>
    <s v="Pasto"/>
    <x v="0"/>
    <x v="0"/>
    <x v="2"/>
    <s v="Aspiradora Robot"/>
    <n v="2"/>
    <n v="280"/>
    <n v="180"/>
    <n v="3"/>
    <n v="3"/>
    <n v="500"/>
    <n v="560"/>
    <n v="360"/>
    <n v="200"/>
    <n v="0.35714285714285715"/>
    <x v="0"/>
  </r>
  <r>
    <x v="7"/>
    <d v="2026-08-03T00:00:00"/>
    <s v="Bogota"/>
    <x v="1"/>
    <x v="1"/>
    <x v="3"/>
    <s v="Botas Moto"/>
    <n v="3"/>
    <n v="150"/>
    <n v="85"/>
    <n v="2"/>
    <n v="2"/>
    <n v="400"/>
    <n v="450"/>
    <n v="255"/>
    <n v="195"/>
    <n v="0.43333333333333335"/>
    <x v="0"/>
  </r>
  <r>
    <x v="8"/>
    <d v="2026-08-03T00:00:00"/>
    <s v="Cali"/>
    <x v="2"/>
    <x v="0"/>
    <x v="0"/>
    <s v="Smart TV 55"/>
    <n v="2"/>
    <n v="520"/>
    <n v="380"/>
    <n v="7"/>
    <n v="4"/>
    <n v="1000"/>
    <n v="1040"/>
    <n v="760"/>
    <n v="280"/>
    <n v="0.26923076923076922"/>
    <x v="1"/>
  </r>
  <r>
    <x v="9"/>
    <d v="2026-08-04T00:00:00"/>
    <s v="Pasto"/>
    <x v="0"/>
    <x v="1"/>
    <x v="1"/>
    <s v="Camisa Lino"/>
    <n v="6"/>
    <n v="55"/>
    <n v="25"/>
    <n v="2"/>
    <n v="3"/>
    <n v="300"/>
    <n v="330"/>
    <n v="150"/>
    <n v="180"/>
    <n v="0.54545454545454541"/>
    <x v="0"/>
  </r>
  <r>
    <x v="10"/>
    <d v="2026-08-04T00:00:00"/>
    <s v="Bogota"/>
    <x v="1"/>
    <x v="0"/>
    <x v="2"/>
    <s v="Juego Comedor"/>
    <n v="1"/>
    <n v="450"/>
    <n v="290"/>
    <n v="4"/>
    <n v="3"/>
    <n v="400"/>
    <n v="450"/>
    <n v="290"/>
    <n v="160"/>
    <n v="0.35555555555555557"/>
    <x v="1"/>
  </r>
  <r>
    <x v="11"/>
    <d v="2026-08-04T00:00:00"/>
    <s v="Cali"/>
    <x v="2"/>
    <x v="1"/>
    <x v="3"/>
    <s v="Sandalias"/>
    <n v="10"/>
    <n v="35"/>
    <n v="15"/>
    <n v="4"/>
    <n v="3"/>
    <n v="300"/>
    <n v="350"/>
    <n v="150"/>
    <n v="200"/>
    <n v="0.5714285714285714"/>
    <x v="1"/>
  </r>
  <r>
    <x v="12"/>
    <d v="2026-08-05T00:00:00"/>
    <s v="Pasto"/>
    <x v="0"/>
    <x v="0"/>
    <x v="0"/>
    <s v="Tablet 10"/>
    <n v="4"/>
    <n v="220"/>
    <n v="140"/>
    <n v="2"/>
    <n v="3"/>
    <n v="800"/>
    <n v="880"/>
    <n v="560"/>
    <n v="320"/>
    <n v="0.36363636363636365"/>
    <x v="0"/>
  </r>
  <r>
    <x v="13"/>
    <d v="2026-08-05T00:00:00"/>
    <s v="Bogota"/>
    <x v="1"/>
    <x v="0"/>
    <x v="1"/>
    <s v="Saco Lana"/>
    <n v="5"/>
    <n v="65"/>
    <n v="30"/>
    <n v="2"/>
    <n v="3"/>
    <n v="300"/>
    <n v="325"/>
    <n v="150"/>
    <n v="175"/>
    <n v="0.53846153846153844"/>
    <x v="0"/>
  </r>
  <r>
    <x v="14"/>
    <d v="2026-08-05T00:00:00"/>
    <s v="Cali"/>
    <x v="2"/>
    <x v="0"/>
    <x v="2"/>
    <s v="Escritorio Pro"/>
    <n v="2"/>
    <n v="180"/>
    <n v="110"/>
    <n v="6"/>
    <n v="3"/>
    <n v="350"/>
    <n v="360"/>
    <n v="220"/>
    <n v="140"/>
    <n v="0.3888888888888889"/>
    <x v="1"/>
  </r>
  <r>
    <x v="15"/>
    <d v="2026-08-06T00:00:00"/>
    <s v="Pasto"/>
    <x v="0"/>
    <x v="1"/>
    <x v="3"/>
    <s v="Tenis Urbano"/>
    <n v="6"/>
    <n v="85"/>
    <n v="45"/>
    <n v="1"/>
    <n v="2"/>
    <n v="500"/>
    <n v="510"/>
    <n v="270"/>
    <n v="240"/>
    <n v="0.47058823529411764"/>
    <x v="0"/>
  </r>
  <r>
    <x v="16"/>
    <d v="2026-08-06T00:00:00"/>
    <s v="Bogota"/>
    <x v="1"/>
    <x v="0"/>
    <x v="0"/>
    <s v="Audifonos BT"/>
    <n v="12"/>
    <n v="75"/>
    <n v="35"/>
    <n v="1"/>
    <n v="2"/>
    <n v="800"/>
    <n v="900"/>
    <n v="420"/>
    <n v="480"/>
    <n v="0.53333333333333333"/>
    <x v="0"/>
  </r>
  <r>
    <x v="17"/>
    <d v="2026-08-06T00:00:00"/>
    <s v="Cali"/>
    <x v="2"/>
    <x v="1"/>
    <x v="1"/>
    <s v="Vestido Formal"/>
    <n v="4"/>
    <n v="110"/>
    <n v="55"/>
    <n v="5"/>
    <n v="3"/>
    <n v="400"/>
    <n v="440"/>
    <n v="220"/>
    <n v="220"/>
    <n v="0.5"/>
    <x v="1"/>
  </r>
  <r>
    <x v="18"/>
    <d v="2026-08-07T00:00:00"/>
    <s v="Pasto"/>
    <x v="0"/>
    <x v="0"/>
    <x v="2"/>
    <s v="Lámpara LED"/>
    <n v="15"/>
    <n v="25"/>
    <n v="10"/>
    <n v="2"/>
    <n v="3"/>
    <n v="300"/>
    <n v="375"/>
    <n v="150"/>
    <n v="225"/>
    <n v="0.6"/>
    <x v="0"/>
  </r>
  <r>
    <x v="19"/>
    <d v="2026-08-07T00:00:00"/>
    <s v="Bogota"/>
    <x v="1"/>
    <x v="1"/>
    <x v="3"/>
    <s v="Zapatos Formales"/>
    <n v="5"/>
    <n v="130"/>
    <n v="70"/>
    <n v="3"/>
    <n v="3"/>
    <n v="600"/>
    <n v="650"/>
    <n v="350"/>
    <n v="300"/>
    <n v="0.46153846153846156"/>
    <x v="0"/>
  </r>
  <r>
    <x v="20"/>
    <d v="2026-08-07T00:00:00"/>
    <s v="Cali"/>
    <x v="2"/>
    <x v="0"/>
    <x v="0"/>
    <s v="Consola Videojuegos"/>
    <n v="2"/>
    <n v="500"/>
    <n v="380"/>
    <n v="6"/>
    <n v="4"/>
    <n v="900"/>
    <n v="1000"/>
    <n v="760"/>
    <n v="240"/>
    <n v="0.24"/>
    <x v="1"/>
  </r>
  <r>
    <x v="21"/>
    <d v="2026-08-08T00:00:00"/>
    <s v="Pasto"/>
    <x v="0"/>
    <x v="0"/>
    <x v="1"/>
    <s v="Chaqueta Impermeable"/>
    <n v="3"/>
    <n v="95"/>
    <n v="45"/>
    <n v="2"/>
    <n v="3"/>
    <n v="300"/>
    <n v="285"/>
    <n v="135"/>
    <n v="150"/>
    <n v="0.52631578947368418"/>
    <x v="0"/>
  </r>
  <r>
    <x v="22"/>
    <d v="2026-08-08T00:00:00"/>
    <s v="Bogota"/>
    <x v="1"/>
    <x v="0"/>
    <x v="2"/>
    <s v="Silla Ergonomica"/>
    <n v="4"/>
    <n v="160"/>
    <n v="95"/>
    <n v="2"/>
    <n v="3"/>
    <n v="600"/>
    <n v="640"/>
    <n v="380"/>
    <n v="260"/>
    <n v="0.40625"/>
    <x v="0"/>
  </r>
  <r>
    <x v="23"/>
    <d v="2026-08-08T00:00:00"/>
    <s v="Cali"/>
    <x v="2"/>
    <x v="1"/>
    <x v="3"/>
    <s v="Tenis Deportivo"/>
    <n v="7"/>
    <n v="90"/>
    <n v="45"/>
    <n v="4"/>
    <n v="3"/>
    <n v="600"/>
    <n v="630"/>
    <n v="315"/>
    <n v="315"/>
    <n v="0.5"/>
    <x v="1"/>
  </r>
  <r>
    <x v="24"/>
    <d v="2026-08-09T00:00:00"/>
    <s v="Pasto"/>
    <x v="0"/>
    <x v="1"/>
    <x v="0"/>
    <s v="Monitor 27"/>
    <n v="3"/>
    <n v="310"/>
    <n v="210"/>
    <n v="2"/>
    <n v="3"/>
    <n v="900"/>
    <n v="930"/>
    <n v="630"/>
    <n v="300"/>
    <n v="0.32258064516129031"/>
    <x v="0"/>
  </r>
  <r>
    <x v="25"/>
    <d v="2026-08-09T00:00:00"/>
    <s v="Bogota"/>
    <x v="1"/>
    <x v="0"/>
    <x v="1"/>
    <s v="Buzo Hooded"/>
    <n v="8"/>
    <n v="50"/>
    <n v="22"/>
    <n v="2"/>
    <n v="3"/>
    <n v="400"/>
    <n v="400"/>
    <n v="176"/>
    <n v="224"/>
    <n v="0.56000000000000005"/>
    <x v="0"/>
  </r>
  <r>
    <x v="26"/>
    <d v="2026-08-09T00:00:00"/>
    <s v="Cali"/>
    <x v="2"/>
    <x v="0"/>
    <x v="2"/>
    <s v="Cama King"/>
    <n v="1"/>
    <n v="750"/>
    <n v="480"/>
    <n v="8"/>
    <n v="4"/>
    <n v="700"/>
    <n v="750"/>
    <n v="480"/>
    <n v="270"/>
    <n v="0.36"/>
    <x v="1"/>
  </r>
  <r>
    <x v="27"/>
    <d v="2026-08-10T00:00:00"/>
    <s v="Pasto"/>
    <x v="0"/>
    <x v="0"/>
    <x v="3"/>
    <s v="Botines Cuero"/>
    <n v="4"/>
    <n v="140"/>
    <n v="75"/>
    <n v="3"/>
    <n v="3"/>
    <n v="500"/>
    <n v="560"/>
    <n v="300"/>
    <n v="260"/>
    <n v="0.4642857142857143"/>
    <x v="0"/>
  </r>
  <r>
    <x v="28"/>
    <d v="2026-08-10T00:00:00"/>
    <s v="Bogota"/>
    <x v="1"/>
    <x v="1"/>
    <x v="0"/>
    <s v="Teclado Mecanico"/>
    <n v="6"/>
    <n v="90"/>
    <n v="50"/>
    <n v="1"/>
    <n v="2"/>
    <n v="500"/>
    <n v="540"/>
    <n v="300"/>
    <n v="240"/>
    <n v="0.44444444444444442"/>
    <x v="0"/>
  </r>
  <r>
    <x v="29"/>
    <d v="2026-08-10T00:00:00"/>
    <s v="Cali"/>
    <x v="2"/>
    <x v="0"/>
    <x v="1"/>
    <s v="Pantalón Cargo"/>
    <n v="6"/>
    <n v="60"/>
    <n v="28"/>
    <n v="5"/>
    <n v="3"/>
    <n v="350"/>
    <n v="360"/>
    <n v="168"/>
    <n v="192"/>
    <n v="0.53333333333333333"/>
    <x v="1"/>
  </r>
  <r>
    <x v="0"/>
    <d v="2026-08-01T00:00:00"/>
    <s v="Pasto"/>
    <x v="0"/>
    <x v="0"/>
    <x v="0"/>
    <s v="Laptop Pro 15"/>
    <n v="2"/>
    <n v="850"/>
    <n v="600"/>
    <n v="2"/>
    <n v="3"/>
    <n v="1500"/>
    <n v="1700"/>
    <n v="1200"/>
    <n v="500"/>
    <n v="0.29411764705882354"/>
    <x v="0"/>
  </r>
  <r>
    <x v="1"/>
    <d v="2026-08-01T00:00:00"/>
    <s v="Bogota"/>
    <x v="1"/>
    <x v="1"/>
    <x v="1"/>
    <s v="Chaqueta Cuero"/>
    <n v="5"/>
    <n v="120"/>
    <n v="70"/>
    <n v="3"/>
    <n v="3"/>
    <n v="500"/>
    <n v="600"/>
    <n v="350"/>
    <n v="250"/>
    <n v="0.41666666666666669"/>
    <x v="0"/>
  </r>
  <r>
    <x v="2"/>
    <d v="2026-08-01T00:00:00"/>
    <s v="Cali"/>
    <x v="2"/>
    <x v="0"/>
    <x v="2"/>
    <s v="Cafetera Express"/>
    <n v="3"/>
    <n v="90"/>
    <n v="50"/>
    <n v="6"/>
    <n v="4"/>
    <n v="300"/>
    <n v="270"/>
    <n v="150"/>
    <n v="120"/>
    <n v="0.44444444444444442"/>
    <x v="1"/>
  </r>
  <r>
    <x v="3"/>
    <d v="2026-08-02T00:00:00"/>
    <s v="Pasto"/>
    <x v="0"/>
    <x v="1"/>
    <x v="3"/>
    <s v="Tenis Running"/>
    <n v="4"/>
    <n v="110"/>
    <n v="60"/>
    <n v="1"/>
    <n v="2"/>
    <n v="400"/>
    <n v="440"/>
    <n v="240"/>
    <n v="200"/>
    <n v="0.45454545454545453"/>
    <x v="0"/>
  </r>
  <r>
    <x v="4"/>
    <d v="2026-08-02T00:00:00"/>
    <s v="Bogota"/>
    <x v="1"/>
    <x v="0"/>
    <x v="0"/>
    <s v="Smartphone X"/>
    <n v="3"/>
    <n v="650"/>
    <n v="450"/>
    <n v="2"/>
    <n v="3"/>
    <n v="1800"/>
    <n v="1950"/>
    <n v="1350"/>
    <n v="600"/>
    <n v="0.30769230769230771"/>
    <x v="0"/>
  </r>
  <r>
    <x v="5"/>
    <d v="2026-08-02T00:00:00"/>
    <s v="Cali"/>
    <x v="2"/>
    <x v="0"/>
    <x v="1"/>
    <s v="Jean Slim Fit"/>
    <n v="8"/>
    <n v="45"/>
    <n v="20"/>
    <n v="5"/>
    <n v="3"/>
    <n v="400"/>
    <n v="360"/>
    <n v="160"/>
    <n v="200"/>
    <n v="0.55555555555555558"/>
    <x v="1"/>
  </r>
  <r>
    <x v="6"/>
    <d v="2026-08-03T00:00:00"/>
    <s v="Pasto"/>
    <x v="0"/>
    <x v="0"/>
    <x v="2"/>
    <s v="Aspiradora Robot"/>
    <n v="2"/>
    <n v="280"/>
    <n v="180"/>
    <n v="3"/>
    <n v="3"/>
    <n v="500"/>
    <n v="560"/>
    <n v="360"/>
    <n v="200"/>
    <n v="0.35714285714285715"/>
    <x v="0"/>
  </r>
  <r>
    <x v="7"/>
    <d v="2026-08-03T00:00:00"/>
    <s v="Bogota"/>
    <x v="1"/>
    <x v="1"/>
    <x v="3"/>
    <s v="Botas Moto"/>
    <n v="3"/>
    <n v="150"/>
    <n v="85"/>
    <n v="2"/>
    <n v="2"/>
    <n v="400"/>
    <n v="450"/>
    <n v="255"/>
    <n v="195"/>
    <n v="0.43333333333333335"/>
    <x v="0"/>
  </r>
  <r>
    <x v="8"/>
    <d v="2026-08-03T00:00:00"/>
    <s v="Cali"/>
    <x v="2"/>
    <x v="0"/>
    <x v="0"/>
    <s v="Smart TV 55"/>
    <n v="2"/>
    <n v="520"/>
    <n v="380"/>
    <n v="7"/>
    <n v="4"/>
    <n v="1000"/>
    <n v="1040"/>
    <n v="760"/>
    <n v="280"/>
    <n v="0.26923076923076922"/>
    <x v="1"/>
  </r>
  <r>
    <x v="9"/>
    <d v="2026-08-04T00:00:00"/>
    <s v="Pasto"/>
    <x v="0"/>
    <x v="1"/>
    <x v="1"/>
    <s v="Camisa Lino"/>
    <n v="6"/>
    <n v="55"/>
    <n v="25"/>
    <n v="2"/>
    <n v="3"/>
    <n v="300"/>
    <n v="330"/>
    <n v="150"/>
    <n v="180"/>
    <n v="0.54545454545454541"/>
    <x v="0"/>
  </r>
  <r>
    <x v="10"/>
    <d v="2026-08-04T00:00:00"/>
    <s v="Bogota"/>
    <x v="1"/>
    <x v="0"/>
    <x v="2"/>
    <s v="Juego Comedor"/>
    <n v="1"/>
    <n v="450"/>
    <n v="290"/>
    <n v="4"/>
    <n v="3"/>
    <n v="400"/>
    <n v="450"/>
    <n v="290"/>
    <n v="160"/>
    <n v="0.35555555555555557"/>
    <x v="1"/>
  </r>
  <r>
    <x v="11"/>
    <d v="2026-08-04T00:00:00"/>
    <s v="Cali"/>
    <x v="2"/>
    <x v="1"/>
    <x v="3"/>
    <s v="Sandalias"/>
    <n v="10"/>
    <n v="35"/>
    <n v="15"/>
    <n v="4"/>
    <n v="3"/>
    <n v="300"/>
    <n v="350"/>
    <n v="150"/>
    <n v="200"/>
    <n v="0.5714285714285714"/>
    <x v="1"/>
  </r>
  <r>
    <x v="12"/>
    <d v="2026-08-05T00:00:00"/>
    <s v="Pasto"/>
    <x v="0"/>
    <x v="0"/>
    <x v="0"/>
    <s v="Tablet 10"/>
    <n v="4"/>
    <n v="220"/>
    <n v="140"/>
    <n v="2"/>
    <n v="3"/>
    <n v="800"/>
    <n v="880"/>
    <n v="560"/>
    <n v="320"/>
    <n v="0.36363636363636365"/>
    <x v="0"/>
  </r>
  <r>
    <x v="13"/>
    <d v="2026-08-05T00:00:00"/>
    <s v="Bogota"/>
    <x v="1"/>
    <x v="0"/>
    <x v="1"/>
    <s v="Saco Lana"/>
    <n v="5"/>
    <n v="65"/>
    <n v="30"/>
    <n v="2"/>
    <n v="3"/>
    <n v="300"/>
    <n v="325"/>
    <n v="150"/>
    <n v="175"/>
    <n v="0.53846153846153844"/>
    <x v="0"/>
  </r>
  <r>
    <x v="14"/>
    <d v="2026-08-05T00:00:00"/>
    <s v="Cali"/>
    <x v="2"/>
    <x v="0"/>
    <x v="2"/>
    <s v="Escritorio Pro"/>
    <n v="2"/>
    <n v="180"/>
    <n v="110"/>
    <n v="6"/>
    <n v="3"/>
    <n v="350"/>
    <n v="360"/>
    <n v="220"/>
    <n v="140"/>
    <n v="0.3888888888888889"/>
    <x v="1"/>
  </r>
  <r>
    <x v="15"/>
    <d v="2026-08-06T00:00:00"/>
    <s v="Pasto"/>
    <x v="0"/>
    <x v="1"/>
    <x v="3"/>
    <s v="Tenis Urbano"/>
    <n v="6"/>
    <n v="85"/>
    <n v="45"/>
    <n v="1"/>
    <n v="2"/>
    <n v="500"/>
    <n v="510"/>
    <n v="270"/>
    <n v="240"/>
    <n v="0.47058823529411764"/>
    <x v="0"/>
  </r>
  <r>
    <x v="16"/>
    <d v="2026-08-06T00:00:00"/>
    <s v="Bogota"/>
    <x v="1"/>
    <x v="0"/>
    <x v="0"/>
    <s v="Audifonos BT"/>
    <n v="12"/>
    <n v="75"/>
    <n v="35"/>
    <n v="1"/>
    <n v="2"/>
    <n v="800"/>
    <n v="900"/>
    <n v="420"/>
    <n v="480"/>
    <n v="0.53333333333333333"/>
    <x v="0"/>
  </r>
  <r>
    <x v="17"/>
    <d v="2026-08-06T00:00:00"/>
    <s v="Cali"/>
    <x v="2"/>
    <x v="1"/>
    <x v="1"/>
    <s v="Vestido Formal"/>
    <n v="4"/>
    <n v="110"/>
    <n v="55"/>
    <n v="5"/>
    <n v="3"/>
    <n v="400"/>
    <n v="440"/>
    <n v="220"/>
    <n v="220"/>
    <n v="0.5"/>
    <x v="1"/>
  </r>
  <r>
    <x v="18"/>
    <d v="2026-08-07T00:00:00"/>
    <s v="Pasto"/>
    <x v="0"/>
    <x v="0"/>
    <x v="2"/>
    <s v="Lámpara LED"/>
    <n v="15"/>
    <n v="25"/>
    <n v="10"/>
    <n v="2"/>
    <n v="3"/>
    <n v="300"/>
    <n v="375"/>
    <n v="150"/>
    <n v="225"/>
    <n v="0.6"/>
    <x v="0"/>
  </r>
  <r>
    <x v="19"/>
    <d v="2026-08-07T00:00:00"/>
    <s v="Bogota"/>
    <x v="1"/>
    <x v="1"/>
    <x v="3"/>
    <s v="Zapatos Formales"/>
    <n v="5"/>
    <n v="130"/>
    <n v="70"/>
    <n v="3"/>
    <n v="3"/>
    <n v="600"/>
    <n v="650"/>
    <n v="350"/>
    <n v="300"/>
    <n v="0.46153846153846156"/>
    <x v="0"/>
  </r>
  <r>
    <x v="20"/>
    <d v="2026-08-07T00:00:00"/>
    <s v="Cali"/>
    <x v="2"/>
    <x v="0"/>
    <x v="0"/>
    <s v="Consola Videojuegos"/>
    <n v="2"/>
    <n v="500"/>
    <n v="380"/>
    <n v="6"/>
    <n v="4"/>
    <n v="900"/>
    <n v="1000"/>
    <n v="760"/>
    <n v="240"/>
    <n v="0.24"/>
    <x v="1"/>
  </r>
  <r>
    <x v="21"/>
    <d v="2026-08-08T00:00:00"/>
    <s v="Pasto"/>
    <x v="0"/>
    <x v="0"/>
    <x v="1"/>
    <s v="Chaqueta Impermeable"/>
    <n v="3"/>
    <n v="95"/>
    <n v="45"/>
    <n v="2"/>
    <n v="3"/>
    <n v="300"/>
    <n v="285"/>
    <n v="135"/>
    <n v="150"/>
    <n v="0.52631578947368418"/>
    <x v="0"/>
  </r>
  <r>
    <x v="22"/>
    <d v="2026-08-08T00:00:00"/>
    <s v="Bogota"/>
    <x v="1"/>
    <x v="0"/>
    <x v="2"/>
    <s v="Silla Ergonomica"/>
    <n v="4"/>
    <n v="160"/>
    <n v="95"/>
    <n v="2"/>
    <n v="3"/>
    <n v="600"/>
    <n v="640"/>
    <n v="380"/>
    <n v="260"/>
    <n v="0.40625"/>
    <x v="0"/>
  </r>
  <r>
    <x v="23"/>
    <d v="2026-08-08T00:00:00"/>
    <s v="Cali"/>
    <x v="2"/>
    <x v="1"/>
    <x v="3"/>
    <s v="Tenis Deportivo"/>
    <n v="7"/>
    <n v="90"/>
    <n v="45"/>
    <n v="4"/>
    <n v="3"/>
    <n v="600"/>
    <n v="630"/>
    <n v="315"/>
    <n v="315"/>
    <n v="0.5"/>
    <x v="1"/>
  </r>
  <r>
    <x v="24"/>
    <d v="2026-08-09T00:00:00"/>
    <s v="Pasto"/>
    <x v="0"/>
    <x v="1"/>
    <x v="0"/>
    <s v="Monitor 27"/>
    <n v="3"/>
    <n v="310"/>
    <n v="210"/>
    <n v="2"/>
    <n v="3"/>
    <n v="900"/>
    <n v="930"/>
    <n v="630"/>
    <n v="300"/>
    <n v="0.32258064516129031"/>
    <x v="0"/>
  </r>
  <r>
    <x v="25"/>
    <d v="2026-08-09T00:00:00"/>
    <s v="Bogota"/>
    <x v="1"/>
    <x v="0"/>
    <x v="1"/>
    <s v="Buzo Hooded"/>
    <n v="8"/>
    <n v="50"/>
    <n v="22"/>
    <n v="2"/>
    <n v="3"/>
    <n v="400"/>
    <n v="400"/>
    <n v="176"/>
    <n v="224"/>
    <n v="0.56000000000000005"/>
    <x v="0"/>
  </r>
  <r>
    <x v="26"/>
    <d v="2026-08-09T00:00:00"/>
    <s v="Cali"/>
    <x v="2"/>
    <x v="0"/>
    <x v="2"/>
    <s v="Cama King"/>
    <n v="1"/>
    <n v="750"/>
    <n v="480"/>
    <n v="8"/>
    <n v="4"/>
    <n v="700"/>
    <n v="750"/>
    <n v="480"/>
    <n v="270"/>
    <n v="0.36"/>
    <x v="1"/>
  </r>
  <r>
    <x v="27"/>
    <d v="2026-08-10T00:00:00"/>
    <s v="Pasto"/>
    <x v="0"/>
    <x v="0"/>
    <x v="3"/>
    <s v="Botines Cuero"/>
    <n v="4"/>
    <n v="140"/>
    <n v="75"/>
    <n v="3"/>
    <n v="3"/>
    <n v="500"/>
    <n v="560"/>
    <n v="300"/>
    <n v="260"/>
    <n v="0.4642857142857143"/>
    <x v="0"/>
  </r>
  <r>
    <x v="28"/>
    <d v="2026-08-10T00:00:00"/>
    <s v="Bogota"/>
    <x v="1"/>
    <x v="1"/>
    <x v="0"/>
    <s v="Teclado Mecanico"/>
    <n v="6"/>
    <n v="90"/>
    <n v="50"/>
    <n v="1"/>
    <n v="2"/>
    <n v="500"/>
    <n v="540"/>
    <n v="300"/>
    <n v="240"/>
    <n v="0.44444444444444442"/>
    <x v="0"/>
  </r>
  <r>
    <x v="29"/>
    <d v="2026-08-10T00:00:00"/>
    <s v="Cali"/>
    <x v="2"/>
    <x v="0"/>
    <x v="1"/>
    <s v="Pantalón Cargo"/>
    <n v="6"/>
    <n v="60"/>
    <n v="28"/>
    <n v="5"/>
    <n v="3"/>
    <n v="350"/>
    <n v="360"/>
    <n v="168"/>
    <n v="192"/>
    <n v="0.53333333333333333"/>
    <x v="1"/>
  </r>
  <r>
    <x v="0"/>
    <d v="2026-08-01T00:00:00"/>
    <s v="Pasto"/>
    <x v="0"/>
    <x v="0"/>
    <x v="0"/>
    <s v="Laptop Pro 15"/>
    <n v="2"/>
    <n v="850"/>
    <n v="600"/>
    <n v="2"/>
    <n v="3"/>
    <n v="1500"/>
    <n v="1700"/>
    <n v="1200"/>
    <n v="500"/>
    <n v="0.29411764705882354"/>
    <x v="0"/>
  </r>
  <r>
    <x v="1"/>
    <d v="2026-08-01T00:00:00"/>
    <s v="Bogota"/>
    <x v="1"/>
    <x v="1"/>
    <x v="1"/>
    <s v="Chaqueta Cuero"/>
    <n v="5"/>
    <n v="120"/>
    <n v="70"/>
    <n v="3"/>
    <n v="3"/>
    <n v="500"/>
    <n v="600"/>
    <n v="350"/>
    <n v="250"/>
    <n v="0.41666666666666669"/>
    <x v="0"/>
  </r>
  <r>
    <x v="2"/>
    <d v="2026-08-01T00:00:00"/>
    <s v="Cali"/>
    <x v="2"/>
    <x v="0"/>
    <x v="2"/>
    <s v="Cafetera Express"/>
    <n v="3"/>
    <n v="90"/>
    <n v="50"/>
    <n v="6"/>
    <n v="4"/>
    <n v="300"/>
    <n v="270"/>
    <n v="150"/>
    <n v="120"/>
    <n v="0.44444444444444442"/>
    <x v="1"/>
  </r>
  <r>
    <x v="3"/>
    <d v="2026-08-02T00:00:00"/>
    <s v="Pasto"/>
    <x v="0"/>
    <x v="1"/>
    <x v="3"/>
    <s v="Tenis Running"/>
    <n v="4"/>
    <n v="110"/>
    <n v="60"/>
    <n v="1"/>
    <n v="2"/>
    <n v="400"/>
    <n v="440"/>
    <n v="240"/>
    <n v="200"/>
    <n v="0.45454545454545453"/>
    <x v="0"/>
  </r>
  <r>
    <x v="4"/>
    <d v="2026-08-02T00:00:00"/>
    <s v="Bogota"/>
    <x v="1"/>
    <x v="0"/>
    <x v="0"/>
    <s v="Smartphone X"/>
    <n v="3"/>
    <n v="650"/>
    <n v="450"/>
    <n v="2"/>
    <n v="3"/>
    <n v="1800"/>
    <n v="1950"/>
    <n v="1350"/>
    <n v="600"/>
    <n v="0.30769230769230771"/>
    <x v="0"/>
  </r>
  <r>
    <x v="5"/>
    <d v="2026-08-02T00:00:00"/>
    <s v="Cali"/>
    <x v="2"/>
    <x v="0"/>
    <x v="1"/>
    <s v="Jean Slim Fit"/>
    <n v="8"/>
    <n v="45"/>
    <n v="20"/>
    <n v="5"/>
    <n v="3"/>
    <n v="400"/>
    <n v="360"/>
    <n v="160"/>
    <n v="200"/>
    <n v="0.55555555555555558"/>
    <x v="1"/>
  </r>
  <r>
    <x v="6"/>
    <d v="2026-08-03T00:00:00"/>
    <s v="Pasto"/>
    <x v="0"/>
    <x v="0"/>
    <x v="2"/>
    <s v="Aspiradora Robot"/>
    <n v="2"/>
    <n v="280"/>
    <n v="180"/>
    <n v="3"/>
    <n v="3"/>
    <n v="500"/>
    <n v="560"/>
    <n v="360"/>
    <n v="200"/>
    <n v="0.35714285714285715"/>
    <x v="0"/>
  </r>
  <r>
    <x v="7"/>
    <d v="2026-08-03T00:00:00"/>
    <s v="Bogota"/>
    <x v="1"/>
    <x v="1"/>
    <x v="3"/>
    <s v="Botas Moto"/>
    <n v="3"/>
    <n v="150"/>
    <n v="85"/>
    <n v="2"/>
    <n v="2"/>
    <n v="400"/>
    <n v="450"/>
    <n v="255"/>
    <n v="195"/>
    <n v="0.43333333333333335"/>
    <x v="0"/>
  </r>
  <r>
    <x v="8"/>
    <d v="2026-08-03T00:00:00"/>
    <s v="Cali"/>
    <x v="2"/>
    <x v="0"/>
    <x v="0"/>
    <s v="Smart TV 55"/>
    <n v="2"/>
    <n v="520"/>
    <n v="380"/>
    <n v="7"/>
    <n v="4"/>
    <n v="1000"/>
    <n v="1040"/>
    <n v="760"/>
    <n v="280"/>
    <n v="0.26923076923076922"/>
    <x v="1"/>
  </r>
  <r>
    <x v="9"/>
    <d v="2026-08-04T00:00:00"/>
    <s v="Pasto"/>
    <x v="0"/>
    <x v="1"/>
    <x v="1"/>
    <s v="Camisa Lino"/>
    <n v="6"/>
    <n v="55"/>
    <n v="25"/>
    <n v="2"/>
    <n v="3"/>
    <n v="300"/>
    <n v="330"/>
    <n v="150"/>
    <n v="180"/>
    <n v="0.54545454545454541"/>
    <x v="0"/>
  </r>
  <r>
    <x v="10"/>
    <d v="2026-08-04T00:00:00"/>
    <s v="Bogota"/>
    <x v="1"/>
    <x v="0"/>
    <x v="2"/>
    <s v="Juego Comedor"/>
    <n v="1"/>
    <n v="450"/>
    <n v="290"/>
    <n v="4"/>
    <n v="3"/>
    <n v="400"/>
    <n v="450"/>
    <n v="290"/>
    <n v="160"/>
    <n v="0.35555555555555557"/>
    <x v="1"/>
  </r>
  <r>
    <x v="11"/>
    <d v="2026-08-04T00:00:00"/>
    <s v="Cali"/>
    <x v="2"/>
    <x v="1"/>
    <x v="3"/>
    <s v="Sandalias"/>
    <n v="10"/>
    <n v="35"/>
    <n v="15"/>
    <n v="4"/>
    <n v="3"/>
    <n v="300"/>
    <n v="350"/>
    <n v="150"/>
    <n v="200"/>
    <n v="0.5714285714285714"/>
    <x v="1"/>
  </r>
  <r>
    <x v="12"/>
    <d v="2026-08-05T00:00:00"/>
    <s v="Pasto"/>
    <x v="0"/>
    <x v="0"/>
    <x v="0"/>
    <s v="Tablet 10"/>
    <n v="4"/>
    <n v="220"/>
    <n v="140"/>
    <n v="2"/>
    <n v="3"/>
    <n v="800"/>
    <n v="880"/>
    <n v="560"/>
    <n v="320"/>
    <n v="0.36363636363636365"/>
    <x v="0"/>
  </r>
  <r>
    <x v="13"/>
    <d v="2026-08-05T00:00:00"/>
    <s v="Bogota"/>
    <x v="1"/>
    <x v="0"/>
    <x v="1"/>
    <s v="Saco Lana"/>
    <n v="5"/>
    <n v="65"/>
    <n v="30"/>
    <n v="2"/>
    <n v="3"/>
    <n v="300"/>
    <n v="325"/>
    <n v="150"/>
    <n v="175"/>
    <n v="0.53846153846153844"/>
    <x v="0"/>
  </r>
  <r>
    <x v="14"/>
    <d v="2026-08-05T00:00:00"/>
    <s v="Cali"/>
    <x v="2"/>
    <x v="0"/>
    <x v="2"/>
    <s v="Escritorio Pro"/>
    <n v="2"/>
    <n v="180"/>
    <n v="110"/>
    <n v="6"/>
    <n v="3"/>
    <n v="350"/>
    <n v="360"/>
    <n v="220"/>
    <n v="140"/>
    <n v="0.3888888888888889"/>
    <x v="1"/>
  </r>
  <r>
    <x v="15"/>
    <d v="2026-08-06T00:00:00"/>
    <s v="Pasto"/>
    <x v="0"/>
    <x v="1"/>
    <x v="3"/>
    <s v="Tenis Urbano"/>
    <n v="6"/>
    <n v="85"/>
    <n v="45"/>
    <n v="1"/>
    <n v="2"/>
    <n v="500"/>
    <n v="510"/>
    <n v="270"/>
    <n v="240"/>
    <n v="0.47058823529411764"/>
    <x v="0"/>
  </r>
  <r>
    <x v="16"/>
    <d v="2026-08-06T00:00:00"/>
    <s v="Bogota"/>
    <x v="1"/>
    <x v="0"/>
    <x v="0"/>
    <s v="Audifonos BT"/>
    <n v="12"/>
    <n v="75"/>
    <n v="35"/>
    <n v="1"/>
    <n v="2"/>
    <n v="800"/>
    <n v="900"/>
    <n v="420"/>
    <n v="480"/>
    <n v="0.53333333333333333"/>
    <x v="0"/>
  </r>
  <r>
    <x v="17"/>
    <d v="2026-08-06T00:00:00"/>
    <s v="Cali"/>
    <x v="2"/>
    <x v="1"/>
    <x v="1"/>
    <s v="Vestido Formal"/>
    <n v="4"/>
    <n v="110"/>
    <n v="55"/>
    <n v="5"/>
    <n v="3"/>
    <n v="400"/>
    <n v="440"/>
    <n v="220"/>
    <n v="220"/>
    <n v="0.5"/>
    <x v="1"/>
  </r>
  <r>
    <x v="18"/>
    <d v="2026-08-07T00:00:00"/>
    <s v="Pasto"/>
    <x v="0"/>
    <x v="0"/>
    <x v="2"/>
    <s v="Lámpara LED"/>
    <n v="15"/>
    <n v="25"/>
    <n v="10"/>
    <n v="2"/>
    <n v="3"/>
    <n v="300"/>
    <n v="375"/>
    <n v="150"/>
    <n v="225"/>
    <n v="0.6"/>
    <x v="0"/>
  </r>
  <r>
    <x v="19"/>
    <d v="2026-08-07T00:00:00"/>
    <s v="Bogota"/>
    <x v="1"/>
    <x v="1"/>
    <x v="3"/>
    <s v="Zapatos Formales"/>
    <n v="5"/>
    <n v="130"/>
    <n v="70"/>
    <n v="3"/>
    <n v="3"/>
    <n v="600"/>
    <n v="650"/>
    <n v="350"/>
    <n v="300"/>
    <n v="0.46153846153846156"/>
    <x v="0"/>
  </r>
  <r>
    <x v="20"/>
    <d v="2026-08-07T00:00:00"/>
    <s v="Cali"/>
    <x v="2"/>
    <x v="0"/>
    <x v="0"/>
    <s v="Consola Videojuegos"/>
    <n v="2"/>
    <n v="500"/>
    <n v="380"/>
    <n v="6"/>
    <n v="4"/>
    <n v="900"/>
    <n v="1000"/>
    <n v="760"/>
    <n v="240"/>
    <n v="0.24"/>
    <x v="1"/>
  </r>
  <r>
    <x v="21"/>
    <d v="2026-08-08T00:00:00"/>
    <s v="Pasto"/>
    <x v="0"/>
    <x v="0"/>
    <x v="1"/>
    <s v="Chaqueta Impermeable"/>
    <n v="3"/>
    <n v="95"/>
    <n v="45"/>
    <n v="2"/>
    <n v="3"/>
    <n v="300"/>
    <n v="285"/>
    <n v="135"/>
    <n v="150"/>
    <n v="0.52631578947368418"/>
    <x v="0"/>
  </r>
  <r>
    <x v="22"/>
    <d v="2026-08-08T00:00:00"/>
    <s v="Bogota"/>
    <x v="1"/>
    <x v="0"/>
    <x v="2"/>
    <s v="Silla Ergonomica"/>
    <n v="4"/>
    <n v="160"/>
    <n v="95"/>
    <n v="2"/>
    <n v="3"/>
    <n v="600"/>
    <n v="640"/>
    <n v="380"/>
    <n v="260"/>
    <n v="0.40625"/>
    <x v="0"/>
  </r>
  <r>
    <x v="23"/>
    <d v="2026-08-08T00:00:00"/>
    <s v="Cali"/>
    <x v="2"/>
    <x v="1"/>
    <x v="3"/>
    <s v="Tenis Deportivo"/>
    <n v="7"/>
    <n v="90"/>
    <n v="45"/>
    <n v="4"/>
    <n v="3"/>
    <n v="600"/>
    <n v="630"/>
    <n v="315"/>
    <n v="315"/>
    <n v="0.5"/>
    <x v="1"/>
  </r>
  <r>
    <x v="24"/>
    <d v="2026-08-09T00:00:00"/>
    <s v="Pasto"/>
    <x v="0"/>
    <x v="1"/>
    <x v="0"/>
    <s v="Monitor 27"/>
    <n v="3"/>
    <n v="310"/>
    <n v="210"/>
    <n v="2"/>
    <n v="3"/>
    <n v="900"/>
    <n v="930"/>
    <n v="630"/>
    <n v="300"/>
    <n v="0.32258064516129031"/>
    <x v="0"/>
  </r>
  <r>
    <x v="25"/>
    <d v="2026-08-09T00:00:00"/>
    <s v="Bogota"/>
    <x v="1"/>
    <x v="0"/>
    <x v="1"/>
    <s v="Buzo Hooded"/>
    <n v="8"/>
    <n v="50"/>
    <n v="22"/>
    <n v="2"/>
    <n v="3"/>
    <n v="400"/>
    <n v="400"/>
    <n v="176"/>
    <n v="224"/>
    <n v="0.56000000000000005"/>
    <x v="0"/>
  </r>
  <r>
    <x v="26"/>
    <d v="2026-08-09T00:00:00"/>
    <s v="Cali"/>
    <x v="2"/>
    <x v="0"/>
    <x v="2"/>
    <s v="Cama King"/>
    <n v="1"/>
    <n v="750"/>
    <n v="480"/>
    <n v="8"/>
    <n v="4"/>
    <n v="700"/>
    <n v="750"/>
    <n v="480"/>
    <n v="270"/>
    <n v="0.36"/>
    <x v="1"/>
  </r>
  <r>
    <x v="27"/>
    <d v="2026-08-10T00:00:00"/>
    <s v="Pasto"/>
    <x v="0"/>
    <x v="0"/>
    <x v="3"/>
    <s v="Botines Cuero"/>
    <n v="4"/>
    <n v="140"/>
    <n v="75"/>
    <n v="3"/>
    <n v="3"/>
    <n v="500"/>
    <n v="560"/>
    <n v="300"/>
    <n v="260"/>
    <n v="0.4642857142857143"/>
    <x v="0"/>
  </r>
  <r>
    <x v="28"/>
    <d v="2026-08-10T00:00:00"/>
    <s v="Bogota"/>
    <x v="1"/>
    <x v="1"/>
    <x v="0"/>
    <s v="Teclado Mecanico"/>
    <n v="6"/>
    <n v="90"/>
    <n v="50"/>
    <n v="1"/>
    <n v="2"/>
    <n v="500"/>
    <n v="540"/>
    <n v="300"/>
    <n v="240"/>
    <n v="0.44444444444444442"/>
    <x v="0"/>
  </r>
  <r>
    <x v="29"/>
    <d v="2026-08-10T00:00:00"/>
    <s v="Cali"/>
    <x v="2"/>
    <x v="0"/>
    <x v="1"/>
    <s v="Pantalón Cargo"/>
    <n v="6"/>
    <n v="60"/>
    <n v="28"/>
    <n v="5"/>
    <n v="3"/>
    <n v="350"/>
    <n v="360"/>
    <n v="168"/>
    <n v="192"/>
    <n v="0.53333333333333333"/>
    <x v="1"/>
  </r>
  <r>
    <x v="0"/>
    <d v="2026-08-01T00:00:00"/>
    <s v="Pasto"/>
    <x v="0"/>
    <x v="0"/>
    <x v="0"/>
    <s v="Laptop Pro 15"/>
    <n v="2"/>
    <n v="850"/>
    <n v="600"/>
    <n v="2"/>
    <n v="3"/>
    <n v="1500"/>
    <n v="1700"/>
    <n v="1200"/>
    <n v="500"/>
    <n v="0.29411764705882354"/>
    <x v="0"/>
  </r>
  <r>
    <x v="1"/>
    <d v="2026-08-01T00:00:00"/>
    <s v="Bogota"/>
    <x v="1"/>
    <x v="1"/>
    <x v="1"/>
    <s v="Chaqueta Cuero"/>
    <n v="5"/>
    <n v="120"/>
    <n v="70"/>
    <n v="3"/>
    <n v="3"/>
    <n v="500"/>
    <n v="600"/>
    <n v="350"/>
    <n v="250"/>
    <n v="0.41666666666666669"/>
    <x v="0"/>
  </r>
  <r>
    <x v="2"/>
    <d v="2026-08-01T00:00:00"/>
    <s v="Cali"/>
    <x v="2"/>
    <x v="0"/>
    <x v="2"/>
    <s v="Cafetera Express"/>
    <n v="3"/>
    <n v="90"/>
    <n v="50"/>
    <n v="6"/>
    <n v="4"/>
    <n v="300"/>
    <n v="270"/>
    <n v="150"/>
    <n v="120"/>
    <n v="0.44444444444444442"/>
    <x v="1"/>
  </r>
  <r>
    <x v="3"/>
    <d v="2026-08-02T00:00:00"/>
    <s v="Pasto"/>
    <x v="0"/>
    <x v="1"/>
    <x v="3"/>
    <s v="Tenis Running"/>
    <n v="4"/>
    <n v="110"/>
    <n v="60"/>
    <n v="1"/>
    <n v="2"/>
    <n v="400"/>
    <n v="440"/>
    <n v="240"/>
    <n v="200"/>
    <n v="0.45454545454545453"/>
    <x v="0"/>
  </r>
  <r>
    <x v="4"/>
    <d v="2026-08-02T00:00:00"/>
    <s v="Bogota"/>
    <x v="1"/>
    <x v="0"/>
    <x v="0"/>
    <s v="Smartphone X"/>
    <n v="3"/>
    <n v="650"/>
    <n v="450"/>
    <n v="2"/>
    <n v="3"/>
    <n v="1800"/>
    <n v="1950"/>
    <n v="1350"/>
    <n v="600"/>
    <n v="0.30769230769230771"/>
    <x v="0"/>
  </r>
  <r>
    <x v="5"/>
    <d v="2026-08-02T00:00:00"/>
    <s v="Cali"/>
    <x v="2"/>
    <x v="0"/>
    <x v="1"/>
    <s v="Jean Slim Fit"/>
    <n v="8"/>
    <n v="45"/>
    <n v="20"/>
    <n v="5"/>
    <n v="3"/>
    <n v="400"/>
    <n v="360"/>
    <n v="160"/>
    <n v="200"/>
    <n v="0.55555555555555558"/>
    <x v="1"/>
  </r>
  <r>
    <x v="6"/>
    <d v="2026-08-03T00:00:00"/>
    <s v="Pasto"/>
    <x v="0"/>
    <x v="0"/>
    <x v="2"/>
    <s v="Aspiradora Robot"/>
    <n v="2"/>
    <n v="280"/>
    <n v="180"/>
    <n v="3"/>
    <n v="3"/>
    <n v="500"/>
    <n v="560"/>
    <n v="360"/>
    <n v="200"/>
    <n v="0.35714285714285715"/>
    <x v="0"/>
  </r>
  <r>
    <x v="7"/>
    <d v="2026-08-03T00:00:00"/>
    <s v="Bogota"/>
    <x v="1"/>
    <x v="1"/>
    <x v="3"/>
    <s v="Botas Moto"/>
    <n v="3"/>
    <n v="150"/>
    <n v="85"/>
    <n v="2"/>
    <n v="2"/>
    <n v="400"/>
    <n v="450"/>
    <n v="255"/>
    <n v="195"/>
    <n v="0.43333333333333335"/>
    <x v="0"/>
  </r>
  <r>
    <x v="8"/>
    <d v="2026-08-03T00:00:00"/>
    <s v="Cali"/>
    <x v="2"/>
    <x v="0"/>
    <x v="0"/>
    <s v="Smart TV 55"/>
    <n v="2"/>
    <n v="520"/>
    <n v="380"/>
    <n v="7"/>
    <n v="4"/>
    <n v="1000"/>
    <n v="1040"/>
    <n v="760"/>
    <n v="280"/>
    <n v="0.26923076923076922"/>
    <x v="1"/>
  </r>
  <r>
    <x v="9"/>
    <d v="2026-08-04T00:00:00"/>
    <s v="Pasto"/>
    <x v="0"/>
    <x v="1"/>
    <x v="1"/>
    <s v="Camisa Lino"/>
    <n v="6"/>
    <n v="55"/>
    <n v="25"/>
    <n v="2"/>
    <n v="3"/>
    <n v="300"/>
    <n v="330"/>
    <n v="150"/>
    <n v="180"/>
    <n v="0.54545454545454541"/>
    <x v="0"/>
  </r>
  <r>
    <x v="10"/>
    <d v="2026-08-04T00:00:00"/>
    <s v="Bogota"/>
    <x v="1"/>
    <x v="0"/>
    <x v="2"/>
    <s v="Juego Comedor"/>
    <n v="1"/>
    <n v="450"/>
    <n v="290"/>
    <n v="4"/>
    <n v="3"/>
    <n v="400"/>
    <n v="450"/>
    <n v="290"/>
    <n v="160"/>
    <n v="0.35555555555555557"/>
    <x v="1"/>
  </r>
  <r>
    <x v="11"/>
    <d v="2026-08-04T00:00:00"/>
    <s v="Cali"/>
    <x v="2"/>
    <x v="1"/>
    <x v="3"/>
    <s v="Sandalias"/>
    <n v="10"/>
    <n v="35"/>
    <n v="15"/>
    <n v="4"/>
    <n v="3"/>
    <n v="300"/>
    <n v="350"/>
    <n v="150"/>
    <n v="200"/>
    <n v="0.5714285714285714"/>
    <x v="1"/>
  </r>
  <r>
    <x v="12"/>
    <d v="2026-08-05T00:00:00"/>
    <s v="Pasto"/>
    <x v="0"/>
    <x v="0"/>
    <x v="0"/>
    <s v="Tablet 10"/>
    <n v="4"/>
    <n v="220"/>
    <n v="140"/>
    <n v="2"/>
    <n v="3"/>
    <n v="800"/>
    <n v="880"/>
    <n v="560"/>
    <n v="320"/>
    <n v="0.36363636363636365"/>
    <x v="0"/>
  </r>
  <r>
    <x v="13"/>
    <d v="2026-08-05T00:00:00"/>
    <s v="Bogota"/>
    <x v="1"/>
    <x v="0"/>
    <x v="1"/>
    <s v="Saco Lana"/>
    <n v="5"/>
    <n v="65"/>
    <n v="30"/>
    <n v="2"/>
    <n v="3"/>
    <n v="300"/>
    <n v="325"/>
    <n v="150"/>
    <n v="175"/>
    <n v="0.53846153846153844"/>
    <x v="0"/>
  </r>
  <r>
    <x v="14"/>
    <d v="2026-08-05T00:00:00"/>
    <s v="Cali"/>
    <x v="2"/>
    <x v="0"/>
    <x v="2"/>
    <s v="Escritorio Pro"/>
    <n v="2"/>
    <n v="180"/>
    <n v="110"/>
    <n v="6"/>
    <n v="3"/>
    <n v="350"/>
    <n v="360"/>
    <n v="220"/>
    <n v="140"/>
    <n v="0.3888888888888889"/>
    <x v="1"/>
  </r>
  <r>
    <x v="15"/>
    <d v="2026-08-06T00:00:00"/>
    <s v="Pasto"/>
    <x v="0"/>
    <x v="1"/>
    <x v="3"/>
    <s v="Tenis Urbano"/>
    <n v="6"/>
    <n v="85"/>
    <n v="45"/>
    <n v="1"/>
    <n v="2"/>
    <n v="500"/>
    <n v="510"/>
    <n v="270"/>
    <n v="240"/>
    <n v="0.47058823529411764"/>
    <x v="0"/>
  </r>
  <r>
    <x v="16"/>
    <d v="2026-08-06T00:00:00"/>
    <s v="Bogota"/>
    <x v="1"/>
    <x v="0"/>
    <x v="0"/>
    <s v="Audifonos BT"/>
    <n v="12"/>
    <n v="75"/>
    <n v="35"/>
    <n v="1"/>
    <n v="2"/>
    <n v="800"/>
    <n v="900"/>
    <n v="420"/>
    <n v="480"/>
    <n v="0.53333333333333333"/>
    <x v="0"/>
  </r>
  <r>
    <x v="17"/>
    <d v="2026-08-06T00:00:00"/>
    <s v="Cali"/>
    <x v="2"/>
    <x v="1"/>
    <x v="1"/>
    <s v="Vestido Formal"/>
    <n v="4"/>
    <n v="110"/>
    <n v="55"/>
    <n v="5"/>
    <n v="3"/>
    <n v="400"/>
    <n v="440"/>
    <n v="220"/>
    <n v="220"/>
    <n v="0.5"/>
    <x v="1"/>
  </r>
  <r>
    <x v="18"/>
    <d v="2026-08-07T00:00:00"/>
    <s v="Pasto"/>
    <x v="0"/>
    <x v="0"/>
    <x v="2"/>
    <s v="Lámpara LED"/>
    <n v="15"/>
    <n v="25"/>
    <n v="10"/>
    <n v="2"/>
    <n v="3"/>
    <n v="300"/>
    <n v="375"/>
    <n v="150"/>
    <n v="225"/>
    <n v="0.6"/>
    <x v="0"/>
  </r>
  <r>
    <x v="19"/>
    <d v="2026-08-07T00:00:00"/>
    <s v="Bogota"/>
    <x v="1"/>
    <x v="1"/>
    <x v="3"/>
    <s v="Zapatos Formales"/>
    <n v="5"/>
    <n v="130"/>
    <n v="70"/>
    <n v="3"/>
    <n v="3"/>
    <n v="600"/>
    <n v="650"/>
    <n v="350"/>
    <n v="300"/>
    <n v="0.46153846153846156"/>
    <x v="0"/>
  </r>
  <r>
    <x v="20"/>
    <d v="2026-08-07T00:00:00"/>
    <s v="Cali"/>
    <x v="2"/>
    <x v="0"/>
    <x v="0"/>
    <s v="Consola Videojuegos"/>
    <n v="2"/>
    <n v="500"/>
    <n v="380"/>
    <n v="6"/>
    <n v="4"/>
    <n v="900"/>
    <n v="1000"/>
    <n v="760"/>
    <n v="240"/>
    <n v="0.24"/>
    <x v="1"/>
  </r>
  <r>
    <x v="21"/>
    <d v="2026-08-08T00:00:00"/>
    <s v="Pasto"/>
    <x v="0"/>
    <x v="0"/>
    <x v="1"/>
    <s v="Chaqueta Impermeable"/>
    <n v="3"/>
    <n v="95"/>
    <n v="45"/>
    <n v="2"/>
    <n v="3"/>
    <n v="300"/>
    <n v="285"/>
    <n v="135"/>
    <n v="150"/>
    <n v="0.52631578947368418"/>
    <x v="0"/>
  </r>
  <r>
    <x v="22"/>
    <d v="2026-08-08T00:00:00"/>
    <s v="Bogota"/>
    <x v="1"/>
    <x v="0"/>
    <x v="2"/>
    <s v="Silla Ergonomica"/>
    <n v="4"/>
    <n v="160"/>
    <n v="95"/>
    <n v="2"/>
    <n v="3"/>
    <n v="600"/>
    <n v="640"/>
    <n v="380"/>
    <n v="260"/>
    <n v="0.40625"/>
    <x v="0"/>
  </r>
  <r>
    <x v="23"/>
    <d v="2026-08-08T00:00:00"/>
    <s v="Cali"/>
    <x v="2"/>
    <x v="1"/>
    <x v="3"/>
    <s v="Tenis Deportivo"/>
    <n v="7"/>
    <n v="90"/>
    <n v="45"/>
    <n v="4"/>
    <n v="3"/>
    <n v="600"/>
    <n v="630"/>
    <n v="315"/>
    <n v="315"/>
    <n v="0.5"/>
    <x v="1"/>
  </r>
  <r>
    <x v="24"/>
    <d v="2026-08-09T00:00:00"/>
    <s v="Pasto"/>
    <x v="0"/>
    <x v="1"/>
    <x v="0"/>
    <s v="Monitor 27"/>
    <n v="3"/>
    <n v="310"/>
    <n v="210"/>
    <n v="2"/>
    <n v="3"/>
    <n v="900"/>
    <n v="930"/>
    <n v="630"/>
    <n v="300"/>
    <n v="0.32258064516129031"/>
    <x v="0"/>
  </r>
  <r>
    <x v="25"/>
    <d v="2026-08-09T00:00:00"/>
    <s v="Bogota"/>
    <x v="1"/>
    <x v="0"/>
    <x v="1"/>
    <s v="Buzo Hooded"/>
    <n v="8"/>
    <n v="50"/>
    <n v="22"/>
    <n v="2"/>
    <n v="3"/>
    <n v="400"/>
    <n v="400"/>
    <n v="176"/>
    <n v="224"/>
    <n v="0.56000000000000005"/>
    <x v="0"/>
  </r>
  <r>
    <x v="26"/>
    <d v="2026-08-09T00:00:00"/>
    <s v="Cali"/>
    <x v="2"/>
    <x v="0"/>
    <x v="2"/>
    <s v="Cama King"/>
    <n v="1"/>
    <n v="750"/>
    <n v="480"/>
    <n v="8"/>
    <n v="4"/>
    <n v="700"/>
    <n v="750"/>
    <n v="480"/>
    <n v="270"/>
    <n v="0.36"/>
    <x v="1"/>
  </r>
  <r>
    <x v="27"/>
    <d v="2026-08-10T00:00:00"/>
    <s v="Pasto"/>
    <x v="0"/>
    <x v="0"/>
    <x v="3"/>
    <s v="Botines Cuero"/>
    <n v="4"/>
    <n v="140"/>
    <n v="75"/>
    <n v="3"/>
    <n v="3"/>
    <n v="500"/>
    <n v="560"/>
    <n v="300"/>
    <n v="260"/>
    <n v="0.4642857142857143"/>
    <x v="0"/>
  </r>
  <r>
    <x v="28"/>
    <d v="2026-08-10T00:00:00"/>
    <s v="Bogota"/>
    <x v="1"/>
    <x v="1"/>
    <x v="0"/>
    <s v="Teclado Mecanico"/>
    <n v="6"/>
    <n v="90"/>
    <n v="50"/>
    <n v="1"/>
    <n v="2"/>
    <n v="500"/>
    <n v="540"/>
    <n v="300"/>
    <n v="240"/>
    <n v="0.44444444444444442"/>
    <x v="0"/>
  </r>
  <r>
    <x v="29"/>
    <d v="2026-08-10T00:00:00"/>
    <s v="Cali"/>
    <x v="2"/>
    <x v="0"/>
    <x v="1"/>
    <s v="Pantalón Cargo"/>
    <n v="6"/>
    <n v="60"/>
    <n v="28"/>
    <n v="5"/>
    <n v="3"/>
    <n v="350"/>
    <n v="360"/>
    <n v="168"/>
    <n v="192"/>
    <n v="0.53333333333333333"/>
    <x v="1"/>
  </r>
  <r>
    <x v="0"/>
    <d v="2026-08-01T00:00:00"/>
    <s v="Pasto"/>
    <x v="0"/>
    <x v="0"/>
    <x v="0"/>
    <s v="Laptop Pro 15"/>
    <n v="2"/>
    <n v="850"/>
    <n v="600"/>
    <n v="2"/>
    <n v="3"/>
    <n v="1500"/>
    <n v="1700"/>
    <n v="1200"/>
    <n v="500"/>
    <n v="0.29411764705882354"/>
    <x v="0"/>
  </r>
  <r>
    <x v="1"/>
    <d v="2026-08-01T00:00:00"/>
    <s v="Bogota"/>
    <x v="1"/>
    <x v="1"/>
    <x v="1"/>
    <s v="Chaqueta Cuero"/>
    <n v="5"/>
    <n v="120"/>
    <n v="70"/>
    <n v="3"/>
    <n v="3"/>
    <n v="500"/>
    <n v="600"/>
    <n v="350"/>
    <n v="250"/>
    <n v="0.41666666666666669"/>
    <x v="0"/>
  </r>
  <r>
    <x v="2"/>
    <d v="2026-08-01T00:00:00"/>
    <s v="Cali"/>
    <x v="2"/>
    <x v="0"/>
    <x v="2"/>
    <s v="Cafetera Express"/>
    <n v="3"/>
    <n v="90"/>
    <n v="50"/>
    <n v="6"/>
    <n v="4"/>
    <n v="300"/>
    <n v="270"/>
    <n v="150"/>
    <n v="120"/>
    <n v="0.44444444444444442"/>
    <x v="1"/>
  </r>
  <r>
    <x v="3"/>
    <d v="2026-08-02T00:00:00"/>
    <s v="Pasto"/>
    <x v="0"/>
    <x v="1"/>
    <x v="3"/>
    <s v="Tenis Running"/>
    <n v="4"/>
    <n v="110"/>
    <n v="60"/>
    <n v="1"/>
    <n v="2"/>
    <n v="400"/>
    <n v="440"/>
    <n v="240"/>
    <n v="200"/>
    <n v="0.45454545454545453"/>
    <x v="0"/>
  </r>
  <r>
    <x v="4"/>
    <d v="2026-08-02T00:00:00"/>
    <s v="Bogota"/>
    <x v="1"/>
    <x v="0"/>
    <x v="0"/>
    <s v="Smartphone X"/>
    <n v="3"/>
    <n v="650"/>
    <n v="450"/>
    <n v="2"/>
    <n v="3"/>
    <n v="1800"/>
    <n v="1950"/>
    <n v="1350"/>
    <n v="600"/>
    <n v="0.30769230769230771"/>
    <x v="0"/>
  </r>
  <r>
    <x v="5"/>
    <d v="2026-08-02T00:00:00"/>
    <s v="Cali"/>
    <x v="2"/>
    <x v="0"/>
    <x v="1"/>
    <s v="Jean Slim Fit"/>
    <n v="8"/>
    <n v="45"/>
    <n v="20"/>
    <n v="5"/>
    <n v="3"/>
    <n v="400"/>
    <n v="360"/>
    <n v="160"/>
    <n v="200"/>
    <n v="0.55555555555555558"/>
    <x v="1"/>
  </r>
  <r>
    <x v="6"/>
    <d v="2026-08-03T00:00:00"/>
    <s v="Pasto"/>
    <x v="0"/>
    <x v="0"/>
    <x v="2"/>
    <s v="Aspiradora Robot"/>
    <n v="2"/>
    <n v="280"/>
    <n v="180"/>
    <n v="3"/>
    <n v="3"/>
    <n v="500"/>
    <n v="560"/>
    <n v="360"/>
    <n v="200"/>
    <n v="0.35714285714285715"/>
    <x v="0"/>
  </r>
  <r>
    <x v="7"/>
    <d v="2026-08-03T00:00:00"/>
    <s v="Bogota"/>
    <x v="1"/>
    <x v="1"/>
    <x v="3"/>
    <s v="Botas Moto"/>
    <n v="3"/>
    <n v="150"/>
    <n v="85"/>
    <n v="2"/>
    <n v="2"/>
    <n v="400"/>
    <n v="450"/>
    <n v="255"/>
    <n v="195"/>
    <n v="0.43333333333333335"/>
    <x v="0"/>
  </r>
  <r>
    <x v="8"/>
    <d v="2026-08-03T00:00:00"/>
    <s v="Cali"/>
    <x v="2"/>
    <x v="0"/>
    <x v="0"/>
    <s v="Smart TV 55"/>
    <n v="2"/>
    <n v="520"/>
    <n v="380"/>
    <n v="7"/>
    <n v="4"/>
    <n v="1000"/>
    <n v="1040"/>
    <n v="760"/>
    <n v="280"/>
    <n v="0.26923076923076922"/>
    <x v="1"/>
  </r>
  <r>
    <x v="9"/>
    <d v="2026-08-04T00:00:00"/>
    <s v="Pasto"/>
    <x v="0"/>
    <x v="1"/>
    <x v="1"/>
    <s v="Camisa Lino"/>
    <n v="6"/>
    <n v="55"/>
    <n v="25"/>
    <n v="2"/>
    <n v="3"/>
    <n v="300"/>
    <n v="330"/>
    <n v="150"/>
    <n v="180"/>
    <n v="0.54545454545454541"/>
    <x v="0"/>
  </r>
  <r>
    <x v="10"/>
    <d v="2026-08-04T00:00:00"/>
    <s v="Bogota"/>
    <x v="1"/>
    <x v="0"/>
    <x v="2"/>
    <s v="Juego Comedor"/>
    <n v="1"/>
    <n v="450"/>
    <n v="290"/>
    <n v="4"/>
    <n v="3"/>
    <n v="400"/>
    <n v="450"/>
    <n v="290"/>
    <n v="160"/>
    <n v="0.35555555555555557"/>
    <x v="1"/>
  </r>
  <r>
    <x v="11"/>
    <d v="2026-08-04T00:00:00"/>
    <s v="Cali"/>
    <x v="2"/>
    <x v="1"/>
    <x v="3"/>
    <s v="Sandalias"/>
    <n v="10"/>
    <n v="35"/>
    <n v="15"/>
    <n v="4"/>
    <n v="3"/>
    <n v="300"/>
    <n v="350"/>
    <n v="150"/>
    <n v="200"/>
    <n v="0.5714285714285714"/>
    <x v="1"/>
  </r>
  <r>
    <x v="12"/>
    <d v="2026-08-05T00:00:00"/>
    <s v="Pasto"/>
    <x v="0"/>
    <x v="0"/>
    <x v="0"/>
    <s v="Tablet 10"/>
    <n v="4"/>
    <n v="220"/>
    <n v="140"/>
    <n v="2"/>
    <n v="3"/>
    <n v="800"/>
    <n v="880"/>
    <n v="560"/>
    <n v="320"/>
    <n v="0.36363636363636365"/>
    <x v="0"/>
  </r>
  <r>
    <x v="13"/>
    <d v="2026-08-05T00:00:00"/>
    <s v="Bogota"/>
    <x v="1"/>
    <x v="0"/>
    <x v="1"/>
    <s v="Saco Lana"/>
    <n v="5"/>
    <n v="65"/>
    <n v="30"/>
    <n v="2"/>
    <n v="3"/>
    <n v="300"/>
    <n v="325"/>
    <n v="150"/>
    <n v="175"/>
    <n v="0.53846153846153844"/>
    <x v="0"/>
  </r>
  <r>
    <x v="14"/>
    <d v="2026-08-05T00:00:00"/>
    <s v="Cali"/>
    <x v="2"/>
    <x v="0"/>
    <x v="2"/>
    <s v="Escritorio Pro"/>
    <n v="2"/>
    <n v="180"/>
    <n v="110"/>
    <n v="6"/>
    <n v="3"/>
    <n v="350"/>
    <n v="360"/>
    <n v="220"/>
    <n v="140"/>
    <n v="0.3888888888888889"/>
    <x v="1"/>
  </r>
  <r>
    <x v="15"/>
    <d v="2026-08-06T00:00:00"/>
    <s v="Pasto"/>
    <x v="0"/>
    <x v="1"/>
    <x v="3"/>
    <s v="Tenis Urbano"/>
    <n v="6"/>
    <n v="85"/>
    <n v="45"/>
    <n v="1"/>
    <n v="2"/>
    <n v="500"/>
    <n v="510"/>
    <n v="270"/>
    <n v="240"/>
    <n v="0.47058823529411764"/>
    <x v="0"/>
  </r>
  <r>
    <x v="16"/>
    <d v="2026-08-06T00:00:00"/>
    <s v="Bogota"/>
    <x v="1"/>
    <x v="0"/>
    <x v="0"/>
    <s v="Audifonos BT"/>
    <n v="12"/>
    <n v="75"/>
    <n v="35"/>
    <n v="1"/>
    <n v="2"/>
    <n v="800"/>
    <n v="900"/>
    <n v="420"/>
    <n v="480"/>
    <n v="0.53333333333333333"/>
    <x v="0"/>
  </r>
  <r>
    <x v="17"/>
    <d v="2026-08-06T00:00:00"/>
    <s v="Cali"/>
    <x v="2"/>
    <x v="1"/>
    <x v="1"/>
    <s v="Vestido Formal"/>
    <n v="4"/>
    <n v="110"/>
    <n v="55"/>
    <n v="5"/>
    <n v="3"/>
    <n v="400"/>
    <n v="440"/>
    <n v="220"/>
    <n v="220"/>
    <n v="0.5"/>
    <x v="1"/>
  </r>
  <r>
    <x v="18"/>
    <d v="2026-08-07T00:00:00"/>
    <s v="Pasto"/>
    <x v="0"/>
    <x v="0"/>
    <x v="2"/>
    <s v="Lámpara LED"/>
    <n v="15"/>
    <n v="25"/>
    <n v="10"/>
    <n v="2"/>
    <n v="3"/>
    <n v="300"/>
    <n v="375"/>
    <n v="150"/>
    <n v="225"/>
    <n v="0.6"/>
    <x v="0"/>
  </r>
  <r>
    <x v="19"/>
    <d v="2026-08-07T00:00:00"/>
    <s v="Bogota"/>
    <x v="1"/>
    <x v="1"/>
    <x v="3"/>
    <s v="Zapatos Formales"/>
    <n v="5"/>
    <n v="130"/>
    <n v="70"/>
    <n v="3"/>
    <n v="3"/>
    <n v="600"/>
    <n v="650"/>
    <n v="350"/>
    <n v="300"/>
    <n v="0.46153846153846156"/>
    <x v="0"/>
  </r>
  <r>
    <x v="20"/>
    <d v="2026-08-07T00:00:00"/>
    <s v="Cali"/>
    <x v="2"/>
    <x v="0"/>
    <x v="0"/>
    <s v="Consola Videojuegos"/>
    <n v="2"/>
    <n v="500"/>
    <n v="380"/>
    <n v="6"/>
    <n v="4"/>
    <n v="900"/>
    <n v="1000"/>
    <n v="760"/>
    <n v="240"/>
    <n v="0.24"/>
    <x v="1"/>
  </r>
  <r>
    <x v="21"/>
    <d v="2026-08-08T00:00:00"/>
    <s v="Pasto"/>
    <x v="0"/>
    <x v="0"/>
    <x v="1"/>
    <s v="Chaqueta Impermeable"/>
    <n v="3"/>
    <n v="95"/>
    <n v="45"/>
    <n v="2"/>
    <n v="3"/>
    <n v="300"/>
    <n v="285"/>
    <n v="135"/>
    <n v="150"/>
    <n v="0.52631578947368418"/>
    <x v="0"/>
  </r>
  <r>
    <x v="22"/>
    <d v="2026-08-08T00:00:00"/>
    <s v="Bogota"/>
    <x v="1"/>
    <x v="0"/>
    <x v="2"/>
    <s v="Silla Ergonomica"/>
    <n v="4"/>
    <n v="160"/>
    <n v="95"/>
    <n v="2"/>
    <n v="3"/>
    <n v="600"/>
    <n v="640"/>
    <n v="380"/>
    <n v="260"/>
    <n v="0.40625"/>
    <x v="0"/>
  </r>
  <r>
    <x v="23"/>
    <d v="2026-08-08T00:00:00"/>
    <s v="Cali"/>
    <x v="2"/>
    <x v="1"/>
    <x v="3"/>
    <s v="Tenis Deportivo"/>
    <n v="7"/>
    <n v="90"/>
    <n v="45"/>
    <n v="4"/>
    <n v="3"/>
    <n v="600"/>
    <n v="630"/>
    <n v="315"/>
    <n v="315"/>
    <n v="0.5"/>
    <x v="1"/>
  </r>
  <r>
    <x v="24"/>
    <d v="2026-08-09T00:00:00"/>
    <s v="Pasto"/>
    <x v="0"/>
    <x v="1"/>
    <x v="0"/>
    <s v="Monitor 27"/>
    <n v="3"/>
    <n v="310"/>
    <n v="210"/>
    <n v="2"/>
    <n v="3"/>
    <n v="900"/>
    <n v="930"/>
    <n v="630"/>
    <n v="300"/>
    <n v="0.32258064516129031"/>
    <x v="0"/>
  </r>
  <r>
    <x v="25"/>
    <d v="2026-08-09T00:00:00"/>
    <s v="Bogota"/>
    <x v="1"/>
    <x v="0"/>
    <x v="1"/>
    <s v="Buzo Hooded"/>
    <n v="8"/>
    <n v="50"/>
    <n v="22"/>
    <n v="2"/>
    <n v="3"/>
    <n v="400"/>
    <n v="400"/>
    <n v="176"/>
    <n v="224"/>
    <n v="0.56000000000000005"/>
    <x v="0"/>
  </r>
  <r>
    <x v="26"/>
    <d v="2026-08-09T00:00:00"/>
    <s v="Cali"/>
    <x v="2"/>
    <x v="0"/>
    <x v="2"/>
    <s v="Cama King"/>
    <n v="1"/>
    <n v="750"/>
    <n v="480"/>
    <n v="8"/>
    <n v="4"/>
    <n v="700"/>
    <n v="750"/>
    <n v="480"/>
    <n v="270"/>
    <n v="0.36"/>
    <x v="1"/>
  </r>
  <r>
    <x v="27"/>
    <d v="2026-08-10T00:00:00"/>
    <s v="Pasto"/>
    <x v="0"/>
    <x v="0"/>
    <x v="3"/>
    <s v="Botines Cuero"/>
    <n v="4"/>
    <n v="140"/>
    <n v="75"/>
    <n v="3"/>
    <n v="3"/>
    <n v="500"/>
    <n v="560"/>
    <n v="300"/>
    <n v="260"/>
    <n v="0.4642857142857143"/>
    <x v="0"/>
  </r>
  <r>
    <x v="28"/>
    <d v="2026-08-10T00:00:00"/>
    <s v="Bogota"/>
    <x v="1"/>
    <x v="1"/>
    <x v="0"/>
    <s v="Teclado Mecanico"/>
    <n v="6"/>
    <n v="90"/>
    <n v="50"/>
    <n v="1"/>
    <n v="2"/>
    <n v="500"/>
    <n v="540"/>
    <n v="300"/>
    <n v="240"/>
    <n v="0.44444444444444442"/>
    <x v="0"/>
  </r>
  <r>
    <x v="29"/>
    <d v="2026-08-10T00:00:00"/>
    <s v="Cali"/>
    <x v="2"/>
    <x v="0"/>
    <x v="1"/>
    <s v="Pantalón Cargo"/>
    <n v="6"/>
    <n v="60"/>
    <n v="28"/>
    <n v="5"/>
    <n v="3"/>
    <n v="350"/>
    <n v="360"/>
    <n v="168"/>
    <n v="192"/>
    <n v="0.53333333333333333"/>
    <x v="1"/>
  </r>
  <r>
    <x v="0"/>
    <d v="2026-08-01T00:00:00"/>
    <s v="Pasto"/>
    <x v="0"/>
    <x v="0"/>
    <x v="0"/>
    <s v="Laptop Pro 15"/>
    <n v="2"/>
    <n v="850"/>
    <n v="600"/>
    <n v="2"/>
    <n v="3"/>
    <n v="1500"/>
    <n v="1700"/>
    <n v="1200"/>
    <n v="500"/>
    <n v="0.29411764705882354"/>
    <x v="0"/>
  </r>
  <r>
    <x v="1"/>
    <d v="2026-08-01T00:00:00"/>
    <s v="Bogota"/>
    <x v="1"/>
    <x v="1"/>
    <x v="1"/>
    <s v="Chaqueta Cuero"/>
    <n v="5"/>
    <n v="120"/>
    <n v="70"/>
    <n v="3"/>
    <n v="3"/>
    <n v="500"/>
    <n v="600"/>
    <n v="350"/>
    <n v="250"/>
    <n v="0.41666666666666669"/>
    <x v="0"/>
  </r>
  <r>
    <x v="2"/>
    <d v="2026-08-01T00:00:00"/>
    <s v="Cali"/>
    <x v="2"/>
    <x v="0"/>
    <x v="2"/>
    <s v="Cafetera Express"/>
    <n v="3"/>
    <n v="90"/>
    <n v="50"/>
    <n v="6"/>
    <n v="4"/>
    <n v="300"/>
    <n v="270"/>
    <n v="150"/>
    <n v="120"/>
    <n v="0.44444444444444442"/>
    <x v="1"/>
  </r>
  <r>
    <x v="3"/>
    <d v="2026-08-02T00:00:00"/>
    <s v="Pasto"/>
    <x v="0"/>
    <x v="1"/>
    <x v="3"/>
    <s v="Tenis Running"/>
    <n v="4"/>
    <n v="110"/>
    <n v="60"/>
    <n v="1"/>
    <n v="2"/>
    <n v="400"/>
    <n v="440"/>
    <n v="240"/>
    <n v="200"/>
    <n v="0.45454545454545453"/>
    <x v="0"/>
  </r>
  <r>
    <x v="4"/>
    <d v="2026-08-02T00:00:00"/>
    <s v="Bogota"/>
    <x v="1"/>
    <x v="0"/>
    <x v="0"/>
    <s v="Smartphone X"/>
    <n v="3"/>
    <n v="650"/>
    <n v="450"/>
    <n v="2"/>
    <n v="3"/>
    <n v="1800"/>
    <n v="1950"/>
    <n v="1350"/>
    <n v="600"/>
    <n v="0.30769230769230771"/>
    <x v="0"/>
  </r>
  <r>
    <x v="5"/>
    <d v="2026-08-02T00:00:00"/>
    <s v="Cali"/>
    <x v="2"/>
    <x v="0"/>
    <x v="1"/>
    <s v="Jean Slim Fit"/>
    <n v="8"/>
    <n v="45"/>
    <n v="20"/>
    <n v="5"/>
    <n v="3"/>
    <n v="400"/>
    <n v="360"/>
    <n v="160"/>
    <n v="200"/>
    <n v="0.55555555555555558"/>
    <x v="1"/>
  </r>
  <r>
    <x v="6"/>
    <d v="2026-08-03T00:00:00"/>
    <s v="Pasto"/>
    <x v="0"/>
    <x v="0"/>
    <x v="2"/>
    <s v="Aspiradora Robot"/>
    <n v="2"/>
    <n v="280"/>
    <n v="180"/>
    <n v="3"/>
    <n v="3"/>
    <n v="500"/>
    <n v="560"/>
    <n v="360"/>
    <n v="200"/>
    <n v="0.35714285714285715"/>
    <x v="0"/>
  </r>
  <r>
    <x v="7"/>
    <d v="2026-08-03T00:00:00"/>
    <s v="Bogota"/>
    <x v="1"/>
    <x v="1"/>
    <x v="3"/>
    <s v="Botas Moto"/>
    <n v="3"/>
    <n v="150"/>
    <n v="85"/>
    <n v="2"/>
    <n v="2"/>
    <n v="400"/>
    <n v="450"/>
    <n v="255"/>
    <n v="195"/>
    <n v="0.43333333333333335"/>
    <x v="0"/>
  </r>
  <r>
    <x v="8"/>
    <d v="2026-08-03T00:00:00"/>
    <s v="Cali"/>
    <x v="2"/>
    <x v="0"/>
    <x v="0"/>
    <s v="Smart TV 55"/>
    <n v="2"/>
    <n v="520"/>
    <n v="380"/>
    <n v="7"/>
    <n v="4"/>
    <n v="1000"/>
    <n v="1040"/>
    <n v="760"/>
    <n v="280"/>
    <n v="0.26923076923076922"/>
    <x v="1"/>
  </r>
  <r>
    <x v="9"/>
    <d v="2026-08-04T00:00:00"/>
    <s v="Pasto"/>
    <x v="0"/>
    <x v="1"/>
    <x v="1"/>
    <s v="Camisa Lino"/>
    <n v="6"/>
    <n v="55"/>
    <n v="25"/>
    <n v="2"/>
    <n v="3"/>
    <n v="300"/>
    <n v="330"/>
    <n v="150"/>
    <n v="180"/>
    <n v="0.54545454545454541"/>
    <x v="0"/>
  </r>
  <r>
    <x v="10"/>
    <d v="2026-08-04T00:00:00"/>
    <s v="Bogota"/>
    <x v="1"/>
    <x v="0"/>
    <x v="2"/>
    <s v="Juego Comedor"/>
    <n v="1"/>
    <n v="450"/>
    <n v="290"/>
    <n v="4"/>
    <n v="3"/>
    <n v="400"/>
    <n v="450"/>
    <n v="290"/>
    <n v="160"/>
    <n v="0.35555555555555557"/>
    <x v="1"/>
  </r>
  <r>
    <x v="11"/>
    <d v="2026-08-04T00:00:00"/>
    <s v="Cali"/>
    <x v="2"/>
    <x v="1"/>
    <x v="3"/>
    <s v="Sandalias"/>
    <n v="10"/>
    <n v="35"/>
    <n v="15"/>
    <n v="4"/>
    <n v="3"/>
    <n v="300"/>
    <n v="350"/>
    <n v="150"/>
    <n v="200"/>
    <n v="0.5714285714285714"/>
    <x v="1"/>
  </r>
  <r>
    <x v="12"/>
    <d v="2026-08-05T00:00:00"/>
    <s v="Pasto"/>
    <x v="0"/>
    <x v="0"/>
    <x v="0"/>
    <s v="Tablet 10"/>
    <n v="4"/>
    <n v="220"/>
    <n v="140"/>
    <n v="2"/>
    <n v="3"/>
    <n v="800"/>
    <n v="880"/>
    <n v="560"/>
    <n v="320"/>
    <n v="0.36363636363636365"/>
    <x v="0"/>
  </r>
  <r>
    <x v="13"/>
    <d v="2026-08-05T00:00:00"/>
    <s v="Bogota"/>
    <x v="1"/>
    <x v="0"/>
    <x v="1"/>
    <s v="Saco Lana"/>
    <n v="5"/>
    <n v="65"/>
    <n v="30"/>
    <n v="2"/>
    <n v="3"/>
    <n v="300"/>
    <n v="325"/>
    <n v="150"/>
    <n v="175"/>
    <n v="0.53846153846153844"/>
    <x v="0"/>
  </r>
  <r>
    <x v="14"/>
    <d v="2026-08-05T00:00:00"/>
    <s v="Cali"/>
    <x v="2"/>
    <x v="0"/>
    <x v="2"/>
    <s v="Escritorio Pro"/>
    <n v="2"/>
    <n v="180"/>
    <n v="110"/>
    <n v="6"/>
    <n v="3"/>
    <n v="350"/>
    <n v="360"/>
    <n v="220"/>
    <n v="140"/>
    <n v="0.3888888888888889"/>
    <x v="1"/>
  </r>
  <r>
    <x v="15"/>
    <d v="2026-08-06T00:00:00"/>
    <s v="Pasto"/>
    <x v="0"/>
    <x v="1"/>
    <x v="3"/>
    <s v="Tenis Urbano"/>
    <n v="6"/>
    <n v="85"/>
    <n v="45"/>
    <n v="1"/>
    <n v="2"/>
    <n v="500"/>
    <n v="510"/>
    <n v="270"/>
    <n v="240"/>
    <n v="0.47058823529411764"/>
    <x v="0"/>
  </r>
  <r>
    <x v="16"/>
    <d v="2026-08-06T00:00:00"/>
    <s v="Bogota"/>
    <x v="1"/>
    <x v="0"/>
    <x v="0"/>
    <s v="Audifonos BT"/>
    <n v="12"/>
    <n v="75"/>
    <n v="35"/>
    <n v="1"/>
    <n v="2"/>
    <n v="800"/>
    <n v="900"/>
    <n v="420"/>
    <n v="480"/>
    <n v="0.53333333333333333"/>
    <x v="0"/>
  </r>
  <r>
    <x v="17"/>
    <d v="2026-08-06T00:00:00"/>
    <s v="Cali"/>
    <x v="2"/>
    <x v="1"/>
    <x v="1"/>
    <s v="Vestido Formal"/>
    <n v="4"/>
    <n v="110"/>
    <n v="55"/>
    <n v="5"/>
    <n v="3"/>
    <n v="400"/>
    <n v="440"/>
    <n v="220"/>
    <n v="220"/>
    <n v="0.5"/>
    <x v="1"/>
  </r>
  <r>
    <x v="18"/>
    <d v="2026-08-07T00:00:00"/>
    <s v="Pasto"/>
    <x v="0"/>
    <x v="0"/>
    <x v="2"/>
    <s v="Lámpara LED"/>
    <n v="15"/>
    <n v="25"/>
    <n v="10"/>
    <n v="2"/>
    <n v="3"/>
    <n v="300"/>
    <n v="375"/>
    <n v="150"/>
    <n v="225"/>
    <n v="0.6"/>
    <x v="0"/>
  </r>
  <r>
    <x v="19"/>
    <d v="2026-08-07T00:00:00"/>
    <s v="Bogota"/>
    <x v="1"/>
    <x v="1"/>
    <x v="3"/>
    <s v="Zapatos Formales"/>
    <n v="5"/>
    <n v="130"/>
    <n v="70"/>
    <n v="3"/>
    <n v="3"/>
    <n v="600"/>
    <n v="650"/>
    <n v="350"/>
    <n v="300"/>
    <n v="0.46153846153846156"/>
    <x v="0"/>
  </r>
  <r>
    <x v="20"/>
    <d v="2026-08-07T00:00:00"/>
    <s v="Cali"/>
    <x v="2"/>
    <x v="0"/>
    <x v="0"/>
    <s v="Consola Videojuegos"/>
    <n v="2"/>
    <n v="500"/>
    <n v="380"/>
    <n v="6"/>
    <n v="4"/>
    <n v="900"/>
    <n v="1000"/>
    <n v="760"/>
    <n v="240"/>
    <n v="0.24"/>
    <x v="1"/>
  </r>
  <r>
    <x v="21"/>
    <d v="2026-08-08T00:00:00"/>
    <s v="Pasto"/>
    <x v="0"/>
    <x v="0"/>
    <x v="1"/>
    <s v="Chaqueta Impermeable"/>
    <n v="3"/>
    <n v="95"/>
    <n v="45"/>
    <n v="2"/>
    <n v="3"/>
    <n v="300"/>
    <n v="285"/>
    <n v="135"/>
    <n v="150"/>
    <n v="0.52631578947368418"/>
    <x v="0"/>
  </r>
  <r>
    <x v="22"/>
    <d v="2026-08-08T00:00:00"/>
    <s v="Bogota"/>
    <x v="1"/>
    <x v="0"/>
    <x v="2"/>
    <s v="Silla Ergonomica"/>
    <n v="4"/>
    <n v="160"/>
    <n v="95"/>
    <n v="2"/>
    <n v="3"/>
    <n v="600"/>
    <n v="640"/>
    <n v="380"/>
    <n v="260"/>
    <n v="0.40625"/>
    <x v="0"/>
  </r>
  <r>
    <x v="23"/>
    <d v="2026-08-08T00:00:00"/>
    <s v="Cali"/>
    <x v="2"/>
    <x v="1"/>
    <x v="3"/>
    <s v="Tenis Deportivo"/>
    <n v="7"/>
    <n v="90"/>
    <n v="45"/>
    <n v="4"/>
    <n v="3"/>
    <n v="600"/>
    <n v="630"/>
    <n v="315"/>
    <n v="315"/>
    <n v="0.5"/>
    <x v="1"/>
  </r>
  <r>
    <x v="24"/>
    <d v="2026-08-09T00:00:00"/>
    <s v="Pasto"/>
    <x v="0"/>
    <x v="1"/>
    <x v="0"/>
    <s v="Monitor 27"/>
    <n v="3"/>
    <n v="310"/>
    <n v="210"/>
    <n v="2"/>
    <n v="3"/>
    <n v="900"/>
    <n v="930"/>
    <n v="630"/>
    <n v="300"/>
    <n v="0.32258064516129031"/>
    <x v="0"/>
  </r>
  <r>
    <x v="25"/>
    <d v="2026-08-09T00:00:00"/>
    <s v="Bogota"/>
    <x v="1"/>
    <x v="0"/>
    <x v="1"/>
    <s v="Buzo Hooded"/>
    <n v="8"/>
    <n v="50"/>
    <n v="22"/>
    <n v="2"/>
    <n v="3"/>
    <n v="400"/>
    <n v="400"/>
    <n v="176"/>
    <n v="224"/>
    <n v="0.56000000000000005"/>
    <x v="0"/>
  </r>
  <r>
    <x v="26"/>
    <d v="2026-08-09T00:00:00"/>
    <s v="Cali"/>
    <x v="2"/>
    <x v="0"/>
    <x v="2"/>
    <s v="Cama King"/>
    <n v="1"/>
    <n v="750"/>
    <n v="480"/>
    <n v="8"/>
    <n v="4"/>
    <n v="700"/>
    <n v="750"/>
    <n v="480"/>
    <n v="270"/>
    <n v="0.36"/>
    <x v="1"/>
  </r>
  <r>
    <x v="27"/>
    <d v="2026-08-10T00:00:00"/>
    <s v="Pasto"/>
    <x v="0"/>
    <x v="0"/>
    <x v="3"/>
    <s v="Botines Cuero"/>
    <n v="4"/>
    <n v="140"/>
    <n v="75"/>
    <n v="3"/>
    <n v="3"/>
    <n v="500"/>
    <n v="560"/>
    <n v="300"/>
    <n v="260"/>
    <n v="0.4642857142857143"/>
    <x v="0"/>
  </r>
  <r>
    <x v="28"/>
    <d v="2026-08-10T00:00:00"/>
    <s v="Bogota"/>
    <x v="1"/>
    <x v="1"/>
    <x v="0"/>
    <s v="Teclado Mecanico"/>
    <n v="6"/>
    <n v="90"/>
    <n v="50"/>
    <n v="1"/>
    <n v="2"/>
    <n v="500"/>
    <n v="540"/>
    <n v="300"/>
    <n v="240"/>
    <n v="0.44444444444444442"/>
    <x v="0"/>
  </r>
  <r>
    <x v="29"/>
    <d v="2026-08-10T00:00:00"/>
    <s v="Cali"/>
    <x v="2"/>
    <x v="0"/>
    <x v="1"/>
    <s v="Pantalón Cargo"/>
    <n v="6"/>
    <n v="60"/>
    <n v="28"/>
    <n v="5"/>
    <n v="3"/>
    <n v="350"/>
    <n v="360"/>
    <n v="168"/>
    <n v="192"/>
    <n v="0.53333333333333333"/>
    <x v="1"/>
  </r>
  <r>
    <x v="0"/>
    <d v="2026-08-01T00:00:00"/>
    <s v="Pasto"/>
    <x v="0"/>
    <x v="0"/>
    <x v="0"/>
    <s v="Laptop Pro 15"/>
    <n v="2"/>
    <n v="850"/>
    <n v="600"/>
    <n v="2"/>
    <n v="3"/>
    <n v="1500"/>
    <n v="1700"/>
    <n v="1200"/>
    <n v="500"/>
    <n v="0.29411764705882354"/>
    <x v="0"/>
  </r>
  <r>
    <x v="1"/>
    <d v="2026-08-01T00:00:00"/>
    <s v="Bogota"/>
    <x v="1"/>
    <x v="1"/>
    <x v="1"/>
    <s v="Chaqueta Cuero"/>
    <n v="5"/>
    <n v="120"/>
    <n v="70"/>
    <n v="3"/>
    <n v="3"/>
    <n v="500"/>
    <n v="600"/>
    <n v="350"/>
    <n v="250"/>
    <n v="0.41666666666666669"/>
    <x v="0"/>
  </r>
  <r>
    <x v="2"/>
    <d v="2026-08-01T00:00:00"/>
    <s v="Cali"/>
    <x v="2"/>
    <x v="0"/>
    <x v="2"/>
    <s v="Cafetera Express"/>
    <n v="3"/>
    <n v="90"/>
    <n v="50"/>
    <n v="6"/>
    <n v="4"/>
    <n v="300"/>
    <n v="270"/>
    <n v="150"/>
    <n v="120"/>
    <n v="0.44444444444444442"/>
    <x v="1"/>
  </r>
  <r>
    <x v="3"/>
    <d v="2026-08-02T00:00:00"/>
    <s v="Pasto"/>
    <x v="0"/>
    <x v="1"/>
    <x v="3"/>
    <s v="Tenis Running"/>
    <n v="4"/>
    <n v="110"/>
    <n v="60"/>
    <n v="1"/>
    <n v="2"/>
    <n v="400"/>
    <n v="440"/>
    <n v="240"/>
    <n v="200"/>
    <n v="0.45454545454545453"/>
    <x v="0"/>
  </r>
  <r>
    <x v="4"/>
    <d v="2026-08-02T00:00:00"/>
    <s v="Bogota"/>
    <x v="1"/>
    <x v="0"/>
    <x v="0"/>
    <s v="Smartphone X"/>
    <n v="3"/>
    <n v="650"/>
    <n v="450"/>
    <n v="2"/>
    <n v="3"/>
    <n v="1800"/>
    <n v="1950"/>
    <n v="1350"/>
    <n v="600"/>
    <n v="0.30769230769230771"/>
    <x v="0"/>
  </r>
  <r>
    <x v="5"/>
    <d v="2026-08-02T00:00:00"/>
    <s v="Cali"/>
    <x v="2"/>
    <x v="0"/>
    <x v="1"/>
    <s v="Jean Slim Fit"/>
    <n v="8"/>
    <n v="45"/>
    <n v="20"/>
    <n v="5"/>
    <n v="3"/>
    <n v="400"/>
    <n v="360"/>
    <n v="160"/>
    <n v="200"/>
    <n v="0.55555555555555558"/>
    <x v="1"/>
  </r>
  <r>
    <x v="6"/>
    <d v="2026-08-03T00:00:00"/>
    <s v="Pasto"/>
    <x v="0"/>
    <x v="0"/>
    <x v="2"/>
    <s v="Aspiradora Robot"/>
    <n v="2"/>
    <n v="280"/>
    <n v="180"/>
    <n v="3"/>
    <n v="3"/>
    <n v="500"/>
    <n v="560"/>
    <n v="360"/>
    <n v="200"/>
    <n v="0.35714285714285715"/>
    <x v="0"/>
  </r>
  <r>
    <x v="7"/>
    <d v="2026-08-03T00:00:00"/>
    <s v="Bogota"/>
    <x v="1"/>
    <x v="1"/>
    <x v="3"/>
    <s v="Botas Moto"/>
    <n v="3"/>
    <n v="150"/>
    <n v="85"/>
    <n v="2"/>
    <n v="2"/>
    <n v="400"/>
    <n v="450"/>
    <n v="255"/>
    <n v="195"/>
    <n v="0.43333333333333335"/>
    <x v="0"/>
  </r>
  <r>
    <x v="8"/>
    <d v="2026-08-03T00:00:00"/>
    <s v="Cali"/>
    <x v="2"/>
    <x v="0"/>
    <x v="0"/>
    <s v="Smart TV 55"/>
    <n v="2"/>
    <n v="520"/>
    <n v="380"/>
    <n v="7"/>
    <n v="4"/>
    <n v="1000"/>
    <n v="1040"/>
    <n v="760"/>
    <n v="280"/>
    <n v="0.26923076923076922"/>
    <x v="1"/>
  </r>
  <r>
    <x v="9"/>
    <d v="2026-08-04T00:00:00"/>
    <s v="Pasto"/>
    <x v="0"/>
    <x v="1"/>
    <x v="1"/>
    <s v="Camisa Lino"/>
    <n v="6"/>
    <n v="55"/>
    <n v="25"/>
    <n v="2"/>
    <n v="3"/>
    <n v="300"/>
    <n v="330"/>
    <n v="150"/>
    <n v="180"/>
    <n v="0.54545454545454541"/>
    <x v="0"/>
  </r>
  <r>
    <x v="10"/>
    <d v="2026-08-04T00:00:00"/>
    <s v="Bogota"/>
    <x v="1"/>
    <x v="0"/>
    <x v="2"/>
    <s v="Juego Comedor"/>
    <n v="1"/>
    <n v="450"/>
    <n v="290"/>
    <n v="4"/>
    <n v="3"/>
    <n v="400"/>
    <n v="450"/>
    <n v="290"/>
    <n v="160"/>
    <n v="0.35555555555555557"/>
    <x v="1"/>
  </r>
  <r>
    <x v="11"/>
    <d v="2026-08-04T00:00:00"/>
    <s v="Cali"/>
    <x v="2"/>
    <x v="1"/>
    <x v="3"/>
    <s v="Sandalias"/>
    <n v="10"/>
    <n v="35"/>
    <n v="15"/>
    <n v="4"/>
    <n v="3"/>
    <n v="300"/>
    <n v="350"/>
    <n v="150"/>
    <n v="200"/>
    <n v="0.5714285714285714"/>
    <x v="1"/>
  </r>
  <r>
    <x v="12"/>
    <d v="2026-08-05T00:00:00"/>
    <s v="Pasto"/>
    <x v="0"/>
    <x v="0"/>
    <x v="0"/>
    <s v="Tablet 10"/>
    <n v="4"/>
    <n v="220"/>
    <n v="140"/>
    <n v="2"/>
    <n v="3"/>
    <n v="800"/>
    <n v="880"/>
    <n v="560"/>
    <n v="320"/>
    <n v="0.36363636363636365"/>
    <x v="0"/>
  </r>
  <r>
    <x v="13"/>
    <d v="2026-08-05T00:00:00"/>
    <s v="Bogota"/>
    <x v="1"/>
    <x v="0"/>
    <x v="1"/>
    <s v="Saco Lana"/>
    <n v="5"/>
    <n v="65"/>
    <n v="30"/>
    <n v="2"/>
    <n v="3"/>
    <n v="300"/>
    <n v="325"/>
    <n v="150"/>
    <n v="175"/>
    <n v="0.53846153846153844"/>
    <x v="0"/>
  </r>
  <r>
    <x v="14"/>
    <d v="2026-08-05T00:00:00"/>
    <s v="Cali"/>
    <x v="2"/>
    <x v="0"/>
    <x v="2"/>
    <s v="Escritorio Pro"/>
    <n v="2"/>
    <n v="180"/>
    <n v="110"/>
    <n v="6"/>
    <n v="3"/>
    <n v="350"/>
    <n v="360"/>
    <n v="220"/>
    <n v="140"/>
    <n v="0.3888888888888889"/>
    <x v="1"/>
  </r>
  <r>
    <x v="15"/>
    <d v="2026-08-06T00:00:00"/>
    <s v="Pasto"/>
    <x v="0"/>
    <x v="1"/>
    <x v="3"/>
    <s v="Tenis Urbano"/>
    <n v="6"/>
    <n v="85"/>
    <n v="45"/>
    <n v="1"/>
    <n v="2"/>
    <n v="500"/>
    <n v="510"/>
    <n v="270"/>
    <n v="240"/>
    <n v="0.47058823529411764"/>
    <x v="0"/>
  </r>
  <r>
    <x v="16"/>
    <d v="2026-08-06T00:00:00"/>
    <s v="Bogota"/>
    <x v="1"/>
    <x v="0"/>
    <x v="0"/>
    <s v="Audifonos BT"/>
    <n v="12"/>
    <n v="75"/>
    <n v="35"/>
    <n v="1"/>
    <n v="2"/>
    <n v="800"/>
    <n v="900"/>
    <n v="420"/>
    <n v="480"/>
    <n v="0.53333333333333333"/>
    <x v="0"/>
  </r>
  <r>
    <x v="17"/>
    <d v="2026-08-06T00:00:00"/>
    <s v="Cali"/>
    <x v="2"/>
    <x v="1"/>
    <x v="1"/>
    <s v="Vestido Formal"/>
    <n v="4"/>
    <n v="110"/>
    <n v="55"/>
    <n v="5"/>
    <n v="3"/>
    <n v="400"/>
    <n v="440"/>
    <n v="220"/>
    <n v="220"/>
    <n v="0.5"/>
    <x v="1"/>
  </r>
  <r>
    <x v="18"/>
    <d v="2026-08-07T00:00:00"/>
    <s v="Pasto"/>
    <x v="0"/>
    <x v="0"/>
    <x v="2"/>
    <s v="Lámpara LED"/>
    <n v="15"/>
    <n v="25"/>
    <n v="10"/>
    <n v="2"/>
    <n v="3"/>
    <n v="300"/>
    <n v="375"/>
    <n v="150"/>
    <n v="225"/>
    <n v="0.6"/>
    <x v="0"/>
  </r>
  <r>
    <x v="19"/>
    <d v="2026-08-07T00:00:00"/>
    <s v="Bogota"/>
    <x v="1"/>
    <x v="1"/>
    <x v="3"/>
    <s v="Zapatos Formales"/>
    <n v="5"/>
    <n v="130"/>
    <n v="70"/>
    <n v="3"/>
    <n v="3"/>
    <n v="600"/>
    <n v="650"/>
    <n v="350"/>
    <n v="300"/>
    <n v="0.46153846153846156"/>
    <x v="0"/>
  </r>
  <r>
    <x v="20"/>
    <d v="2026-08-07T00:00:00"/>
    <s v="Cali"/>
    <x v="2"/>
    <x v="0"/>
    <x v="0"/>
    <s v="Consola Videojuegos"/>
    <n v="2"/>
    <n v="500"/>
    <n v="380"/>
    <n v="6"/>
    <n v="4"/>
    <n v="900"/>
    <n v="1000"/>
    <n v="760"/>
    <n v="240"/>
    <n v="0.24"/>
    <x v="1"/>
  </r>
  <r>
    <x v="21"/>
    <d v="2026-08-08T00:00:00"/>
    <s v="Pasto"/>
    <x v="0"/>
    <x v="0"/>
    <x v="1"/>
    <s v="Chaqueta Impermeable"/>
    <n v="3"/>
    <n v="95"/>
    <n v="45"/>
    <n v="2"/>
    <n v="3"/>
    <n v="300"/>
    <n v="285"/>
    <n v="135"/>
    <n v="150"/>
    <n v="0.52631578947368418"/>
    <x v="0"/>
  </r>
  <r>
    <x v="22"/>
    <d v="2026-08-08T00:00:00"/>
    <s v="Bogota"/>
    <x v="1"/>
    <x v="0"/>
    <x v="2"/>
    <s v="Silla Ergonomica"/>
    <n v="4"/>
    <n v="160"/>
    <n v="95"/>
    <n v="2"/>
    <n v="3"/>
    <n v="600"/>
    <n v="640"/>
    <n v="380"/>
    <n v="260"/>
    <n v="0.40625"/>
    <x v="0"/>
  </r>
  <r>
    <x v="23"/>
    <d v="2026-08-08T00:00:00"/>
    <s v="Cali"/>
    <x v="2"/>
    <x v="1"/>
    <x v="3"/>
    <s v="Tenis Deportivo"/>
    <n v="7"/>
    <n v="90"/>
    <n v="45"/>
    <n v="4"/>
    <n v="3"/>
    <n v="600"/>
    <n v="630"/>
    <n v="315"/>
    <n v="315"/>
    <n v="0.5"/>
    <x v="1"/>
  </r>
  <r>
    <x v="24"/>
    <d v="2026-08-09T00:00:00"/>
    <s v="Pasto"/>
    <x v="0"/>
    <x v="1"/>
    <x v="0"/>
    <s v="Monitor 27"/>
    <n v="3"/>
    <n v="310"/>
    <n v="210"/>
    <n v="2"/>
    <n v="3"/>
    <n v="900"/>
    <n v="930"/>
    <n v="630"/>
    <n v="300"/>
    <n v="0.32258064516129031"/>
    <x v="0"/>
  </r>
  <r>
    <x v="25"/>
    <d v="2026-08-09T00:00:00"/>
    <s v="Bogota"/>
    <x v="1"/>
    <x v="0"/>
    <x v="1"/>
    <s v="Buzo Hooded"/>
    <n v="8"/>
    <n v="50"/>
    <n v="22"/>
    <n v="2"/>
    <n v="3"/>
    <n v="400"/>
    <n v="400"/>
    <n v="176"/>
    <n v="224"/>
    <n v="0.56000000000000005"/>
    <x v="0"/>
  </r>
  <r>
    <x v="26"/>
    <d v="2026-08-09T00:00:00"/>
    <s v="Cali"/>
    <x v="2"/>
    <x v="0"/>
    <x v="2"/>
    <s v="Cama King"/>
    <n v="1"/>
    <n v="750"/>
    <n v="480"/>
    <n v="8"/>
    <n v="4"/>
    <n v="700"/>
    <n v="750"/>
    <n v="480"/>
    <n v="270"/>
    <n v="0.36"/>
    <x v="1"/>
  </r>
  <r>
    <x v="27"/>
    <d v="2026-08-10T00:00:00"/>
    <s v="Pasto"/>
    <x v="0"/>
    <x v="0"/>
    <x v="3"/>
    <s v="Botines Cuero"/>
    <n v="4"/>
    <n v="140"/>
    <n v="75"/>
    <n v="3"/>
    <n v="3"/>
    <n v="500"/>
    <n v="560"/>
    <n v="300"/>
    <n v="260"/>
    <n v="0.4642857142857143"/>
    <x v="0"/>
  </r>
  <r>
    <x v="28"/>
    <d v="2026-08-10T00:00:00"/>
    <s v="Bogota"/>
    <x v="1"/>
    <x v="1"/>
    <x v="0"/>
    <s v="Teclado Mecanico"/>
    <n v="6"/>
    <n v="90"/>
    <n v="50"/>
    <n v="1"/>
    <n v="2"/>
    <n v="500"/>
    <n v="540"/>
    <n v="300"/>
    <n v="240"/>
    <n v="0.44444444444444442"/>
    <x v="0"/>
  </r>
  <r>
    <x v="29"/>
    <d v="2026-08-10T00:00:00"/>
    <s v="Cali"/>
    <x v="2"/>
    <x v="0"/>
    <x v="1"/>
    <s v="Pantalón Cargo"/>
    <n v="6"/>
    <n v="60"/>
    <n v="28"/>
    <n v="5"/>
    <n v="3"/>
    <n v="350"/>
    <n v="360"/>
    <n v="168"/>
    <n v="192"/>
    <n v="0.53333333333333333"/>
    <x v="1"/>
  </r>
  <r>
    <x v="0"/>
    <d v="2026-08-01T00:00:00"/>
    <s v="Pasto"/>
    <x v="0"/>
    <x v="0"/>
    <x v="0"/>
    <s v="Laptop Pro 15"/>
    <n v="2"/>
    <n v="850"/>
    <n v="600"/>
    <n v="2"/>
    <n v="3"/>
    <n v="1500"/>
    <n v="1700"/>
    <n v="1200"/>
    <n v="500"/>
    <n v="0.29411764705882354"/>
    <x v="0"/>
  </r>
  <r>
    <x v="1"/>
    <d v="2026-08-01T00:00:00"/>
    <s v="Bogota"/>
    <x v="1"/>
    <x v="1"/>
    <x v="1"/>
    <s v="Chaqueta Cuero"/>
    <n v="5"/>
    <n v="120"/>
    <n v="70"/>
    <n v="3"/>
    <n v="3"/>
    <n v="500"/>
    <n v="600"/>
    <n v="350"/>
    <n v="250"/>
    <n v="0.41666666666666669"/>
    <x v="0"/>
  </r>
  <r>
    <x v="2"/>
    <d v="2026-08-01T00:00:00"/>
    <s v="Cali"/>
    <x v="2"/>
    <x v="0"/>
    <x v="2"/>
    <s v="Cafetera Express"/>
    <n v="3"/>
    <n v="90"/>
    <n v="50"/>
    <n v="6"/>
    <n v="4"/>
    <n v="300"/>
    <n v="270"/>
    <n v="150"/>
    <n v="120"/>
    <n v="0.44444444444444442"/>
    <x v="1"/>
  </r>
  <r>
    <x v="3"/>
    <d v="2026-08-02T00:00:00"/>
    <s v="Pasto"/>
    <x v="0"/>
    <x v="1"/>
    <x v="3"/>
    <s v="Tenis Running"/>
    <n v="4"/>
    <n v="110"/>
    <n v="60"/>
    <n v="1"/>
    <n v="2"/>
    <n v="400"/>
    <n v="440"/>
    <n v="240"/>
    <n v="200"/>
    <n v="0.45454545454545453"/>
    <x v="0"/>
  </r>
  <r>
    <x v="4"/>
    <d v="2026-08-02T00:00:00"/>
    <s v="Bogota"/>
    <x v="1"/>
    <x v="0"/>
    <x v="0"/>
    <s v="Smartphone X"/>
    <n v="3"/>
    <n v="650"/>
    <n v="450"/>
    <n v="2"/>
    <n v="3"/>
    <n v="1800"/>
    <n v="1950"/>
    <n v="1350"/>
    <n v="600"/>
    <n v="0.30769230769230771"/>
    <x v="0"/>
  </r>
  <r>
    <x v="5"/>
    <d v="2026-08-02T00:00:00"/>
    <s v="Cali"/>
    <x v="2"/>
    <x v="0"/>
    <x v="1"/>
    <s v="Jean Slim Fit"/>
    <n v="8"/>
    <n v="45"/>
    <n v="20"/>
    <n v="5"/>
    <n v="3"/>
    <n v="400"/>
    <n v="360"/>
    <n v="160"/>
    <n v="200"/>
    <n v="0.55555555555555558"/>
    <x v="1"/>
  </r>
  <r>
    <x v="6"/>
    <d v="2026-08-03T00:00:00"/>
    <s v="Pasto"/>
    <x v="0"/>
    <x v="0"/>
    <x v="2"/>
    <s v="Aspiradora Robot"/>
    <n v="2"/>
    <n v="280"/>
    <n v="180"/>
    <n v="3"/>
    <n v="3"/>
    <n v="500"/>
    <n v="560"/>
    <n v="360"/>
    <n v="200"/>
    <n v="0.35714285714285715"/>
    <x v="0"/>
  </r>
  <r>
    <x v="7"/>
    <d v="2026-08-03T00:00:00"/>
    <s v="Bogota"/>
    <x v="1"/>
    <x v="1"/>
    <x v="3"/>
    <s v="Botas Moto"/>
    <n v="3"/>
    <n v="150"/>
    <n v="85"/>
    <n v="2"/>
    <n v="2"/>
    <n v="400"/>
    <n v="450"/>
    <n v="255"/>
    <n v="195"/>
    <n v="0.43333333333333335"/>
    <x v="0"/>
  </r>
  <r>
    <x v="8"/>
    <d v="2026-08-03T00:00:00"/>
    <s v="Cali"/>
    <x v="2"/>
    <x v="0"/>
    <x v="0"/>
    <s v="Smart TV 55"/>
    <n v="2"/>
    <n v="520"/>
    <n v="380"/>
    <n v="7"/>
    <n v="4"/>
    <n v="1000"/>
    <n v="1040"/>
    <n v="760"/>
    <n v="280"/>
    <n v="0.26923076923076922"/>
    <x v="1"/>
  </r>
  <r>
    <x v="9"/>
    <d v="2026-08-04T00:00:00"/>
    <s v="Pasto"/>
    <x v="0"/>
    <x v="1"/>
    <x v="1"/>
    <s v="Camisa Lino"/>
    <n v="6"/>
    <n v="55"/>
    <n v="25"/>
    <n v="2"/>
    <n v="3"/>
    <n v="300"/>
    <n v="330"/>
    <n v="150"/>
    <n v="180"/>
    <n v="0.54545454545454541"/>
    <x v="0"/>
  </r>
  <r>
    <x v="10"/>
    <d v="2026-08-04T00:00:00"/>
    <s v="Bogota"/>
    <x v="1"/>
    <x v="0"/>
    <x v="2"/>
    <s v="Juego Comedor"/>
    <n v="1"/>
    <n v="450"/>
    <n v="290"/>
    <n v="4"/>
    <n v="3"/>
    <n v="400"/>
    <n v="450"/>
    <n v="290"/>
    <n v="160"/>
    <n v="0.35555555555555557"/>
    <x v="1"/>
  </r>
  <r>
    <x v="11"/>
    <d v="2026-08-04T00:00:00"/>
    <s v="Cali"/>
    <x v="2"/>
    <x v="1"/>
    <x v="3"/>
    <s v="Sandalias"/>
    <n v="10"/>
    <n v="35"/>
    <n v="15"/>
    <n v="4"/>
    <n v="3"/>
    <n v="300"/>
    <n v="350"/>
    <n v="150"/>
    <n v="200"/>
    <n v="0.5714285714285714"/>
    <x v="1"/>
  </r>
  <r>
    <x v="12"/>
    <d v="2026-08-05T00:00:00"/>
    <s v="Pasto"/>
    <x v="0"/>
    <x v="0"/>
    <x v="0"/>
    <s v="Tablet 10"/>
    <n v="4"/>
    <n v="220"/>
    <n v="140"/>
    <n v="2"/>
    <n v="3"/>
    <n v="800"/>
    <n v="880"/>
    <n v="560"/>
    <n v="320"/>
    <n v="0.36363636363636365"/>
    <x v="0"/>
  </r>
  <r>
    <x v="13"/>
    <d v="2026-08-05T00:00:00"/>
    <s v="Bogota"/>
    <x v="1"/>
    <x v="0"/>
    <x v="1"/>
    <s v="Saco Lana"/>
    <n v="5"/>
    <n v="65"/>
    <n v="30"/>
    <n v="2"/>
    <n v="3"/>
    <n v="300"/>
    <n v="325"/>
    <n v="150"/>
    <n v="175"/>
    <n v="0.53846153846153844"/>
    <x v="0"/>
  </r>
  <r>
    <x v="14"/>
    <d v="2026-08-05T00:00:00"/>
    <s v="Cali"/>
    <x v="2"/>
    <x v="0"/>
    <x v="2"/>
    <s v="Escritorio Pro"/>
    <n v="2"/>
    <n v="180"/>
    <n v="110"/>
    <n v="6"/>
    <n v="3"/>
    <n v="350"/>
    <n v="360"/>
    <n v="220"/>
    <n v="140"/>
    <n v="0.3888888888888889"/>
    <x v="1"/>
  </r>
  <r>
    <x v="15"/>
    <d v="2026-08-06T00:00:00"/>
    <s v="Pasto"/>
    <x v="0"/>
    <x v="1"/>
    <x v="3"/>
    <s v="Tenis Urbano"/>
    <n v="6"/>
    <n v="85"/>
    <n v="45"/>
    <n v="1"/>
    <n v="2"/>
    <n v="500"/>
    <n v="510"/>
    <n v="270"/>
    <n v="240"/>
    <n v="0.47058823529411764"/>
    <x v="0"/>
  </r>
  <r>
    <x v="16"/>
    <d v="2026-08-06T00:00:00"/>
    <s v="Bogota"/>
    <x v="1"/>
    <x v="0"/>
    <x v="0"/>
    <s v="Audifonos BT"/>
    <n v="12"/>
    <n v="75"/>
    <n v="35"/>
    <n v="1"/>
    <n v="2"/>
    <n v="800"/>
    <n v="900"/>
    <n v="420"/>
    <n v="480"/>
    <n v="0.53333333333333333"/>
    <x v="0"/>
  </r>
  <r>
    <x v="17"/>
    <d v="2026-08-06T00:00:00"/>
    <s v="Cali"/>
    <x v="2"/>
    <x v="1"/>
    <x v="1"/>
    <s v="Vestido Formal"/>
    <n v="4"/>
    <n v="110"/>
    <n v="55"/>
    <n v="5"/>
    <n v="3"/>
    <n v="400"/>
    <n v="440"/>
    <n v="220"/>
    <n v="220"/>
    <n v="0.5"/>
    <x v="1"/>
  </r>
  <r>
    <x v="18"/>
    <d v="2026-08-07T00:00:00"/>
    <s v="Pasto"/>
    <x v="0"/>
    <x v="0"/>
    <x v="2"/>
    <s v="Lámpara LED"/>
    <n v="15"/>
    <n v="25"/>
    <n v="10"/>
    <n v="2"/>
    <n v="3"/>
    <n v="300"/>
    <n v="375"/>
    <n v="150"/>
    <n v="225"/>
    <n v="0.6"/>
    <x v="0"/>
  </r>
  <r>
    <x v="19"/>
    <d v="2026-08-07T00:00:00"/>
    <s v="Bogota"/>
    <x v="1"/>
    <x v="1"/>
    <x v="3"/>
    <s v="Zapatos Formales"/>
    <n v="5"/>
    <n v="130"/>
    <n v="70"/>
    <n v="3"/>
    <n v="3"/>
    <n v="600"/>
    <n v="650"/>
    <n v="350"/>
    <n v="300"/>
    <n v="0.46153846153846156"/>
    <x v="0"/>
  </r>
  <r>
    <x v="20"/>
    <d v="2026-08-07T00:00:00"/>
    <s v="Cali"/>
    <x v="2"/>
    <x v="0"/>
    <x v="0"/>
    <s v="Consola Videojuegos"/>
    <n v="2"/>
    <n v="500"/>
    <n v="380"/>
    <n v="6"/>
    <n v="4"/>
    <n v="900"/>
    <n v="1000"/>
    <n v="760"/>
    <n v="240"/>
    <n v="0.24"/>
    <x v="1"/>
  </r>
  <r>
    <x v="21"/>
    <d v="2026-08-08T00:00:00"/>
    <s v="Pasto"/>
    <x v="0"/>
    <x v="0"/>
    <x v="1"/>
    <s v="Chaqueta Impermeable"/>
    <n v="3"/>
    <n v="95"/>
    <n v="45"/>
    <n v="2"/>
    <n v="3"/>
    <n v="300"/>
    <n v="285"/>
    <n v="135"/>
    <n v="150"/>
    <n v="0.52631578947368418"/>
    <x v="0"/>
  </r>
  <r>
    <x v="22"/>
    <d v="2026-08-08T00:00:00"/>
    <s v="Bogota"/>
    <x v="1"/>
    <x v="0"/>
    <x v="2"/>
    <s v="Silla Ergonomica"/>
    <n v="4"/>
    <n v="160"/>
    <n v="95"/>
    <n v="2"/>
    <n v="3"/>
    <n v="600"/>
    <n v="640"/>
    <n v="380"/>
    <n v="260"/>
    <n v="0.40625"/>
    <x v="0"/>
  </r>
  <r>
    <x v="23"/>
    <d v="2026-08-08T00:00:00"/>
    <s v="Cali"/>
    <x v="2"/>
    <x v="1"/>
    <x v="3"/>
    <s v="Tenis Deportivo"/>
    <n v="7"/>
    <n v="90"/>
    <n v="45"/>
    <n v="4"/>
    <n v="3"/>
    <n v="600"/>
    <n v="630"/>
    <n v="315"/>
    <n v="315"/>
    <n v="0.5"/>
    <x v="1"/>
  </r>
  <r>
    <x v="24"/>
    <d v="2026-08-09T00:00:00"/>
    <s v="Pasto"/>
    <x v="0"/>
    <x v="1"/>
    <x v="0"/>
    <s v="Monitor 27"/>
    <n v="3"/>
    <n v="310"/>
    <n v="210"/>
    <n v="2"/>
    <n v="3"/>
    <n v="900"/>
    <n v="930"/>
    <n v="630"/>
    <n v="300"/>
    <n v="0.32258064516129031"/>
    <x v="0"/>
  </r>
  <r>
    <x v="25"/>
    <d v="2026-08-09T00:00:00"/>
    <s v="Bogota"/>
    <x v="1"/>
    <x v="0"/>
    <x v="1"/>
    <s v="Buzo Hooded"/>
    <n v="8"/>
    <n v="50"/>
    <n v="22"/>
    <n v="2"/>
    <n v="3"/>
    <n v="400"/>
    <n v="400"/>
    <n v="176"/>
    <n v="224"/>
    <n v="0.56000000000000005"/>
    <x v="0"/>
  </r>
  <r>
    <x v="26"/>
    <d v="2026-08-09T00:00:00"/>
    <s v="Cali"/>
    <x v="2"/>
    <x v="0"/>
    <x v="2"/>
    <s v="Cama King"/>
    <n v="1"/>
    <n v="750"/>
    <n v="480"/>
    <n v="8"/>
    <n v="4"/>
    <n v="700"/>
    <n v="750"/>
    <n v="480"/>
    <n v="270"/>
    <n v="0.36"/>
    <x v="1"/>
  </r>
  <r>
    <x v="27"/>
    <d v="2026-08-10T00:00:00"/>
    <s v="Pasto"/>
    <x v="0"/>
    <x v="0"/>
    <x v="3"/>
    <s v="Botines Cuero"/>
    <n v="4"/>
    <n v="140"/>
    <n v="75"/>
    <n v="3"/>
    <n v="3"/>
    <n v="500"/>
    <n v="560"/>
    <n v="300"/>
    <n v="260"/>
    <n v="0.4642857142857143"/>
    <x v="0"/>
  </r>
  <r>
    <x v="28"/>
    <d v="2026-08-10T00:00:00"/>
    <s v="Bogota"/>
    <x v="1"/>
    <x v="1"/>
    <x v="0"/>
    <s v="Teclado Mecanico"/>
    <n v="6"/>
    <n v="90"/>
    <n v="50"/>
    <n v="1"/>
    <n v="2"/>
    <n v="500"/>
    <n v="540"/>
    <n v="300"/>
    <n v="240"/>
    <n v="0.44444444444444442"/>
    <x v="0"/>
  </r>
  <r>
    <x v="29"/>
    <d v="2026-08-10T00:00:00"/>
    <s v="Cali"/>
    <x v="2"/>
    <x v="0"/>
    <x v="1"/>
    <s v="Pantalón Cargo"/>
    <n v="6"/>
    <n v="60"/>
    <n v="28"/>
    <n v="5"/>
    <n v="3"/>
    <n v="350"/>
    <n v="360"/>
    <n v="168"/>
    <n v="192"/>
    <n v="0.53333333333333333"/>
    <x v="1"/>
  </r>
  <r>
    <x v="0"/>
    <d v="2026-08-01T00:00:00"/>
    <s v="Pasto"/>
    <x v="0"/>
    <x v="0"/>
    <x v="0"/>
    <s v="Laptop Pro 15"/>
    <n v="2"/>
    <n v="850"/>
    <n v="600"/>
    <n v="2"/>
    <n v="3"/>
    <n v="1500"/>
    <n v="1700"/>
    <n v="1200"/>
    <n v="500"/>
    <n v="0.29411764705882354"/>
    <x v="0"/>
  </r>
  <r>
    <x v="1"/>
    <d v="2026-08-01T00:00:00"/>
    <s v="Bogota"/>
    <x v="1"/>
    <x v="1"/>
    <x v="1"/>
    <s v="Chaqueta Cuero"/>
    <n v="5"/>
    <n v="120"/>
    <n v="70"/>
    <n v="3"/>
    <n v="3"/>
    <n v="500"/>
    <n v="600"/>
    <n v="350"/>
    <n v="250"/>
    <n v="0.41666666666666669"/>
    <x v="0"/>
  </r>
  <r>
    <x v="2"/>
    <d v="2026-08-01T00:00:00"/>
    <s v="Cali"/>
    <x v="2"/>
    <x v="0"/>
    <x v="2"/>
    <s v="Cafetera Express"/>
    <n v="3"/>
    <n v="90"/>
    <n v="50"/>
    <n v="6"/>
    <n v="4"/>
    <n v="300"/>
    <n v="270"/>
    <n v="150"/>
    <n v="120"/>
    <n v="0.44444444444444442"/>
    <x v="1"/>
  </r>
  <r>
    <x v="3"/>
    <d v="2026-08-02T00:00:00"/>
    <s v="Pasto"/>
    <x v="0"/>
    <x v="1"/>
    <x v="3"/>
    <s v="Tenis Running"/>
    <n v="4"/>
    <n v="110"/>
    <n v="60"/>
    <n v="1"/>
    <n v="2"/>
    <n v="400"/>
    <n v="440"/>
    <n v="240"/>
    <n v="200"/>
    <n v="0.45454545454545453"/>
    <x v="0"/>
  </r>
  <r>
    <x v="4"/>
    <d v="2026-08-02T00:00:00"/>
    <s v="Bogota"/>
    <x v="1"/>
    <x v="0"/>
    <x v="0"/>
    <s v="Smartphone X"/>
    <n v="3"/>
    <n v="650"/>
    <n v="450"/>
    <n v="2"/>
    <n v="3"/>
    <n v="1800"/>
    <n v="1950"/>
    <n v="1350"/>
    <n v="600"/>
    <n v="0.30769230769230771"/>
    <x v="0"/>
  </r>
  <r>
    <x v="5"/>
    <d v="2026-08-02T00:00:00"/>
    <s v="Cali"/>
    <x v="2"/>
    <x v="0"/>
    <x v="1"/>
    <s v="Jean Slim Fit"/>
    <n v="8"/>
    <n v="45"/>
    <n v="20"/>
    <n v="5"/>
    <n v="3"/>
    <n v="400"/>
    <n v="360"/>
    <n v="160"/>
    <n v="200"/>
    <n v="0.55555555555555558"/>
    <x v="1"/>
  </r>
  <r>
    <x v="6"/>
    <d v="2026-08-03T00:00:00"/>
    <s v="Pasto"/>
    <x v="0"/>
    <x v="0"/>
    <x v="2"/>
    <s v="Aspiradora Robot"/>
    <n v="2"/>
    <n v="280"/>
    <n v="180"/>
    <n v="3"/>
    <n v="3"/>
    <n v="500"/>
    <n v="560"/>
    <n v="360"/>
    <n v="200"/>
    <n v="0.35714285714285715"/>
    <x v="0"/>
  </r>
  <r>
    <x v="7"/>
    <d v="2026-08-03T00:00:00"/>
    <s v="Bogota"/>
    <x v="1"/>
    <x v="1"/>
    <x v="3"/>
    <s v="Botas Moto"/>
    <n v="3"/>
    <n v="150"/>
    <n v="85"/>
    <n v="2"/>
    <n v="2"/>
    <n v="400"/>
    <n v="450"/>
    <n v="255"/>
    <n v="195"/>
    <n v="0.43333333333333335"/>
    <x v="0"/>
  </r>
  <r>
    <x v="8"/>
    <d v="2026-08-03T00:00:00"/>
    <s v="Cali"/>
    <x v="2"/>
    <x v="0"/>
    <x v="0"/>
    <s v="Smart TV 55"/>
    <n v="2"/>
    <n v="520"/>
    <n v="380"/>
    <n v="7"/>
    <n v="4"/>
    <n v="1000"/>
    <n v="1040"/>
    <n v="760"/>
    <n v="280"/>
    <n v="0.26923076923076922"/>
    <x v="1"/>
  </r>
  <r>
    <x v="9"/>
    <d v="2026-08-04T00:00:00"/>
    <s v="Pasto"/>
    <x v="0"/>
    <x v="1"/>
    <x v="1"/>
    <s v="Camisa Lino"/>
    <n v="6"/>
    <n v="55"/>
    <n v="25"/>
    <n v="2"/>
    <n v="3"/>
    <n v="300"/>
    <n v="330"/>
    <n v="150"/>
    <n v="180"/>
    <n v="0.54545454545454541"/>
    <x v="0"/>
  </r>
  <r>
    <x v="10"/>
    <d v="2026-08-04T00:00:00"/>
    <s v="Bogota"/>
    <x v="1"/>
    <x v="0"/>
    <x v="2"/>
    <s v="Juego Comedor"/>
    <n v="1"/>
    <n v="450"/>
    <n v="290"/>
    <n v="4"/>
    <n v="3"/>
    <n v="400"/>
    <n v="450"/>
    <n v="290"/>
    <n v="160"/>
    <n v="0.35555555555555557"/>
    <x v="1"/>
  </r>
  <r>
    <x v="11"/>
    <d v="2026-08-04T00:00:00"/>
    <s v="Cali"/>
    <x v="2"/>
    <x v="1"/>
    <x v="3"/>
    <s v="Sandalias"/>
    <n v="10"/>
    <n v="35"/>
    <n v="15"/>
    <n v="4"/>
    <n v="3"/>
    <n v="300"/>
    <n v="350"/>
    <n v="150"/>
    <n v="200"/>
    <n v="0.5714285714285714"/>
    <x v="1"/>
  </r>
  <r>
    <x v="12"/>
    <d v="2026-08-05T00:00:00"/>
    <s v="Pasto"/>
    <x v="0"/>
    <x v="0"/>
    <x v="0"/>
    <s v="Tablet 10"/>
    <n v="4"/>
    <n v="220"/>
    <n v="140"/>
    <n v="2"/>
    <n v="3"/>
    <n v="800"/>
    <n v="880"/>
    <n v="560"/>
    <n v="320"/>
    <n v="0.36363636363636365"/>
    <x v="0"/>
  </r>
  <r>
    <x v="13"/>
    <d v="2026-08-05T00:00:00"/>
    <s v="Bogota"/>
    <x v="1"/>
    <x v="0"/>
    <x v="1"/>
    <s v="Saco Lana"/>
    <n v="5"/>
    <n v="65"/>
    <n v="30"/>
    <n v="2"/>
    <n v="3"/>
    <n v="300"/>
    <n v="325"/>
    <n v="150"/>
    <n v="175"/>
    <n v="0.53846153846153844"/>
    <x v="0"/>
  </r>
  <r>
    <x v="14"/>
    <d v="2026-08-05T00:00:00"/>
    <s v="Cali"/>
    <x v="2"/>
    <x v="0"/>
    <x v="2"/>
    <s v="Escritorio Pro"/>
    <n v="2"/>
    <n v="180"/>
    <n v="110"/>
    <n v="6"/>
    <n v="3"/>
    <n v="350"/>
    <n v="360"/>
    <n v="220"/>
    <n v="140"/>
    <n v="0.3888888888888889"/>
    <x v="1"/>
  </r>
  <r>
    <x v="15"/>
    <d v="2026-08-06T00:00:00"/>
    <s v="Pasto"/>
    <x v="0"/>
    <x v="1"/>
    <x v="3"/>
    <s v="Tenis Urbano"/>
    <n v="6"/>
    <n v="85"/>
    <n v="45"/>
    <n v="1"/>
    <n v="2"/>
    <n v="500"/>
    <n v="510"/>
    <n v="270"/>
    <n v="240"/>
    <n v="0.47058823529411764"/>
    <x v="0"/>
  </r>
  <r>
    <x v="16"/>
    <d v="2026-08-06T00:00:00"/>
    <s v="Bogota"/>
    <x v="1"/>
    <x v="0"/>
    <x v="0"/>
    <s v="Audifonos BT"/>
    <n v="12"/>
    <n v="75"/>
    <n v="35"/>
    <n v="1"/>
    <n v="2"/>
    <n v="800"/>
    <n v="900"/>
    <n v="420"/>
    <n v="480"/>
    <n v="0.53333333333333333"/>
    <x v="0"/>
  </r>
  <r>
    <x v="17"/>
    <d v="2026-08-06T00:00:00"/>
    <s v="Cali"/>
    <x v="2"/>
    <x v="1"/>
    <x v="1"/>
    <s v="Vestido Formal"/>
    <n v="4"/>
    <n v="110"/>
    <n v="55"/>
    <n v="5"/>
    <n v="3"/>
    <n v="400"/>
    <n v="440"/>
    <n v="220"/>
    <n v="220"/>
    <n v="0.5"/>
    <x v="1"/>
  </r>
  <r>
    <x v="18"/>
    <d v="2026-08-07T00:00:00"/>
    <s v="Pasto"/>
    <x v="0"/>
    <x v="0"/>
    <x v="2"/>
    <s v="Lámpara LED"/>
    <n v="15"/>
    <n v="25"/>
    <n v="10"/>
    <n v="2"/>
    <n v="3"/>
    <n v="300"/>
    <n v="375"/>
    <n v="150"/>
    <n v="225"/>
    <n v="0.6"/>
    <x v="0"/>
  </r>
  <r>
    <x v="19"/>
    <d v="2026-08-07T00:00:00"/>
    <s v="Bogota"/>
    <x v="1"/>
    <x v="1"/>
    <x v="3"/>
    <s v="Zapatos Formales"/>
    <n v="5"/>
    <n v="130"/>
    <n v="70"/>
    <n v="3"/>
    <n v="3"/>
    <n v="600"/>
    <n v="650"/>
    <n v="350"/>
    <n v="300"/>
    <n v="0.46153846153846156"/>
    <x v="0"/>
  </r>
  <r>
    <x v="20"/>
    <d v="2026-08-07T00:00:00"/>
    <s v="Cali"/>
    <x v="2"/>
    <x v="0"/>
    <x v="0"/>
    <s v="Consola Videojuegos"/>
    <n v="2"/>
    <n v="500"/>
    <n v="380"/>
    <n v="6"/>
    <n v="4"/>
    <n v="900"/>
    <n v="1000"/>
    <n v="760"/>
    <n v="240"/>
    <n v="0.24"/>
    <x v="1"/>
  </r>
  <r>
    <x v="21"/>
    <d v="2026-08-08T00:00:00"/>
    <s v="Pasto"/>
    <x v="0"/>
    <x v="0"/>
    <x v="1"/>
    <s v="Chaqueta Impermeable"/>
    <n v="3"/>
    <n v="95"/>
    <n v="45"/>
    <n v="2"/>
    <n v="3"/>
    <n v="300"/>
    <n v="285"/>
    <n v="135"/>
    <n v="150"/>
    <n v="0.52631578947368418"/>
    <x v="0"/>
  </r>
  <r>
    <x v="22"/>
    <d v="2026-08-08T00:00:00"/>
    <s v="Bogota"/>
    <x v="1"/>
    <x v="0"/>
    <x v="2"/>
    <s v="Silla Ergonomica"/>
    <n v="4"/>
    <n v="160"/>
    <n v="95"/>
    <n v="2"/>
    <n v="3"/>
    <n v="600"/>
    <n v="640"/>
    <n v="380"/>
    <n v="260"/>
    <n v="0.40625"/>
    <x v="0"/>
  </r>
  <r>
    <x v="23"/>
    <d v="2026-08-08T00:00:00"/>
    <s v="Cali"/>
    <x v="2"/>
    <x v="1"/>
    <x v="3"/>
    <s v="Tenis Deportivo"/>
    <n v="7"/>
    <n v="90"/>
    <n v="45"/>
    <n v="4"/>
    <n v="3"/>
    <n v="600"/>
    <n v="630"/>
    <n v="315"/>
    <n v="315"/>
    <n v="0.5"/>
    <x v="1"/>
  </r>
  <r>
    <x v="24"/>
    <d v="2026-08-09T00:00:00"/>
    <s v="Pasto"/>
    <x v="0"/>
    <x v="1"/>
    <x v="0"/>
    <s v="Monitor 27"/>
    <n v="3"/>
    <n v="310"/>
    <n v="210"/>
    <n v="2"/>
    <n v="3"/>
    <n v="900"/>
    <n v="930"/>
    <n v="630"/>
    <n v="300"/>
    <n v="0.32258064516129031"/>
    <x v="0"/>
  </r>
  <r>
    <x v="25"/>
    <d v="2026-08-09T00:00:00"/>
    <s v="Bogota"/>
    <x v="1"/>
    <x v="0"/>
    <x v="1"/>
    <s v="Buzo Hooded"/>
    <n v="8"/>
    <n v="50"/>
    <n v="22"/>
    <n v="2"/>
    <n v="3"/>
    <n v="400"/>
    <n v="400"/>
    <n v="176"/>
    <n v="224"/>
    <n v="0.56000000000000005"/>
    <x v="0"/>
  </r>
  <r>
    <x v="26"/>
    <d v="2026-08-09T00:00:00"/>
    <s v="Cali"/>
    <x v="2"/>
    <x v="0"/>
    <x v="2"/>
    <s v="Cama King"/>
    <n v="1"/>
    <n v="750"/>
    <n v="480"/>
    <n v="8"/>
    <n v="4"/>
    <n v="700"/>
    <n v="750"/>
    <n v="480"/>
    <n v="270"/>
    <n v="0.36"/>
    <x v="1"/>
  </r>
  <r>
    <x v="27"/>
    <d v="2026-08-10T00:00:00"/>
    <s v="Pasto"/>
    <x v="0"/>
    <x v="0"/>
    <x v="3"/>
    <s v="Botines Cuero"/>
    <n v="4"/>
    <n v="140"/>
    <n v="75"/>
    <n v="3"/>
    <n v="3"/>
    <n v="500"/>
    <n v="560"/>
    <n v="300"/>
    <n v="260"/>
    <n v="0.4642857142857143"/>
    <x v="0"/>
  </r>
  <r>
    <x v="28"/>
    <d v="2026-08-10T00:00:00"/>
    <s v="Bogota"/>
    <x v="1"/>
    <x v="1"/>
    <x v="0"/>
    <s v="Teclado Mecanico"/>
    <n v="6"/>
    <n v="90"/>
    <n v="50"/>
    <n v="1"/>
    <n v="2"/>
    <n v="500"/>
    <n v="540"/>
    <n v="300"/>
    <n v="240"/>
    <n v="0.44444444444444442"/>
    <x v="0"/>
  </r>
  <r>
    <x v="29"/>
    <d v="2026-08-10T00:00:00"/>
    <s v="Cali"/>
    <x v="2"/>
    <x v="0"/>
    <x v="1"/>
    <s v="Pantalón Cargo"/>
    <n v="6"/>
    <n v="60"/>
    <n v="28"/>
    <n v="5"/>
    <n v="3"/>
    <n v="350"/>
    <n v="360"/>
    <n v="168"/>
    <n v="192"/>
    <n v="0.53333333333333333"/>
    <x v="1"/>
  </r>
  <r>
    <x v="0"/>
    <d v="2026-08-01T00:00:00"/>
    <s v="Pasto"/>
    <x v="0"/>
    <x v="0"/>
    <x v="0"/>
    <s v="Laptop Pro 15"/>
    <n v="2"/>
    <n v="850"/>
    <n v="600"/>
    <n v="2"/>
    <n v="3"/>
    <n v="1500"/>
    <n v="1700"/>
    <n v="1200"/>
    <n v="500"/>
    <n v="0.29411764705882354"/>
    <x v="0"/>
  </r>
  <r>
    <x v="1"/>
    <d v="2026-08-01T00:00:00"/>
    <s v="Bogota"/>
    <x v="1"/>
    <x v="1"/>
    <x v="1"/>
    <s v="Chaqueta Cuero"/>
    <n v="5"/>
    <n v="120"/>
    <n v="70"/>
    <n v="3"/>
    <n v="3"/>
    <n v="500"/>
    <n v="600"/>
    <n v="350"/>
    <n v="250"/>
    <n v="0.41666666666666669"/>
    <x v="0"/>
  </r>
  <r>
    <x v="2"/>
    <d v="2026-08-01T00:00:00"/>
    <s v="Cali"/>
    <x v="2"/>
    <x v="0"/>
    <x v="2"/>
    <s v="Cafetera Express"/>
    <n v="3"/>
    <n v="90"/>
    <n v="50"/>
    <n v="6"/>
    <n v="4"/>
    <n v="300"/>
    <n v="270"/>
    <n v="150"/>
    <n v="120"/>
    <n v="0.44444444444444442"/>
    <x v="1"/>
  </r>
  <r>
    <x v="3"/>
    <d v="2026-08-02T00:00:00"/>
    <s v="Pasto"/>
    <x v="0"/>
    <x v="1"/>
    <x v="3"/>
    <s v="Tenis Running"/>
    <n v="4"/>
    <n v="110"/>
    <n v="60"/>
    <n v="1"/>
    <n v="2"/>
    <n v="400"/>
    <n v="440"/>
    <n v="240"/>
    <n v="200"/>
    <n v="0.45454545454545453"/>
    <x v="0"/>
  </r>
  <r>
    <x v="4"/>
    <d v="2026-08-02T00:00:00"/>
    <s v="Bogota"/>
    <x v="1"/>
    <x v="0"/>
    <x v="0"/>
    <s v="Smartphone X"/>
    <n v="3"/>
    <n v="650"/>
    <n v="450"/>
    <n v="2"/>
    <n v="3"/>
    <n v="1800"/>
    <n v="1950"/>
    <n v="1350"/>
    <n v="600"/>
    <n v="0.30769230769230771"/>
    <x v="0"/>
  </r>
  <r>
    <x v="5"/>
    <d v="2026-08-02T00:00:00"/>
    <s v="Cali"/>
    <x v="2"/>
    <x v="0"/>
    <x v="1"/>
    <s v="Jean Slim Fit"/>
    <n v="8"/>
    <n v="45"/>
    <n v="20"/>
    <n v="5"/>
    <n v="3"/>
    <n v="400"/>
    <n v="360"/>
    <n v="160"/>
    <n v="200"/>
    <n v="0.55555555555555558"/>
    <x v="1"/>
  </r>
  <r>
    <x v="6"/>
    <d v="2026-08-03T00:00:00"/>
    <s v="Pasto"/>
    <x v="0"/>
    <x v="0"/>
    <x v="2"/>
    <s v="Aspiradora Robot"/>
    <n v="2"/>
    <n v="280"/>
    <n v="180"/>
    <n v="3"/>
    <n v="3"/>
    <n v="500"/>
    <n v="560"/>
    <n v="360"/>
    <n v="200"/>
    <n v="0.35714285714285715"/>
    <x v="0"/>
  </r>
  <r>
    <x v="7"/>
    <d v="2026-08-03T00:00:00"/>
    <s v="Bogota"/>
    <x v="1"/>
    <x v="1"/>
    <x v="3"/>
    <s v="Botas Moto"/>
    <n v="3"/>
    <n v="150"/>
    <n v="85"/>
    <n v="2"/>
    <n v="2"/>
    <n v="400"/>
    <n v="450"/>
    <n v="255"/>
    <n v="195"/>
    <n v="0.43333333333333335"/>
    <x v="0"/>
  </r>
  <r>
    <x v="8"/>
    <d v="2026-08-03T00:00:00"/>
    <s v="Cali"/>
    <x v="2"/>
    <x v="0"/>
    <x v="0"/>
    <s v="Smart TV 55"/>
    <n v="2"/>
    <n v="520"/>
    <n v="380"/>
    <n v="7"/>
    <n v="4"/>
    <n v="1000"/>
    <n v="1040"/>
    <n v="760"/>
    <n v="280"/>
    <n v="0.26923076923076922"/>
    <x v="1"/>
  </r>
  <r>
    <x v="9"/>
    <d v="2026-08-04T00:00:00"/>
    <s v="Pasto"/>
    <x v="0"/>
    <x v="1"/>
    <x v="1"/>
    <s v="Camisa Lino"/>
    <n v="6"/>
    <n v="55"/>
    <n v="25"/>
    <n v="2"/>
    <n v="3"/>
    <n v="300"/>
    <n v="330"/>
    <n v="150"/>
    <n v="180"/>
    <n v="0.54545454545454541"/>
    <x v="0"/>
  </r>
  <r>
    <x v="10"/>
    <d v="2026-08-04T00:00:00"/>
    <s v="Bogota"/>
    <x v="1"/>
    <x v="0"/>
    <x v="2"/>
    <s v="Juego Comedor"/>
    <n v="1"/>
    <n v="450"/>
    <n v="290"/>
    <n v="4"/>
    <n v="3"/>
    <n v="400"/>
    <n v="450"/>
    <n v="290"/>
    <n v="160"/>
    <n v="0.35555555555555557"/>
    <x v="1"/>
  </r>
  <r>
    <x v="11"/>
    <d v="2026-08-04T00:00:00"/>
    <s v="Cali"/>
    <x v="2"/>
    <x v="1"/>
    <x v="3"/>
    <s v="Sandalias"/>
    <n v="10"/>
    <n v="35"/>
    <n v="15"/>
    <n v="4"/>
    <n v="3"/>
    <n v="300"/>
    <n v="350"/>
    <n v="150"/>
    <n v="200"/>
    <n v="0.5714285714285714"/>
    <x v="1"/>
  </r>
  <r>
    <x v="12"/>
    <d v="2026-08-05T00:00:00"/>
    <s v="Pasto"/>
    <x v="0"/>
    <x v="0"/>
    <x v="0"/>
    <s v="Tablet 10"/>
    <n v="4"/>
    <n v="220"/>
    <n v="140"/>
    <n v="2"/>
    <n v="3"/>
    <n v="800"/>
    <n v="880"/>
    <n v="560"/>
    <n v="320"/>
    <n v="0.36363636363636365"/>
    <x v="0"/>
  </r>
  <r>
    <x v="13"/>
    <d v="2026-08-05T00:00:00"/>
    <s v="Bogota"/>
    <x v="1"/>
    <x v="0"/>
    <x v="1"/>
    <s v="Saco Lana"/>
    <n v="5"/>
    <n v="65"/>
    <n v="30"/>
    <n v="2"/>
    <n v="3"/>
    <n v="300"/>
    <n v="325"/>
    <n v="150"/>
    <n v="175"/>
    <n v="0.53846153846153844"/>
    <x v="0"/>
  </r>
  <r>
    <x v="14"/>
    <d v="2026-08-05T00:00:00"/>
    <s v="Cali"/>
    <x v="2"/>
    <x v="0"/>
    <x v="2"/>
    <s v="Escritorio Pro"/>
    <n v="2"/>
    <n v="180"/>
    <n v="110"/>
    <n v="6"/>
    <n v="3"/>
    <n v="350"/>
    <n v="360"/>
    <n v="220"/>
    <n v="140"/>
    <n v="0.3888888888888889"/>
    <x v="1"/>
  </r>
  <r>
    <x v="15"/>
    <d v="2026-08-06T00:00:00"/>
    <s v="Pasto"/>
    <x v="0"/>
    <x v="1"/>
    <x v="3"/>
    <s v="Tenis Urbano"/>
    <n v="6"/>
    <n v="85"/>
    <n v="45"/>
    <n v="1"/>
    <n v="2"/>
    <n v="500"/>
    <n v="510"/>
    <n v="270"/>
    <n v="240"/>
    <n v="0.47058823529411764"/>
    <x v="0"/>
  </r>
  <r>
    <x v="16"/>
    <d v="2026-08-06T00:00:00"/>
    <s v="Bogota"/>
    <x v="1"/>
    <x v="0"/>
    <x v="0"/>
    <s v="Audifonos BT"/>
    <n v="12"/>
    <n v="75"/>
    <n v="35"/>
    <n v="1"/>
    <n v="2"/>
    <n v="800"/>
    <n v="900"/>
    <n v="420"/>
    <n v="480"/>
    <n v="0.53333333333333333"/>
    <x v="0"/>
  </r>
  <r>
    <x v="17"/>
    <d v="2026-08-06T00:00:00"/>
    <s v="Cali"/>
    <x v="2"/>
    <x v="1"/>
    <x v="1"/>
    <s v="Vestido Formal"/>
    <n v="4"/>
    <n v="110"/>
    <n v="55"/>
    <n v="5"/>
    <n v="3"/>
    <n v="400"/>
    <n v="440"/>
    <n v="220"/>
    <n v="220"/>
    <n v="0.5"/>
    <x v="1"/>
  </r>
  <r>
    <x v="18"/>
    <d v="2026-08-07T00:00:00"/>
    <s v="Pasto"/>
    <x v="0"/>
    <x v="0"/>
    <x v="2"/>
    <s v="Lámpara LED"/>
    <n v="15"/>
    <n v="25"/>
    <n v="10"/>
    <n v="2"/>
    <n v="3"/>
    <n v="300"/>
    <n v="375"/>
    <n v="150"/>
    <n v="225"/>
    <n v="0.6"/>
    <x v="0"/>
  </r>
  <r>
    <x v="19"/>
    <d v="2026-08-07T00:00:00"/>
    <s v="Bogota"/>
    <x v="1"/>
    <x v="1"/>
    <x v="3"/>
    <s v="Zapatos Formales"/>
    <n v="5"/>
    <n v="130"/>
    <n v="70"/>
    <n v="3"/>
    <n v="3"/>
    <n v="600"/>
    <n v="650"/>
    <n v="350"/>
    <n v="300"/>
    <n v="0.46153846153846156"/>
    <x v="0"/>
  </r>
  <r>
    <x v="20"/>
    <d v="2026-08-07T00:00:00"/>
    <s v="Cali"/>
    <x v="2"/>
    <x v="0"/>
    <x v="0"/>
    <s v="Consola Videojuegos"/>
    <n v="2"/>
    <n v="500"/>
    <n v="380"/>
    <n v="6"/>
    <n v="4"/>
    <n v="900"/>
    <n v="1000"/>
    <n v="760"/>
    <n v="240"/>
    <n v="0.24"/>
    <x v="1"/>
  </r>
  <r>
    <x v="21"/>
    <d v="2026-08-08T00:00:00"/>
    <s v="Pasto"/>
    <x v="0"/>
    <x v="0"/>
    <x v="1"/>
    <s v="Chaqueta Impermeable"/>
    <n v="3"/>
    <n v="95"/>
    <n v="45"/>
    <n v="2"/>
    <n v="3"/>
    <n v="300"/>
    <n v="285"/>
    <n v="135"/>
    <n v="150"/>
    <n v="0.52631578947368418"/>
    <x v="0"/>
  </r>
  <r>
    <x v="22"/>
    <d v="2026-08-08T00:00:00"/>
    <s v="Bogota"/>
    <x v="1"/>
    <x v="0"/>
    <x v="2"/>
    <s v="Silla Ergonomica"/>
    <n v="4"/>
    <n v="160"/>
    <n v="95"/>
    <n v="2"/>
    <n v="3"/>
    <n v="600"/>
    <n v="640"/>
    <n v="380"/>
    <n v="260"/>
    <n v="0.40625"/>
    <x v="0"/>
  </r>
  <r>
    <x v="23"/>
    <d v="2026-08-08T00:00:00"/>
    <s v="Cali"/>
    <x v="2"/>
    <x v="1"/>
    <x v="3"/>
    <s v="Tenis Deportivo"/>
    <n v="7"/>
    <n v="90"/>
    <n v="45"/>
    <n v="4"/>
    <n v="3"/>
    <n v="600"/>
    <n v="630"/>
    <n v="315"/>
    <n v="315"/>
    <n v="0.5"/>
    <x v="1"/>
  </r>
  <r>
    <x v="24"/>
    <d v="2026-08-09T00:00:00"/>
    <s v="Pasto"/>
    <x v="0"/>
    <x v="1"/>
    <x v="0"/>
    <s v="Monitor 27"/>
    <n v="3"/>
    <n v="310"/>
    <n v="210"/>
    <n v="2"/>
    <n v="3"/>
    <n v="900"/>
    <n v="930"/>
    <n v="630"/>
    <n v="300"/>
    <n v="0.32258064516129031"/>
    <x v="0"/>
  </r>
  <r>
    <x v="25"/>
    <d v="2026-08-09T00:00:00"/>
    <s v="Bogota"/>
    <x v="1"/>
    <x v="0"/>
    <x v="1"/>
    <s v="Buzo Hooded"/>
    <n v="8"/>
    <n v="50"/>
    <n v="22"/>
    <n v="2"/>
    <n v="3"/>
    <n v="400"/>
    <n v="400"/>
    <n v="176"/>
    <n v="224"/>
    <n v="0.56000000000000005"/>
    <x v="0"/>
  </r>
  <r>
    <x v="26"/>
    <d v="2026-08-09T00:00:00"/>
    <s v="Cali"/>
    <x v="2"/>
    <x v="0"/>
    <x v="2"/>
    <s v="Cama King"/>
    <n v="1"/>
    <n v="750"/>
    <n v="480"/>
    <n v="8"/>
    <n v="4"/>
    <n v="700"/>
    <n v="750"/>
    <n v="480"/>
    <n v="270"/>
    <n v="0.36"/>
    <x v="1"/>
  </r>
  <r>
    <x v="27"/>
    <d v="2026-08-10T00:00:00"/>
    <s v="Pasto"/>
    <x v="0"/>
    <x v="0"/>
    <x v="3"/>
    <s v="Botines Cuero"/>
    <n v="4"/>
    <n v="140"/>
    <n v="75"/>
    <n v="3"/>
    <n v="3"/>
    <n v="500"/>
    <n v="560"/>
    <n v="300"/>
    <n v="260"/>
    <n v="0.4642857142857143"/>
    <x v="0"/>
  </r>
  <r>
    <x v="28"/>
    <d v="2026-08-10T00:00:00"/>
    <s v="Bogota"/>
    <x v="1"/>
    <x v="1"/>
    <x v="0"/>
    <s v="Teclado Mecanico"/>
    <n v="6"/>
    <n v="90"/>
    <n v="50"/>
    <n v="1"/>
    <n v="2"/>
    <n v="500"/>
    <n v="540"/>
    <n v="300"/>
    <n v="240"/>
    <n v="0.44444444444444442"/>
    <x v="0"/>
  </r>
  <r>
    <x v="29"/>
    <d v="2026-08-10T00:00:00"/>
    <s v="Cali"/>
    <x v="2"/>
    <x v="0"/>
    <x v="1"/>
    <s v="Pantalón Cargo"/>
    <n v="6"/>
    <n v="60"/>
    <n v="28"/>
    <n v="5"/>
    <n v="3"/>
    <n v="350"/>
    <n v="360"/>
    <n v="168"/>
    <n v="192"/>
    <n v="0.53333333333333333"/>
    <x v="1"/>
  </r>
  <r>
    <x v="0"/>
    <d v="2026-08-01T00:00:00"/>
    <s v="Pasto"/>
    <x v="0"/>
    <x v="0"/>
    <x v="0"/>
    <s v="Laptop Pro 15"/>
    <n v="2"/>
    <n v="850"/>
    <n v="600"/>
    <n v="2"/>
    <n v="3"/>
    <n v="1500"/>
    <n v="1700"/>
    <n v="1200"/>
    <n v="500"/>
    <n v="0.29411764705882354"/>
    <x v="0"/>
  </r>
  <r>
    <x v="1"/>
    <d v="2026-08-01T00:00:00"/>
    <s v="Bogota"/>
    <x v="1"/>
    <x v="1"/>
    <x v="1"/>
    <s v="Chaqueta Cuero"/>
    <n v="5"/>
    <n v="120"/>
    <n v="70"/>
    <n v="3"/>
    <n v="3"/>
    <n v="500"/>
    <n v="600"/>
    <n v="350"/>
    <n v="250"/>
    <n v="0.41666666666666669"/>
    <x v="0"/>
  </r>
  <r>
    <x v="2"/>
    <d v="2026-08-01T00:00:00"/>
    <s v="Cali"/>
    <x v="2"/>
    <x v="0"/>
    <x v="2"/>
    <s v="Cafetera Express"/>
    <n v="3"/>
    <n v="90"/>
    <n v="50"/>
    <n v="6"/>
    <n v="4"/>
    <n v="300"/>
    <n v="270"/>
    <n v="150"/>
    <n v="120"/>
    <n v="0.44444444444444442"/>
    <x v="1"/>
  </r>
  <r>
    <x v="3"/>
    <d v="2026-08-02T00:00:00"/>
    <s v="Pasto"/>
    <x v="0"/>
    <x v="1"/>
    <x v="3"/>
    <s v="Tenis Running"/>
    <n v="4"/>
    <n v="110"/>
    <n v="60"/>
    <n v="1"/>
    <n v="2"/>
    <n v="400"/>
    <n v="440"/>
    <n v="240"/>
    <n v="200"/>
    <n v="0.45454545454545453"/>
    <x v="0"/>
  </r>
  <r>
    <x v="4"/>
    <d v="2026-08-02T00:00:00"/>
    <s v="Bogota"/>
    <x v="1"/>
    <x v="0"/>
    <x v="0"/>
    <s v="Smartphone X"/>
    <n v="3"/>
    <n v="650"/>
    <n v="450"/>
    <n v="2"/>
    <n v="3"/>
    <n v="1800"/>
    <n v="1950"/>
    <n v="1350"/>
    <n v="600"/>
    <n v="0.30769230769230771"/>
    <x v="0"/>
  </r>
  <r>
    <x v="5"/>
    <d v="2026-08-02T00:00:00"/>
    <s v="Cali"/>
    <x v="2"/>
    <x v="0"/>
    <x v="1"/>
    <s v="Jean Slim Fit"/>
    <n v="8"/>
    <n v="45"/>
    <n v="20"/>
    <n v="5"/>
    <n v="3"/>
    <n v="400"/>
    <n v="360"/>
    <n v="160"/>
    <n v="200"/>
    <n v="0.55555555555555558"/>
    <x v="1"/>
  </r>
  <r>
    <x v="6"/>
    <d v="2026-08-03T00:00:00"/>
    <s v="Pasto"/>
    <x v="0"/>
    <x v="0"/>
    <x v="2"/>
    <s v="Aspiradora Robot"/>
    <n v="2"/>
    <n v="280"/>
    <n v="180"/>
    <n v="3"/>
    <n v="3"/>
    <n v="500"/>
    <n v="560"/>
    <n v="360"/>
    <n v="200"/>
    <n v="0.35714285714285715"/>
    <x v="0"/>
  </r>
  <r>
    <x v="7"/>
    <d v="2026-08-03T00:00:00"/>
    <s v="Bogota"/>
    <x v="1"/>
    <x v="1"/>
    <x v="3"/>
    <s v="Botas Moto"/>
    <n v="3"/>
    <n v="150"/>
    <n v="85"/>
    <n v="2"/>
    <n v="2"/>
    <n v="400"/>
    <n v="450"/>
    <n v="255"/>
    <n v="195"/>
    <n v="0.43333333333333335"/>
    <x v="0"/>
  </r>
  <r>
    <x v="8"/>
    <d v="2026-08-03T00:00:00"/>
    <s v="Cali"/>
    <x v="2"/>
    <x v="0"/>
    <x v="0"/>
    <s v="Smart TV 55"/>
    <n v="2"/>
    <n v="520"/>
    <n v="380"/>
    <n v="7"/>
    <n v="4"/>
    <n v="1000"/>
    <n v="1040"/>
    <n v="760"/>
    <n v="280"/>
    <n v="0.26923076923076922"/>
    <x v="1"/>
  </r>
  <r>
    <x v="9"/>
    <d v="2026-08-04T00:00:00"/>
    <s v="Pasto"/>
    <x v="0"/>
    <x v="1"/>
    <x v="1"/>
    <s v="Camisa Lino"/>
    <n v="6"/>
    <n v="55"/>
    <n v="25"/>
    <n v="2"/>
    <n v="3"/>
    <n v="300"/>
    <n v="330"/>
    <n v="150"/>
    <n v="180"/>
    <n v="0.54545454545454541"/>
    <x v="0"/>
  </r>
  <r>
    <x v="10"/>
    <d v="2026-08-04T00:00:00"/>
    <s v="Bogota"/>
    <x v="1"/>
    <x v="0"/>
    <x v="2"/>
    <s v="Juego Comedor"/>
    <n v="1"/>
    <n v="450"/>
    <n v="290"/>
    <n v="4"/>
    <n v="3"/>
    <n v="400"/>
    <n v="450"/>
    <n v="290"/>
    <n v="160"/>
    <n v="0.35555555555555557"/>
    <x v="1"/>
  </r>
  <r>
    <x v="11"/>
    <d v="2026-08-04T00:00:00"/>
    <s v="Cali"/>
    <x v="2"/>
    <x v="1"/>
    <x v="3"/>
    <s v="Sandalias"/>
    <n v="10"/>
    <n v="35"/>
    <n v="15"/>
    <n v="4"/>
    <n v="3"/>
    <n v="300"/>
    <n v="350"/>
    <n v="150"/>
    <n v="200"/>
    <n v="0.5714285714285714"/>
    <x v="1"/>
  </r>
  <r>
    <x v="12"/>
    <d v="2026-08-05T00:00:00"/>
    <s v="Pasto"/>
    <x v="0"/>
    <x v="0"/>
    <x v="0"/>
    <s v="Tablet 10"/>
    <n v="4"/>
    <n v="220"/>
    <n v="140"/>
    <n v="2"/>
    <n v="3"/>
    <n v="800"/>
    <n v="880"/>
    <n v="560"/>
    <n v="320"/>
    <n v="0.36363636363636365"/>
    <x v="0"/>
  </r>
  <r>
    <x v="13"/>
    <d v="2026-08-05T00:00:00"/>
    <s v="Bogota"/>
    <x v="1"/>
    <x v="0"/>
    <x v="1"/>
    <s v="Saco Lana"/>
    <n v="5"/>
    <n v="65"/>
    <n v="30"/>
    <n v="2"/>
    <n v="3"/>
    <n v="300"/>
    <n v="325"/>
    <n v="150"/>
    <n v="175"/>
    <n v="0.53846153846153844"/>
    <x v="0"/>
  </r>
  <r>
    <x v="14"/>
    <d v="2026-08-05T00:00:00"/>
    <s v="Cali"/>
    <x v="2"/>
    <x v="0"/>
    <x v="2"/>
    <s v="Escritorio Pro"/>
    <n v="2"/>
    <n v="180"/>
    <n v="110"/>
    <n v="6"/>
    <n v="3"/>
    <n v="350"/>
    <n v="360"/>
    <n v="220"/>
    <n v="140"/>
    <n v="0.3888888888888889"/>
    <x v="1"/>
  </r>
  <r>
    <x v="15"/>
    <d v="2026-08-06T00:00:00"/>
    <s v="Pasto"/>
    <x v="0"/>
    <x v="1"/>
    <x v="3"/>
    <s v="Tenis Urbano"/>
    <n v="6"/>
    <n v="85"/>
    <n v="45"/>
    <n v="1"/>
    <n v="2"/>
    <n v="500"/>
    <n v="510"/>
    <n v="270"/>
    <n v="240"/>
    <n v="0.47058823529411764"/>
    <x v="0"/>
  </r>
  <r>
    <x v="16"/>
    <d v="2026-08-06T00:00:00"/>
    <s v="Bogota"/>
    <x v="1"/>
    <x v="0"/>
    <x v="0"/>
    <s v="Audifonos BT"/>
    <n v="12"/>
    <n v="75"/>
    <n v="35"/>
    <n v="1"/>
    <n v="2"/>
    <n v="800"/>
    <n v="900"/>
    <n v="420"/>
    <n v="480"/>
    <n v="0.53333333333333333"/>
    <x v="0"/>
  </r>
  <r>
    <x v="17"/>
    <d v="2026-08-06T00:00:00"/>
    <s v="Cali"/>
    <x v="2"/>
    <x v="1"/>
    <x v="1"/>
    <s v="Vestido Formal"/>
    <n v="4"/>
    <n v="110"/>
    <n v="55"/>
    <n v="5"/>
    <n v="3"/>
    <n v="400"/>
    <n v="440"/>
    <n v="220"/>
    <n v="220"/>
    <n v="0.5"/>
    <x v="1"/>
  </r>
  <r>
    <x v="18"/>
    <d v="2026-08-07T00:00:00"/>
    <s v="Pasto"/>
    <x v="0"/>
    <x v="0"/>
    <x v="2"/>
    <s v="Lámpara LED"/>
    <n v="15"/>
    <n v="25"/>
    <n v="10"/>
    <n v="2"/>
    <n v="3"/>
    <n v="300"/>
    <n v="375"/>
    <n v="150"/>
    <n v="225"/>
    <n v="0.6"/>
    <x v="0"/>
  </r>
  <r>
    <x v="19"/>
    <d v="2026-08-07T00:00:00"/>
    <s v="Bogota"/>
    <x v="1"/>
    <x v="1"/>
    <x v="3"/>
    <s v="Zapatos Formales"/>
    <n v="5"/>
    <n v="130"/>
    <n v="70"/>
    <n v="3"/>
    <n v="3"/>
    <n v="600"/>
    <n v="650"/>
    <n v="350"/>
    <n v="300"/>
    <n v="0.46153846153846156"/>
    <x v="0"/>
  </r>
  <r>
    <x v="20"/>
    <d v="2026-08-07T00:00:00"/>
    <s v="Cali"/>
    <x v="2"/>
    <x v="0"/>
    <x v="0"/>
    <s v="Consola Videojuegos"/>
    <n v="2"/>
    <n v="500"/>
    <n v="380"/>
    <n v="6"/>
    <n v="4"/>
    <n v="900"/>
    <n v="1000"/>
    <n v="760"/>
    <n v="240"/>
    <n v="0.24"/>
    <x v="1"/>
  </r>
  <r>
    <x v="21"/>
    <d v="2026-08-08T00:00:00"/>
    <s v="Pasto"/>
    <x v="0"/>
    <x v="0"/>
    <x v="1"/>
    <s v="Chaqueta Impermeable"/>
    <n v="3"/>
    <n v="95"/>
    <n v="45"/>
    <n v="2"/>
    <n v="3"/>
    <n v="300"/>
    <n v="285"/>
    <n v="135"/>
    <n v="150"/>
    <n v="0.52631578947368418"/>
    <x v="0"/>
  </r>
  <r>
    <x v="22"/>
    <d v="2026-08-08T00:00:00"/>
    <s v="Bogota"/>
    <x v="1"/>
    <x v="0"/>
    <x v="2"/>
    <s v="Silla Ergonomica"/>
    <n v="4"/>
    <n v="160"/>
    <n v="95"/>
    <n v="2"/>
    <n v="3"/>
    <n v="600"/>
    <n v="640"/>
    <n v="380"/>
    <n v="260"/>
    <n v="0.40625"/>
    <x v="0"/>
  </r>
  <r>
    <x v="23"/>
    <d v="2026-08-08T00:00:00"/>
    <s v="Cali"/>
    <x v="2"/>
    <x v="1"/>
    <x v="3"/>
    <s v="Tenis Deportivo"/>
    <n v="7"/>
    <n v="90"/>
    <n v="45"/>
    <n v="4"/>
    <n v="3"/>
    <n v="600"/>
    <n v="630"/>
    <n v="315"/>
    <n v="315"/>
    <n v="0.5"/>
    <x v="1"/>
  </r>
  <r>
    <x v="24"/>
    <d v="2026-08-09T00:00:00"/>
    <s v="Pasto"/>
    <x v="0"/>
    <x v="1"/>
    <x v="0"/>
    <s v="Monitor 27"/>
    <n v="3"/>
    <n v="310"/>
    <n v="210"/>
    <n v="2"/>
    <n v="3"/>
    <n v="900"/>
    <n v="930"/>
    <n v="630"/>
    <n v="300"/>
    <n v="0.32258064516129031"/>
    <x v="0"/>
  </r>
  <r>
    <x v="25"/>
    <d v="2026-08-09T00:00:00"/>
    <s v="Bogota"/>
    <x v="1"/>
    <x v="0"/>
    <x v="1"/>
    <s v="Buzo Hooded"/>
    <n v="8"/>
    <n v="50"/>
    <n v="22"/>
    <n v="2"/>
    <n v="3"/>
    <n v="400"/>
    <n v="400"/>
    <n v="176"/>
    <n v="224"/>
    <n v="0.56000000000000005"/>
    <x v="0"/>
  </r>
  <r>
    <x v="26"/>
    <d v="2026-08-09T00:00:00"/>
    <s v="Cali"/>
    <x v="2"/>
    <x v="0"/>
    <x v="2"/>
    <s v="Cama King"/>
    <n v="1"/>
    <n v="750"/>
    <n v="480"/>
    <n v="8"/>
    <n v="4"/>
    <n v="700"/>
    <n v="750"/>
    <n v="480"/>
    <n v="270"/>
    <n v="0.36"/>
    <x v="1"/>
  </r>
  <r>
    <x v="27"/>
    <d v="2026-08-10T00:00:00"/>
    <s v="Pasto"/>
    <x v="0"/>
    <x v="0"/>
    <x v="3"/>
    <s v="Botines Cuero"/>
    <n v="4"/>
    <n v="140"/>
    <n v="75"/>
    <n v="3"/>
    <n v="3"/>
    <n v="500"/>
    <n v="560"/>
    <n v="300"/>
    <n v="260"/>
    <n v="0.4642857142857143"/>
    <x v="0"/>
  </r>
  <r>
    <x v="28"/>
    <d v="2026-08-10T00:00:00"/>
    <s v="Bogota"/>
    <x v="1"/>
    <x v="1"/>
    <x v="0"/>
    <s v="Teclado Mecanico"/>
    <n v="6"/>
    <n v="90"/>
    <n v="50"/>
    <n v="1"/>
    <n v="2"/>
    <n v="500"/>
    <n v="540"/>
    <n v="300"/>
    <n v="240"/>
    <n v="0.44444444444444442"/>
    <x v="0"/>
  </r>
  <r>
    <x v="29"/>
    <d v="2026-08-10T00:00:00"/>
    <s v="Cali"/>
    <x v="2"/>
    <x v="0"/>
    <x v="1"/>
    <s v="Pantalón Cargo"/>
    <n v="6"/>
    <n v="60"/>
    <n v="28"/>
    <n v="5"/>
    <n v="3"/>
    <n v="350"/>
    <n v="360"/>
    <n v="168"/>
    <n v="192"/>
    <n v="0.53333333333333333"/>
    <x v="1"/>
  </r>
  <r>
    <x v="0"/>
    <d v="2026-08-01T00:00:00"/>
    <s v="Pasto"/>
    <x v="0"/>
    <x v="0"/>
    <x v="0"/>
    <s v="Laptop Pro 15"/>
    <n v="2"/>
    <n v="850"/>
    <n v="600"/>
    <n v="2"/>
    <n v="3"/>
    <n v="1500"/>
    <n v="1700"/>
    <n v="1200"/>
    <n v="500"/>
    <n v="0.29411764705882354"/>
    <x v="0"/>
  </r>
  <r>
    <x v="1"/>
    <d v="2026-08-01T00:00:00"/>
    <s v="Bogota"/>
    <x v="1"/>
    <x v="1"/>
    <x v="1"/>
    <s v="Chaqueta Cuero"/>
    <n v="5"/>
    <n v="120"/>
    <n v="70"/>
    <n v="3"/>
    <n v="3"/>
    <n v="500"/>
    <n v="600"/>
    <n v="350"/>
    <n v="250"/>
    <n v="0.41666666666666669"/>
    <x v="0"/>
  </r>
  <r>
    <x v="2"/>
    <d v="2026-08-01T00:00:00"/>
    <s v="Cali"/>
    <x v="2"/>
    <x v="0"/>
    <x v="2"/>
    <s v="Cafetera Express"/>
    <n v="3"/>
    <n v="90"/>
    <n v="50"/>
    <n v="6"/>
    <n v="4"/>
    <n v="300"/>
    <n v="270"/>
    <n v="150"/>
    <n v="120"/>
    <n v="0.44444444444444442"/>
    <x v="1"/>
  </r>
  <r>
    <x v="3"/>
    <d v="2026-08-02T00:00:00"/>
    <s v="Pasto"/>
    <x v="0"/>
    <x v="1"/>
    <x v="3"/>
    <s v="Tenis Running"/>
    <n v="4"/>
    <n v="110"/>
    <n v="60"/>
    <n v="1"/>
    <n v="2"/>
    <n v="400"/>
    <n v="440"/>
    <n v="240"/>
    <n v="200"/>
    <n v="0.45454545454545453"/>
    <x v="0"/>
  </r>
  <r>
    <x v="4"/>
    <d v="2026-08-02T00:00:00"/>
    <s v="Bogota"/>
    <x v="1"/>
    <x v="0"/>
    <x v="0"/>
    <s v="Smartphone X"/>
    <n v="3"/>
    <n v="650"/>
    <n v="450"/>
    <n v="2"/>
    <n v="3"/>
    <n v="1800"/>
    <n v="1950"/>
    <n v="1350"/>
    <n v="600"/>
    <n v="0.30769230769230771"/>
    <x v="0"/>
  </r>
  <r>
    <x v="5"/>
    <d v="2026-08-02T00:00:00"/>
    <s v="Cali"/>
    <x v="2"/>
    <x v="0"/>
    <x v="1"/>
    <s v="Jean Slim Fit"/>
    <n v="8"/>
    <n v="45"/>
    <n v="20"/>
    <n v="5"/>
    <n v="3"/>
    <n v="400"/>
    <n v="360"/>
    <n v="160"/>
    <n v="200"/>
    <n v="0.55555555555555558"/>
    <x v="1"/>
  </r>
  <r>
    <x v="6"/>
    <d v="2026-08-03T00:00:00"/>
    <s v="Pasto"/>
    <x v="0"/>
    <x v="0"/>
    <x v="2"/>
    <s v="Aspiradora Robot"/>
    <n v="2"/>
    <n v="280"/>
    <n v="180"/>
    <n v="3"/>
    <n v="3"/>
    <n v="500"/>
    <n v="560"/>
    <n v="360"/>
    <n v="200"/>
    <n v="0.35714285714285715"/>
    <x v="0"/>
  </r>
  <r>
    <x v="7"/>
    <d v="2026-08-03T00:00:00"/>
    <s v="Bogota"/>
    <x v="1"/>
    <x v="1"/>
    <x v="3"/>
    <s v="Botas Moto"/>
    <n v="3"/>
    <n v="150"/>
    <n v="85"/>
    <n v="2"/>
    <n v="2"/>
    <n v="400"/>
    <n v="450"/>
    <n v="255"/>
    <n v="195"/>
    <n v="0.43333333333333335"/>
    <x v="0"/>
  </r>
  <r>
    <x v="8"/>
    <d v="2026-08-03T00:00:00"/>
    <s v="Cali"/>
    <x v="2"/>
    <x v="0"/>
    <x v="0"/>
    <s v="Smart TV 55"/>
    <n v="2"/>
    <n v="520"/>
    <n v="380"/>
    <n v="7"/>
    <n v="4"/>
    <n v="1000"/>
    <n v="1040"/>
    <n v="760"/>
    <n v="280"/>
    <n v="0.26923076923076922"/>
    <x v="1"/>
  </r>
  <r>
    <x v="9"/>
    <d v="2026-08-04T00:00:00"/>
    <s v="Pasto"/>
    <x v="0"/>
    <x v="1"/>
    <x v="1"/>
    <s v="Camisa Lino"/>
    <n v="6"/>
    <n v="55"/>
    <n v="25"/>
    <n v="2"/>
    <n v="3"/>
    <n v="300"/>
    <n v="330"/>
    <n v="150"/>
    <n v="180"/>
    <n v="0.54545454545454541"/>
    <x v="0"/>
  </r>
  <r>
    <x v="10"/>
    <d v="2026-08-04T00:00:00"/>
    <s v="Bogota"/>
    <x v="1"/>
    <x v="0"/>
    <x v="2"/>
    <s v="Juego Comedor"/>
    <n v="1"/>
    <n v="450"/>
    <n v="290"/>
    <n v="4"/>
    <n v="3"/>
    <n v="400"/>
    <n v="450"/>
    <n v="290"/>
    <n v="160"/>
    <n v="0.35555555555555557"/>
    <x v="1"/>
  </r>
  <r>
    <x v="11"/>
    <d v="2026-08-04T00:00:00"/>
    <s v="Cali"/>
    <x v="2"/>
    <x v="1"/>
    <x v="3"/>
    <s v="Sandalias"/>
    <n v="10"/>
    <n v="35"/>
    <n v="15"/>
    <n v="4"/>
    <n v="3"/>
    <n v="300"/>
    <n v="350"/>
    <n v="150"/>
    <n v="200"/>
    <n v="0.5714285714285714"/>
    <x v="1"/>
  </r>
  <r>
    <x v="12"/>
    <d v="2026-08-05T00:00:00"/>
    <s v="Pasto"/>
    <x v="0"/>
    <x v="0"/>
    <x v="0"/>
    <s v="Tablet 10"/>
    <n v="4"/>
    <n v="220"/>
    <n v="140"/>
    <n v="2"/>
    <n v="3"/>
    <n v="800"/>
    <n v="880"/>
    <n v="560"/>
    <n v="320"/>
    <n v="0.36363636363636365"/>
    <x v="0"/>
  </r>
  <r>
    <x v="13"/>
    <d v="2026-08-05T00:00:00"/>
    <s v="Bogota"/>
    <x v="1"/>
    <x v="0"/>
    <x v="1"/>
    <s v="Saco Lana"/>
    <n v="5"/>
    <n v="65"/>
    <n v="30"/>
    <n v="2"/>
    <n v="3"/>
    <n v="300"/>
    <n v="325"/>
    <n v="150"/>
    <n v="175"/>
    <n v="0.53846153846153844"/>
    <x v="0"/>
  </r>
  <r>
    <x v="14"/>
    <d v="2026-08-05T00:00:00"/>
    <s v="Cali"/>
    <x v="2"/>
    <x v="0"/>
    <x v="2"/>
    <s v="Escritorio Pro"/>
    <n v="2"/>
    <n v="180"/>
    <n v="110"/>
    <n v="6"/>
    <n v="3"/>
    <n v="350"/>
    <n v="360"/>
    <n v="220"/>
    <n v="140"/>
    <n v="0.3888888888888889"/>
    <x v="1"/>
  </r>
  <r>
    <x v="15"/>
    <d v="2026-08-06T00:00:00"/>
    <s v="Pasto"/>
    <x v="0"/>
    <x v="1"/>
    <x v="3"/>
    <s v="Tenis Urbano"/>
    <n v="6"/>
    <n v="85"/>
    <n v="45"/>
    <n v="1"/>
    <n v="2"/>
    <n v="500"/>
    <n v="510"/>
    <n v="270"/>
    <n v="240"/>
    <n v="0.47058823529411764"/>
    <x v="0"/>
  </r>
  <r>
    <x v="16"/>
    <d v="2026-08-06T00:00:00"/>
    <s v="Bogota"/>
    <x v="1"/>
    <x v="0"/>
    <x v="0"/>
    <s v="Audifonos BT"/>
    <n v="12"/>
    <n v="75"/>
    <n v="35"/>
    <n v="1"/>
    <n v="2"/>
    <n v="800"/>
    <n v="900"/>
    <n v="420"/>
    <n v="480"/>
    <n v="0.53333333333333333"/>
    <x v="0"/>
  </r>
  <r>
    <x v="17"/>
    <d v="2026-08-06T00:00:00"/>
    <s v="Cali"/>
    <x v="2"/>
    <x v="1"/>
    <x v="1"/>
    <s v="Vestido Formal"/>
    <n v="4"/>
    <n v="110"/>
    <n v="55"/>
    <n v="5"/>
    <n v="3"/>
    <n v="400"/>
    <n v="440"/>
    <n v="220"/>
    <n v="220"/>
    <n v="0.5"/>
    <x v="1"/>
  </r>
  <r>
    <x v="18"/>
    <d v="2026-08-07T00:00:00"/>
    <s v="Pasto"/>
    <x v="0"/>
    <x v="0"/>
    <x v="2"/>
    <s v="Lámpara LED"/>
    <n v="15"/>
    <n v="25"/>
    <n v="10"/>
    <n v="2"/>
    <n v="3"/>
    <n v="300"/>
    <n v="375"/>
    <n v="150"/>
    <n v="225"/>
    <n v="0.6"/>
    <x v="0"/>
  </r>
  <r>
    <x v="19"/>
    <d v="2026-08-07T00:00:00"/>
    <s v="Bogota"/>
    <x v="1"/>
    <x v="1"/>
    <x v="3"/>
    <s v="Zapatos Formales"/>
    <n v="5"/>
    <n v="130"/>
    <n v="70"/>
    <n v="3"/>
    <n v="3"/>
    <n v="600"/>
    <n v="650"/>
    <n v="350"/>
    <n v="300"/>
    <n v="0.46153846153846156"/>
    <x v="0"/>
  </r>
  <r>
    <x v="20"/>
    <d v="2026-08-07T00:00:00"/>
    <s v="Cali"/>
    <x v="2"/>
    <x v="0"/>
    <x v="0"/>
    <s v="Consola Videojuegos"/>
    <n v="2"/>
    <n v="500"/>
    <n v="380"/>
    <n v="6"/>
    <n v="4"/>
    <n v="900"/>
    <n v="1000"/>
    <n v="760"/>
    <n v="240"/>
    <n v="0.24"/>
    <x v="1"/>
  </r>
  <r>
    <x v="21"/>
    <d v="2026-08-08T00:00:00"/>
    <s v="Pasto"/>
    <x v="0"/>
    <x v="0"/>
    <x v="1"/>
    <s v="Chaqueta Impermeable"/>
    <n v="3"/>
    <n v="95"/>
    <n v="45"/>
    <n v="2"/>
    <n v="3"/>
    <n v="300"/>
    <n v="285"/>
    <n v="135"/>
    <n v="150"/>
    <n v="0.52631578947368418"/>
    <x v="0"/>
  </r>
  <r>
    <x v="22"/>
    <d v="2026-08-08T00:00:00"/>
    <s v="Bogota"/>
    <x v="1"/>
    <x v="0"/>
    <x v="2"/>
    <s v="Silla Ergonomica"/>
    <n v="4"/>
    <n v="160"/>
    <n v="95"/>
    <n v="2"/>
    <n v="3"/>
    <n v="600"/>
    <n v="640"/>
    <n v="380"/>
    <n v="260"/>
    <n v="0.40625"/>
    <x v="0"/>
  </r>
  <r>
    <x v="23"/>
    <d v="2026-08-08T00:00:00"/>
    <s v="Cali"/>
    <x v="2"/>
    <x v="1"/>
    <x v="3"/>
    <s v="Tenis Deportivo"/>
    <n v="7"/>
    <n v="90"/>
    <n v="45"/>
    <n v="4"/>
    <n v="3"/>
    <n v="600"/>
    <n v="630"/>
    <n v="315"/>
    <n v="315"/>
    <n v="0.5"/>
    <x v="1"/>
  </r>
  <r>
    <x v="24"/>
    <d v="2026-08-09T00:00:00"/>
    <s v="Pasto"/>
    <x v="0"/>
    <x v="1"/>
    <x v="0"/>
    <s v="Monitor 27"/>
    <n v="3"/>
    <n v="310"/>
    <n v="210"/>
    <n v="2"/>
    <n v="3"/>
    <n v="900"/>
    <n v="930"/>
    <n v="630"/>
    <n v="300"/>
    <n v="0.32258064516129031"/>
    <x v="0"/>
  </r>
  <r>
    <x v="25"/>
    <d v="2026-08-09T00:00:00"/>
    <s v="Bogota"/>
    <x v="1"/>
    <x v="0"/>
    <x v="1"/>
    <s v="Buzo Hooded"/>
    <n v="8"/>
    <n v="50"/>
    <n v="22"/>
    <n v="2"/>
    <n v="3"/>
    <n v="400"/>
    <n v="400"/>
    <n v="176"/>
    <n v="224"/>
    <n v="0.56000000000000005"/>
    <x v="0"/>
  </r>
  <r>
    <x v="26"/>
    <d v="2026-08-09T00:00:00"/>
    <s v="Cali"/>
    <x v="2"/>
    <x v="0"/>
    <x v="2"/>
    <s v="Cama King"/>
    <n v="1"/>
    <n v="750"/>
    <n v="480"/>
    <n v="8"/>
    <n v="4"/>
    <n v="700"/>
    <n v="750"/>
    <n v="480"/>
    <n v="270"/>
    <n v="0.36"/>
    <x v="1"/>
  </r>
  <r>
    <x v="27"/>
    <d v="2026-08-10T00:00:00"/>
    <s v="Pasto"/>
    <x v="0"/>
    <x v="0"/>
    <x v="3"/>
    <s v="Botines Cuero"/>
    <n v="4"/>
    <n v="140"/>
    <n v="75"/>
    <n v="3"/>
    <n v="3"/>
    <n v="500"/>
    <n v="560"/>
    <n v="300"/>
    <n v="260"/>
    <n v="0.4642857142857143"/>
    <x v="0"/>
  </r>
  <r>
    <x v="28"/>
    <d v="2026-08-10T00:00:00"/>
    <s v="Bogota"/>
    <x v="1"/>
    <x v="1"/>
    <x v="0"/>
    <s v="Teclado Mecanico"/>
    <n v="6"/>
    <n v="90"/>
    <n v="50"/>
    <n v="1"/>
    <n v="2"/>
    <n v="500"/>
    <n v="540"/>
    <n v="300"/>
    <n v="240"/>
    <n v="0.44444444444444442"/>
    <x v="0"/>
  </r>
  <r>
    <x v="29"/>
    <d v="2026-08-10T00:00:00"/>
    <s v="Cali"/>
    <x v="2"/>
    <x v="0"/>
    <x v="1"/>
    <s v="Pantalón Cargo"/>
    <n v="6"/>
    <n v="60"/>
    <n v="28"/>
    <n v="5"/>
    <n v="3"/>
    <n v="350"/>
    <n v="360"/>
    <n v="168"/>
    <n v="192"/>
    <n v="0.53333333333333333"/>
    <x v="1"/>
  </r>
  <r>
    <x v="0"/>
    <d v="2026-08-01T00:00:00"/>
    <s v="Pasto"/>
    <x v="0"/>
    <x v="0"/>
    <x v="0"/>
    <s v="Laptop Pro 15"/>
    <n v="2"/>
    <n v="850"/>
    <n v="600"/>
    <n v="2"/>
    <n v="3"/>
    <n v="1500"/>
    <n v="1700"/>
    <n v="1200"/>
    <n v="500"/>
    <n v="0.29411764705882354"/>
    <x v="0"/>
  </r>
  <r>
    <x v="1"/>
    <d v="2026-08-01T00:00:00"/>
    <s v="Bogota"/>
    <x v="1"/>
    <x v="1"/>
    <x v="1"/>
    <s v="Chaqueta Cuero"/>
    <n v="5"/>
    <n v="120"/>
    <n v="70"/>
    <n v="3"/>
    <n v="3"/>
    <n v="500"/>
    <n v="600"/>
    <n v="350"/>
    <n v="250"/>
    <n v="0.41666666666666669"/>
    <x v="0"/>
  </r>
  <r>
    <x v="2"/>
    <d v="2026-08-01T00:00:00"/>
    <s v="Cali"/>
    <x v="2"/>
    <x v="0"/>
    <x v="2"/>
    <s v="Cafetera Express"/>
    <n v="3"/>
    <n v="90"/>
    <n v="50"/>
    <n v="6"/>
    <n v="4"/>
    <n v="300"/>
    <n v="270"/>
    <n v="150"/>
    <n v="120"/>
    <n v="0.44444444444444442"/>
    <x v="1"/>
  </r>
  <r>
    <x v="3"/>
    <d v="2026-08-02T00:00:00"/>
    <s v="Pasto"/>
    <x v="0"/>
    <x v="1"/>
    <x v="3"/>
    <s v="Tenis Running"/>
    <n v="4"/>
    <n v="110"/>
    <n v="60"/>
    <n v="1"/>
    <n v="2"/>
    <n v="400"/>
    <n v="440"/>
    <n v="240"/>
    <n v="200"/>
    <n v="0.45454545454545453"/>
    <x v="0"/>
  </r>
  <r>
    <x v="4"/>
    <d v="2026-08-02T00:00:00"/>
    <s v="Bogota"/>
    <x v="1"/>
    <x v="0"/>
    <x v="0"/>
    <s v="Smartphone X"/>
    <n v="3"/>
    <n v="650"/>
    <n v="450"/>
    <n v="2"/>
    <n v="3"/>
    <n v="1800"/>
    <n v="1950"/>
    <n v="1350"/>
    <n v="600"/>
    <n v="0.30769230769230771"/>
    <x v="0"/>
  </r>
  <r>
    <x v="5"/>
    <d v="2026-08-02T00:00:00"/>
    <s v="Cali"/>
    <x v="2"/>
    <x v="0"/>
    <x v="1"/>
    <s v="Jean Slim Fit"/>
    <n v="8"/>
    <n v="45"/>
    <n v="20"/>
    <n v="5"/>
    <n v="3"/>
    <n v="400"/>
    <n v="360"/>
    <n v="160"/>
    <n v="200"/>
    <n v="0.55555555555555558"/>
    <x v="1"/>
  </r>
  <r>
    <x v="6"/>
    <d v="2026-08-03T00:00:00"/>
    <s v="Pasto"/>
    <x v="0"/>
    <x v="0"/>
    <x v="2"/>
    <s v="Aspiradora Robot"/>
    <n v="2"/>
    <n v="280"/>
    <n v="180"/>
    <n v="3"/>
    <n v="3"/>
    <n v="500"/>
    <n v="560"/>
    <n v="360"/>
    <n v="200"/>
    <n v="0.35714285714285715"/>
    <x v="0"/>
  </r>
  <r>
    <x v="7"/>
    <d v="2026-08-03T00:00:00"/>
    <s v="Bogota"/>
    <x v="1"/>
    <x v="1"/>
    <x v="3"/>
    <s v="Botas Moto"/>
    <n v="3"/>
    <n v="150"/>
    <n v="85"/>
    <n v="2"/>
    <n v="2"/>
    <n v="400"/>
    <n v="450"/>
    <n v="255"/>
    <n v="195"/>
    <n v="0.43333333333333335"/>
    <x v="0"/>
  </r>
  <r>
    <x v="8"/>
    <d v="2026-08-03T00:00:00"/>
    <s v="Cali"/>
    <x v="2"/>
    <x v="0"/>
    <x v="0"/>
    <s v="Smart TV 55"/>
    <n v="2"/>
    <n v="520"/>
    <n v="380"/>
    <n v="7"/>
    <n v="4"/>
    <n v="1000"/>
    <n v="1040"/>
    <n v="760"/>
    <n v="280"/>
    <n v="0.26923076923076922"/>
    <x v="1"/>
  </r>
  <r>
    <x v="9"/>
    <d v="2026-08-04T00:00:00"/>
    <s v="Pasto"/>
    <x v="0"/>
    <x v="1"/>
    <x v="1"/>
    <s v="Camisa Lino"/>
    <n v="6"/>
    <n v="55"/>
    <n v="25"/>
    <n v="2"/>
    <n v="3"/>
    <n v="300"/>
    <n v="330"/>
    <n v="150"/>
    <n v="180"/>
    <n v="0.54545454545454541"/>
    <x v="0"/>
  </r>
  <r>
    <x v="10"/>
    <d v="2026-08-04T00:00:00"/>
    <s v="Bogota"/>
    <x v="1"/>
    <x v="0"/>
    <x v="2"/>
    <s v="Juego Comedor"/>
    <n v="1"/>
    <n v="450"/>
    <n v="290"/>
    <n v="4"/>
    <n v="3"/>
    <n v="400"/>
    <n v="450"/>
    <n v="290"/>
    <n v="160"/>
    <n v="0.35555555555555557"/>
    <x v="1"/>
  </r>
  <r>
    <x v="11"/>
    <d v="2026-08-04T00:00:00"/>
    <s v="Cali"/>
    <x v="2"/>
    <x v="1"/>
    <x v="3"/>
    <s v="Sandalias"/>
    <n v="10"/>
    <n v="35"/>
    <n v="15"/>
    <n v="4"/>
    <n v="3"/>
    <n v="300"/>
    <n v="350"/>
    <n v="150"/>
    <n v="200"/>
    <n v="0.5714285714285714"/>
    <x v="1"/>
  </r>
  <r>
    <x v="12"/>
    <d v="2026-08-05T00:00:00"/>
    <s v="Pasto"/>
    <x v="0"/>
    <x v="0"/>
    <x v="0"/>
    <s v="Tablet 10"/>
    <n v="4"/>
    <n v="220"/>
    <n v="140"/>
    <n v="2"/>
    <n v="3"/>
    <n v="800"/>
    <n v="880"/>
    <n v="560"/>
    <n v="320"/>
    <n v="0.36363636363636365"/>
    <x v="0"/>
  </r>
  <r>
    <x v="13"/>
    <d v="2026-08-05T00:00:00"/>
    <s v="Bogota"/>
    <x v="1"/>
    <x v="0"/>
    <x v="1"/>
    <s v="Saco Lana"/>
    <n v="5"/>
    <n v="65"/>
    <n v="30"/>
    <n v="2"/>
    <n v="3"/>
    <n v="300"/>
    <n v="325"/>
    <n v="150"/>
    <n v="175"/>
    <n v="0.53846153846153844"/>
    <x v="0"/>
  </r>
  <r>
    <x v="14"/>
    <d v="2026-08-05T00:00:00"/>
    <s v="Cali"/>
    <x v="2"/>
    <x v="0"/>
    <x v="2"/>
    <s v="Escritorio Pro"/>
    <n v="2"/>
    <n v="180"/>
    <n v="110"/>
    <n v="6"/>
    <n v="3"/>
    <n v="350"/>
    <n v="360"/>
    <n v="220"/>
    <n v="140"/>
    <n v="0.3888888888888889"/>
    <x v="1"/>
  </r>
  <r>
    <x v="15"/>
    <d v="2026-08-06T00:00:00"/>
    <s v="Pasto"/>
    <x v="0"/>
    <x v="1"/>
    <x v="3"/>
    <s v="Tenis Urbano"/>
    <n v="6"/>
    <n v="85"/>
    <n v="45"/>
    <n v="1"/>
    <n v="2"/>
    <n v="500"/>
    <n v="510"/>
    <n v="270"/>
    <n v="240"/>
    <n v="0.47058823529411764"/>
    <x v="0"/>
  </r>
  <r>
    <x v="16"/>
    <d v="2026-08-06T00:00:00"/>
    <s v="Bogota"/>
    <x v="1"/>
    <x v="0"/>
    <x v="0"/>
    <s v="Audifonos BT"/>
    <n v="12"/>
    <n v="75"/>
    <n v="35"/>
    <n v="1"/>
    <n v="2"/>
    <n v="800"/>
    <n v="900"/>
    <n v="420"/>
    <n v="480"/>
    <n v="0.53333333333333333"/>
    <x v="0"/>
  </r>
  <r>
    <x v="17"/>
    <d v="2026-08-06T00:00:00"/>
    <s v="Cali"/>
    <x v="2"/>
    <x v="1"/>
    <x v="1"/>
    <s v="Vestido Formal"/>
    <n v="4"/>
    <n v="110"/>
    <n v="55"/>
    <n v="5"/>
    <n v="3"/>
    <n v="400"/>
    <n v="440"/>
    <n v="220"/>
    <n v="220"/>
    <n v="0.5"/>
    <x v="1"/>
  </r>
  <r>
    <x v="18"/>
    <d v="2026-08-07T00:00:00"/>
    <s v="Pasto"/>
    <x v="0"/>
    <x v="0"/>
    <x v="2"/>
    <s v="Lámpara LED"/>
    <n v="15"/>
    <n v="25"/>
    <n v="10"/>
    <n v="2"/>
    <n v="3"/>
    <n v="300"/>
    <n v="375"/>
    <n v="150"/>
    <n v="225"/>
    <n v="0.6"/>
    <x v="0"/>
  </r>
  <r>
    <x v="19"/>
    <d v="2026-08-07T00:00:00"/>
    <s v="Bogota"/>
    <x v="1"/>
    <x v="1"/>
    <x v="3"/>
    <s v="Zapatos Formales"/>
    <n v="5"/>
    <n v="130"/>
    <n v="70"/>
    <n v="3"/>
    <n v="3"/>
    <n v="600"/>
    <n v="650"/>
    <n v="350"/>
    <n v="300"/>
    <n v="0.46153846153846156"/>
    <x v="0"/>
  </r>
  <r>
    <x v="20"/>
    <d v="2026-08-07T00:00:00"/>
    <s v="Cali"/>
    <x v="2"/>
    <x v="0"/>
    <x v="0"/>
    <s v="Consola Videojuegos"/>
    <n v="2"/>
    <n v="500"/>
    <n v="380"/>
    <n v="6"/>
    <n v="4"/>
    <n v="900"/>
    <n v="1000"/>
    <n v="760"/>
    <n v="240"/>
    <n v="0.24"/>
    <x v="1"/>
  </r>
  <r>
    <x v="21"/>
    <d v="2026-08-08T00:00:00"/>
    <s v="Pasto"/>
    <x v="0"/>
    <x v="0"/>
    <x v="1"/>
    <s v="Chaqueta Impermeable"/>
    <n v="3"/>
    <n v="95"/>
    <n v="45"/>
    <n v="2"/>
    <n v="3"/>
    <n v="300"/>
    <n v="285"/>
    <n v="135"/>
    <n v="150"/>
    <n v="0.52631578947368418"/>
    <x v="0"/>
  </r>
  <r>
    <x v="22"/>
    <d v="2026-08-08T00:00:00"/>
    <s v="Bogota"/>
    <x v="1"/>
    <x v="0"/>
    <x v="2"/>
    <s v="Silla Ergonomica"/>
    <n v="4"/>
    <n v="160"/>
    <n v="95"/>
    <n v="2"/>
    <n v="3"/>
    <n v="600"/>
    <n v="640"/>
    <n v="380"/>
    <n v="260"/>
    <n v="0.40625"/>
    <x v="0"/>
  </r>
  <r>
    <x v="23"/>
    <d v="2026-08-08T00:00:00"/>
    <s v="Cali"/>
    <x v="2"/>
    <x v="1"/>
    <x v="3"/>
    <s v="Tenis Deportivo"/>
    <n v="7"/>
    <n v="90"/>
    <n v="45"/>
    <n v="4"/>
    <n v="3"/>
    <n v="600"/>
    <n v="630"/>
    <n v="315"/>
    <n v="315"/>
    <n v="0.5"/>
    <x v="1"/>
  </r>
  <r>
    <x v="24"/>
    <d v="2026-08-09T00:00:00"/>
    <s v="Pasto"/>
    <x v="0"/>
    <x v="1"/>
    <x v="0"/>
    <s v="Monitor 27"/>
    <n v="3"/>
    <n v="310"/>
    <n v="210"/>
    <n v="2"/>
    <n v="3"/>
    <n v="900"/>
    <n v="930"/>
    <n v="630"/>
    <n v="300"/>
    <n v="0.32258064516129031"/>
    <x v="0"/>
  </r>
  <r>
    <x v="25"/>
    <d v="2026-08-09T00:00:00"/>
    <s v="Bogota"/>
    <x v="1"/>
    <x v="0"/>
    <x v="1"/>
    <s v="Buzo Hooded"/>
    <n v="8"/>
    <n v="50"/>
    <n v="22"/>
    <n v="2"/>
    <n v="3"/>
    <n v="400"/>
    <n v="400"/>
    <n v="176"/>
    <n v="224"/>
    <n v="0.56000000000000005"/>
    <x v="0"/>
  </r>
  <r>
    <x v="26"/>
    <d v="2026-08-09T00:00:00"/>
    <s v="Cali"/>
    <x v="2"/>
    <x v="0"/>
    <x v="2"/>
    <s v="Cama King"/>
    <n v="1"/>
    <n v="750"/>
    <n v="480"/>
    <n v="8"/>
    <n v="4"/>
    <n v="700"/>
    <n v="750"/>
    <n v="480"/>
    <n v="270"/>
    <n v="0.36"/>
    <x v="1"/>
  </r>
  <r>
    <x v="27"/>
    <d v="2026-08-10T00:00:00"/>
    <s v="Pasto"/>
    <x v="0"/>
    <x v="0"/>
    <x v="3"/>
    <s v="Botines Cuero"/>
    <n v="4"/>
    <n v="140"/>
    <n v="75"/>
    <n v="3"/>
    <n v="3"/>
    <n v="500"/>
    <n v="560"/>
    <n v="300"/>
    <n v="260"/>
    <n v="0.4642857142857143"/>
    <x v="0"/>
  </r>
  <r>
    <x v="28"/>
    <d v="2026-08-10T00:00:00"/>
    <s v="Bogota"/>
    <x v="1"/>
    <x v="1"/>
    <x v="0"/>
    <s v="Teclado Mecanico"/>
    <n v="6"/>
    <n v="90"/>
    <n v="50"/>
    <n v="1"/>
    <n v="2"/>
    <n v="500"/>
    <n v="540"/>
    <n v="300"/>
    <n v="240"/>
    <n v="0.44444444444444442"/>
    <x v="0"/>
  </r>
  <r>
    <x v="29"/>
    <d v="2026-08-10T00:00:00"/>
    <s v="Cali"/>
    <x v="2"/>
    <x v="0"/>
    <x v="1"/>
    <s v="Pantalón Cargo"/>
    <n v="6"/>
    <n v="60"/>
    <n v="28"/>
    <n v="5"/>
    <n v="3"/>
    <n v="350"/>
    <n v="360"/>
    <n v="168"/>
    <n v="192"/>
    <n v="0.53333333333333333"/>
    <x v="1"/>
  </r>
  <r>
    <x v="0"/>
    <d v="2026-08-01T00:00:00"/>
    <s v="Pasto"/>
    <x v="0"/>
    <x v="0"/>
    <x v="0"/>
    <s v="Laptop Pro 15"/>
    <n v="2"/>
    <n v="850"/>
    <n v="600"/>
    <n v="2"/>
    <n v="3"/>
    <n v="1500"/>
    <n v="1700"/>
    <n v="1200"/>
    <n v="500"/>
    <n v="0.29411764705882354"/>
    <x v="0"/>
  </r>
  <r>
    <x v="1"/>
    <d v="2026-08-01T00:00:00"/>
    <s v="Bogota"/>
    <x v="1"/>
    <x v="1"/>
    <x v="1"/>
    <s v="Chaqueta Cuero"/>
    <n v="5"/>
    <n v="120"/>
    <n v="70"/>
    <n v="3"/>
    <n v="3"/>
    <n v="500"/>
    <n v="600"/>
    <n v="350"/>
    <n v="250"/>
    <n v="0.41666666666666669"/>
    <x v="0"/>
  </r>
  <r>
    <x v="2"/>
    <d v="2026-08-01T00:00:00"/>
    <s v="Cali"/>
    <x v="2"/>
    <x v="0"/>
    <x v="2"/>
    <s v="Cafetera Express"/>
    <n v="3"/>
    <n v="90"/>
    <n v="50"/>
    <n v="6"/>
    <n v="4"/>
    <n v="300"/>
    <n v="270"/>
    <n v="150"/>
    <n v="120"/>
    <n v="0.44444444444444442"/>
    <x v="1"/>
  </r>
  <r>
    <x v="3"/>
    <d v="2026-08-02T00:00:00"/>
    <s v="Pasto"/>
    <x v="0"/>
    <x v="1"/>
    <x v="3"/>
    <s v="Tenis Running"/>
    <n v="4"/>
    <n v="110"/>
    <n v="60"/>
    <n v="1"/>
    <n v="2"/>
    <n v="400"/>
    <n v="440"/>
    <n v="240"/>
    <n v="200"/>
    <n v="0.45454545454545453"/>
    <x v="0"/>
  </r>
  <r>
    <x v="4"/>
    <d v="2026-08-02T00:00:00"/>
    <s v="Bogota"/>
    <x v="1"/>
    <x v="0"/>
    <x v="0"/>
    <s v="Smartphone X"/>
    <n v="3"/>
    <n v="650"/>
    <n v="450"/>
    <n v="2"/>
    <n v="3"/>
    <n v="1800"/>
    <n v="1950"/>
    <n v="1350"/>
    <n v="600"/>
    <n v="0.30769230769230771"/>
    <x v="0"/>
  </r>
  <r>
    <x v="5"/>
    <d v="2026-08-02T00:00:00"/>
    <s v="Cali"/>
    <x v="2"/>
    <x v="0"/>
    <x v="1"/>
    <s v="Jean Slim Fit"/>
    <n v="8"/>
    <n v="45"/>
    <n v="20"/>
    <n v="5"/>
    <n v="3"/>
    <n v="400"/>
    <n v="360"/>
    <n v="160"/>
    <n v="200"/>
    <n v="0.55555555555555558"/>
    <x v="1"/>
  </r>
  <r>
    <x v="6"/>
    <d v="2026-08-03T00:00:00"/>
    <s v="Pasto"/>
    <x v="0"/>
    <x v="0"/>
    <x v="2"/>
    <s v="Aspiradora Robot"/>
    <n v="2"/>
    <n v="280"/>
    <n v="180"/>
    <n v="3"/>
    <n v="3"/>
    <n v="500"/>
    <n v="560"/>
    <n v="360"/>
    <n v="200"/>
    <n v="0.35714285714285715"/>
    <x v="0"/>
  </r>
  <r>
    <x v="7"/>
    <d v="2026-08-03T00:00:00"/>
    <s v="Bogota"/>
    <x v="1"/>
    <x v="1"/>
    <x v="3"/>
    <s v="Botas Moto"/>
    <n v="3"/>
    <n v="150"/>
    <n v="85"/>
    <n v="2"/>
    <n v="2"/>
    <n v="400"/>
    <n v="450"/>
    <n v="255"/>
    <n v="195"/>
    <n v="0.43333333333333335"/>
    <x v="0"/>
  </r>
  <r>
    <x v="8"/>
    <d v="2026-08-03T00:00:00"/>
    <s v="Cali"/>
    <x v="2"/>
    <x v="0"/>
    <x v="0"/>
    <s v="Smart TV 55"/>
    <n v="2"/>
    <n v="520"/>
    <n v="380"/>
    <n v="7"/>
    <n v="4"/>
    <n v="1000"/>
    <n v="1040"/>
    <n v="760"/>
    <n v="280"/>
    <n v="0.26923076923076922"/>
    <x v="1"/>
  </r>
  <r>
    <x v="9"/>
    <d v="2026-08-04T00:00:00"/>
    <s v="Pasto"/>
    <x v="0"/>
    <x v="1"/>
    <x v="1"/>
    <s v="Camisa Lino"/>
    <n v="6"/>
    <n v="55"/>
    <n v="25"/>
    <n v="2"/>
    <n v="3"/>
    <n v="300"/>
    <n v="330"/>
    <n v="150"/>
    <n v="180"/>
    <n v="0.54545454545454541"/>
    <x v="0"/>
  </r>
  <r>
    <x v="10"/>
    <d v="2026-08-04T00:00:00"/>
    <s v="Bogota"/>
    <x v="1"/>
    <x v="0"/>
    <x v="2"/>
    <s v="Juego Comedor"/>
    <n v="1"/>
    <n v="450"/>
    <n v="290"/>
    <n v="4"/>
    <n v="3"/>
    <n v="400"/>
    <n v="450"/>
    <n v="290"/>
    <n v="160"/>
    <n v="0.35555555555555557"/>
    <x v="1"/>
  </r>
  <r>
    <x v="11"/>
    <d v="2026-08-04T00:00:00"/>
    <s v="Cali"/>
    <x v="2"/>
    <x v="1"/>
    <x v="3"/>
    <s v="Sandalias"/>
    <n v="10"/>
    <n v="35"/>
    <n v="15"/>
    <n v="4"/>
    <n v="3"/>
    <n v="300"/>
    <n v="350"/>
    <n v="150"/>
    <n v="200"/>
    <n v="0.5714285714285714"/>
    <x v="1"/>
  </r>
  <r>
    <x v="12"/>
    <d v="2026-08-05T00:00:00"/>
    <s v="Pasto"/>
    <x v="0"/>
    <x v="0"/>
    <x v="0"/>
    <s v="Tablet 10"/>
    <n v="4"/>
    <n v="220"/>
    <n v="140"/>
    <n v="2"/>
    <n v="3"/>
    <n v="800"/>
    <n v="880"/>
    <n v="560"/>
    <n v="320"/>
    <n v="0.36363636363636365"/>
    <x v="0"/>
  </r>
  <r>
    <x v="13"/>
    <d v="2026-08-05T00:00:00"/>
    <s v="Bogota"/>
    <x v="1"/>
    <x v="0"/>
    <x v="1"/>
    <s v="Saco Lana"/>
    <n v="5"/>
    <n v="65"/>
    <n v="30"/>
    <n v="2"/>
    <n v="3"/>
    <n v="300"/>
    <n v="325"/>
    <n v="150"/>
    <n v="175"/>
    <n v="0.53846153846153844"/>
    <x v="0"/>
  </r>
  <r>
    <x v="14"/>
    <d v="2026-08-05T00:00:00"/>
    <s v="Cali"/>
    <x v="2"/>
    <x v="0"/>
    <x v="2"/>
    <s v="Escritorio Pro"/>
    <n v="2"/>
    <n v="180"/>
    <n v="110"/>
    <n v="6"/>
    <n v="3"/>
    <n v="350"/>
    <n v="360"/>
    <n v="220"/>
    <n v="140"/>
    <n v="0.3888888888888889"/>
    <x v="1"/>
  </r>
  <r>
    <x v="15"/>
    <d v="2026-08-06T00:00:00"/>
    <s v="Pasto"/>
    <x v="0"/>
    <x v="1"/>
    <x v="3"/>
    <s v="Tenis Urbano"/>
    <n v="6"/>
    <n v="85"/>
    <n v="45"/>
    <n v="1"/>
    <n v="2"/>
    <n v="500"/>
    <n v="510"/>
    <n v="270"/>
    <n v="240"/>
    <n v="0.47058823529411764"/>
    <x v="0"/>
  </r>
  <r>
    <x v="16"/>
    <d v="2026-08-06T00:00:00"/>
    <s v="Bogota"/>
    <x v="1"/>
    <x v="0"/>
    <x v="0"/>
    <s v="Audifonos BT"/>
    <n v="12"/>
    <n v="75"/>
    <n v="35"/>
    <n v="1"/>
    <n v="2"/>
    <n v="800"/>
    <n v="900"/>
    <n v="420"/>
    <n v="480"/>
    <n v="0.53333333333333333"/>
    <x v="0"/>
  </r>
  <r>
    <x v="17"/>
    <d v="2026-08-06T00:00:00"/>
    <s v="Cali"/>
    <x v="2"/>
    <x v="1"/>
    <x v="1"/>
    <s v="Vestido Formal"/>
    <n v="4"/>
    <n v="110"/>
    <n v="55"/>
    <n v="5"/>
    <n v="3"/>
    <n v="400"/>
    <n v="440"/>
    <n v="220"/>
    <n v="220"/>
    <n v="0.5"/>
    <x v="1"/>
  </r>
  <r>
    <x v="18"/>
    <d v="2026-08-07T00:00:00"/>
    <s v="Pasto"/>
    <x v="0"/>
    <x v="0"/>
    <x v="2"/>
    <s v="Lámpara LED"/>
    <n v="15"/>
    <n v="25"/>
    <n v="10"/>
    <n v="2"/>
    <n v="3"/>
    <n v="300"/>
    <n v="375"/>
    <n v="150"/>
    <n v="225"/>
    <n v="0.6"/>
    <x v="0"/>
  </r>
  <r>
    <x v="19"/>
    <d v="2026-08-07T00:00:00"/>
    <s v="Bogota"/>
    <x v="1"/>
    <x v="1"/>
    <x v="3"/>
    <s v="Zapatos Formales"/>
    <n v="5"/>
    <n v="130"/>
    <n v="70"/>
    <n v="3"/>
    <n v="3"/>
    <n v="600"/>
    <n v="650"/>
    <n v="350"/>
    <n v="300"/>
    <n v="0.46153846153846156"/>
    <x v="0"/>
  </r>
  <r>
    <x v="20"/>
    <d v="2026-08-07T00:00:00"/>
    <s v="Cali"/>
    <x v="2"/>
    <x v="0"/>
    <x v="0"/>
    <s v="Consola Videojuegos"/>
    <n v="2"/>
    <n v="500"/>
    <n v="380"/>
    <n v="6"/>
    <n v="4"/>
    <n v="900"/>
    <n v="1000"/>
    <n v="760"/>
    <n v="240"/>
    <n v="0.24"/>
    <x v="1"/>
  </r>
  <r>
    <x v="21"/>
    <d v="2026-08-08T00:00:00"/>
    <s v="Pasto"/>
    <x v="0"/>
    <x v="0"/>
    <x v="1"/>
    <s v="Chaqueta Impermeable"/>
    <n v="3"/>
    <n v="95"/>
    <n v="45"/>
    <n v="2"/>
    <n v="3"/>
    <n v="300"/>
    <n v="285"/>
    <n v="135"/>
    <n v="150"/>
    <n v="0.52631578947368418"/>
    <x v="0"/>
  </r>
  <r>
    <x v="22"/>
    <d v="2026-08-08T00:00:00"/>
    <s v="Bogota"/>
    <x v="1"/>
    <x v="0"/>
    <x v="2"/>
    <s v="Silla Ergonomica"/>
    <n v="4"/>
    <n v="160"/>
    <n v="95"/>
    <n v="2"/>
    <n v="3"/>
    <n v="600"/>
    <n v="640"/>
    <n v="380"/>
    <n v="260"/>
    <n v="0.40625"/>
    <x v="0"/>
  </r>
  <r>
    <x v="23"/>
    <d v="2026-08-08T00:00:00"/>
    <s v="Cali"/>
    <x v="2"/>
    <x v="1"/>
    <x v="3"/>
    <s v="Tenis Deportivo"/>
    <n v="7"/>
    <n v="90"/>
    <n v="45"/>
    <n v="4"/>
    <n v="3"/>
    <n v="600"/>
    <n v="630"/>
    <n v="315"/>
    <n v="315"/>
    <n v="0.5"/>
    <x v="1"/>
  </r>
  <r>
    <x v="24"/>
    <d v="2026-08-09T00:00:00"/>
    <s v="Pasto"/>
    <x v="0"/>
    <x v="1"/>
    <x v="0"/>
    <s v="Monitor 27"/>
    <n v="3"/>
    <n v="310"/>
    <n v="210"/>
    <n v="2"/>
    <n v="3"/>
    <n v="900"/>
    <n v="930"/>
    <n v="630"/>
    <n v="300"/>
    <n v="0.32258064516129031"/>
    <x v="0"/>
  </r>
  <r>
    <x v="25"/>
    <d v="2026-08-09T00:00:00"/>
    <s v="Bogota"/>
    <x v="1"/>
    <x v="0"/>
    <x v="1"/>
    <s v="Buzo Hooded"/>
    <n v="8"/>
    <n v="50"/>
    <n v="22"/>
    <n v="2"/>
    <n v="3"/>
    <n v="400"/>
    <n v="400"/>
    <n v="176"/>
    <n v="224"/>
    <n v="0.56000000000000005"/>
    <x v="0"/>
  </r>
  <r>
    <x v="26"/>
    <d v="2026-08-09T00:00:00"/>
    <s v="Cali"/>
    <x v="2"/>
    <x v="0"/>
    <x v="2"/>
    <s v="Cama King"/>
    <n v="1"/>
    <n v="750"/>
    <n v="480"/>
    <n v="8"/>
    <n v="4"/>
    <n v="700"/>
    <n v="750"/>
    <n v="480"/>
    <n v="270"/>
    <n v="0.36"/>
    <x v="1"/>
  </r>
  <r>
    <x v="27"/>
    <d v="2026-08-10T00:00:00"/>
    <s v="Pasto"/>
    <x v="0"/>
    <x v="0"/>
    <x v="3"/>
    <s v="Botines Cuero"/>
    <n v="4"/>
    <n v="140"/>
    <n v="75"/>
    <n v="3"/>
    <n v="3"/>
    <n v="500"/>
    <n v="560"/>
    <n v="300"/>
    <n v="260"/>
    <n v="0.4642857142857143"/>
    <x v="0"/>
  </r>
  <r>
    <x v="28"/>
    <d v="2026-08-10T00:00:00"/>
    <s v="Bogota"/>
    <x v="1"/>
    <x v="1"/>
    <x v="0"/>
    <s v="Teclado Mecanico"/>
    <n v="6"/>
    <n v="90"/>
    <n v="50"/>
    <n v="1"/>
    <n v="2"/>
    <n v="500"/>
    <n v="540"/>
    <n v="300"/>
    <n v="240"/>
    <n v="0.44444444444444442"/>
    <x v="0"/>
  </r>
  <r>
    <x v="29"/>
    <d v="2026-08-10T00:00:00"/>
    <s v="Cali"/>
    <x v="2"/>
    <x v="0"/>
    <x v="1"/>
    <s v="Pantalón Cargo"/>
    <n v="6"/>
    <n v="60"/>
    <n v="28"/>
    <n v="5"/>
    <n v="3"/>
    <n v="350"/>
    <n v="360"/>
    <n v="168"/>
    <n v="192"/>
    <n v="0.53333333333333333"/>
    <x v="1"/>
  </r>
  <r>
    <x v="0"/>
    <d v="2026-08-01T00:00:00"/>
    <s v="Pasto"/>
    <x v="0"/>
    <x v="0"/>
    <x v="0"/>
    <s v="Laptop Pro 15"/>
    <n v="2"/>
    <n v="850"/>
    <n v="600"/>
    <n v="2"/>
    <n v="3"/>
    <n v="1500"/>
    <n v="1700"/>
    <n v="1200"/>
    <n v="500"/>
    <n v="0.29411764705882354"/>
    <x v="0"/>
  </r>
  <r>
    <x v="1"/>
    <d v="2026-08-01T00:00:00"/>
    <s v="Bogota"/>
    <x v="1"/>
    <x v="1"/>
    <x v="1"/>
    <s v="Chaqueta Cuero"/>
    <n v="5"/>
    <n v="120"/>
    <n v="70"/>
    <n v="3"/>
    <n v="3"/>
    <n v="500"/>
    <n v="600"/>
    <n v="350"/>
    <n v="250"/>
    <n v="0.41666666666666669"/>
    <x v="0"/>
  </r>
  <r>
    <x v="2"/>
    <d v="2026-08-01T00:00:00"/>
    <s v="Cali"/>
    <x v="2"/>
    <x v="0"/>
    <x v="2"/>
    <s v="Cafetera Express"/>
    <n v="3"/>
    <n v="90"/>
    <n v="50"/>
    <n v="6"/>
    <n v="4"/>
    <n v="300"/>
    <n v="270"/>
    <n v="150"/>
    <n v="120"/>
    <n v="0.44444444444444442"/>
    <x v="1"/>
  </r>
  <r>
    <x v="3"/>
    <d v="2026-08-02T00:00:00"/>
    <s v="Pasto"/>
    <x v="0"/>
    <x v="1"/>
    <x v="3"/>
    <s v="Tenis Running"/>
    <n v="4"/>
    <n v="110"/>
    <n v="60"/>
    <n v="1"/>
    <n v="2"/>
    <n v="400"/>
    <n v="440"/>
    <n v="240"/>
    <n v="200"/>
    <n v="0.45454545454545453"/>
    <x v="0"/>
  </r>
  <r>
    <x v="4"/>
    <d v="2026-08-02T00:00:00"/>
    <s v="Bogota"/>
    <x v="1"/>
    <x v="0"/>
    <x v="0"/>
    <s v="Smartphone X"/>
    <n v="3"/>
    <n v="650"/>
    <n v="450"/>
    <n v="2"/>
    <n v="3"/>
    <n v="1800"/>
    <n v="1950"/>
    <n v="1350"/>
    <n v="600"/>
    <n v="0.30769230769230771"/>
    <x v="0"/>
  </r>
  <r>
    <x v="5"/>
    <d v="2026-08-02T00:00:00"/>
    <s v="Cali"/>
    <x v="2"/>
    <x v="0"/>
    <x v="1"/>
    <s v="Jean Slim Fit"/>
    <n v="8"/>
    <n v="45"/>
    <n v="20"/>
    <n v="5"/>
    <n v="3"/>
    <n v="400"/>
    <n v="360"/>
    <n v="160"/>
    <n v="200"/>
    <n v="0.55555555555555558"/>
    <x v="1"/>
  </r>
  <r>
    <x v="6"/>
    <d v="2026-08-03T00:00:00"/>
    <s v="Pasto"/>
    <x v="0"/>
    <x v="0"/>
    <x v="2"/>
    <s v="Aspiradora Robot"/>
    <n v="2"/>
    <n v="280"/>
    <n v="180"/>
    <n v="3"/>
    <n v="3"/>
    <n v="500"/>
    <n v="560"/>
    <n v="360"/>
    <n v="200"/>
    <n v="0.35714285714285715"/>
    <x v="0"/>
  </r>
  <r>
    <x v="7"/>
    <d v="2026-08-03T00:00:00"/>
    <s v="Bogota"/>
    <x v="1"/>
    <x v="1"/>
    <x v="3"/>
    <s v="Botas Moto"/>
    <n v="3"/>
    <n v="150"/>
    <n v="85"/>
    <n v="2"/>
    <n v="2"/>
    <n v="400"/>
    <n v="450"/>
    <n v="255"/>
    <n v="195"/>
    <n v="0.43333333333333335"/>
    <x v="0"/>
  </r>
  <r>
    <x v="8"/>
    <d v="2026-08-03T00:00:00"/>
    <s v="Cali"/>
    <x v="2"/>
    <x v="0"/>
    <x v="0"/>
    <s v="Smart TV 55"/>
    <n v="2"/>
    <n v="520"/>
    <n v="380"/>
    <n v="7"/>
    <n v="4"/>
    <n v="1000"/>
    <n v="1040"/>
    <n v="760"/>
    <n v="280"/>
    <n v="0.26923076923076922"/>
    <x v="1"/>
  </r>
  <r>
    <x v="9"/>
    <d v="2026-08-04T00:00:00"/>
    <s v="Pasto"/>
    <x v="0"/>
    <x v="1"/>
    <x v="1"/>
    <s v="Camisa Lino"/>
    <n v="6"/>
    <n v="55"/>
    <n v="25"/>
    <n v="2"/>
    <n v="3"/>
    <n v="300"/>
    <n v="330"/>
    <n v="150"/>
    <n v="180"/>
    <n v="0.54545454545454541"/>
    <x v="0"/>
  </r>
  <r>
    <x v="10"/>
    <d v="2026-08-04T00:00:00"/>
    <s v="Bogota"/>
    <x v="1"/>
    <x v="0"/>
    <x v="2"/>
    <s v="Juego Comedor"/>
    <n v="1"/>
    <n v="450"/>
    <n v="290"/>
    <n v="4"/>
    <n v="3"/>
    <n v="400"/>
    <n v="450"/>
    <n v="290"/>
    <n v="160"/>
    <n v="0.35555555555555557"/>
    <x v="1"/>
  </r>
  <r>
    <x v="11"/>
    <d v="2026-08-04T00:00:00"/>
    <s v="Cali"/>
    <x v="2"/>
    <x v="1"/>
    <x v="3"/>
    <s v="Sandalias"/>
    <n v="10"/>
    <n v="35"/>
    <n v="15"/>
    <n v="4"/>
    <n v="3"/>
    <n v="300"/>
    <n v="350"/>
    <n v="150"/>
    <n v="200"/>
    <n v="0.5714285714285714"/>
    <x v="1"/>
  </r>
  <r>
    <x v="12"/>
    <d v="2026-08-05T00:00:00"/>
    <s v="Pasto"/>
    <x v="0"/>
    <x v="0"/>
    <x v="0"/>
    <s v="Tablet 10"/>
    <n v="4"/>
    <n v="220"/>
    <n v="140"/>
    <n v="2"/>
    <n v="3"/>
    <n v="800"/>
    <n v="880"/>
    <n v="560"/>
    <n v="320"/>
    <n v="0.36363636363636365"/>
    <x v="0"/>
  </r>
  <r>
    <x v="13"/>
    <d v="2026-08-05T00:00:00"/>
    <s v="Bogota"/>
    <x v="1"/>
    <x v="0"/>
    <x v="1"/>
    <s v="Saco Lana"/>
    <n v="5"/>
    <n v="65"/>
    <n v="30"/>
    <n v="2"/>
    <n v="3"/>
    <n v="300"/>
    <n v="325"/>
    <n v="150"/>
    <n v="175"/>
    <n v="0.53846153846153844"/>
    <x v="0"/>
  </r>
  <r>
    <x v="14"/>
    <d v="2026-08-05T00:00:00"/>
    <s v="Cali"/>
    <x v="2"/>
    <x v="0"/>
    <x v="2"/>
    <s v="Escritorio Pro"/>
    <n v="2"/>
    <n v="180"/>
    <n v="110"/>
    <n v="6"/>
    <n v="3"/>
    <n v="350"/>
    <n v="360"/>
    <n v="220"/>
    <n v="140"/>
    <n v="0.3888888888888889"/>
    <x v="1"/>
  </r>
  <r>
    <x v="15"/>
    <d v="2026-08-06T00:00:00"/>
    <s v="Pasto"/>
    <x v="0"/>
    <x v="1"/>
    <x v="3"/>
    <s v="Tenis Urbano"/>
    <n v="6"/>
    <n v="85"/>
    <n v="45"/>
    <n v="1"/>
    <n v="2"/>
    <n v="500"/>
    <n v="510"/>
    <n v="270"/>
    <n v="240"/>
    <n v="0.47058823529411764"/>
    <x v="0"/>
  </r>
  <r>
    <x v="16"/>
    <d v="2026-08-06T00:00:00"/>
    <s v="Bogota"/>
    <x v="1"/>
    <x v="0"/>
    <x v="0"/>
    <s v="Audifonos BT"/>
    <n v="12"/>
    <n v="75"/>
    <n v="35"/>
    <n v="1"/>
    <n v="2"/>
    <n v="800"/>
    <n v="900"/>
    <n v="420"/>
    <n v="480"/>
    <n v="0.53333333333333333"/>
    <x v="0"/>
  </r>
  <r>
    <x v="17"/>
    <d v="2026-08-06T00:00:00"/>
    <s v="Cali"/>
    <x v="2"/>
    <x v="1"/>
    <x v="1"/>
    <s v="Vestido Formal"/>
    <n v="4"/>
    <n v="110"/>
    <n v="55"/>
    <n v="5"/>
    <n v="3"/>
    <n v="400"/>
    <n v="440"/>
    <n v="220"/>
    <n v="220"/>
    <n v="0.5"/>
    <x v="1"/>
  </r>
  <r>
    <x v="18"/>
    <d v="2026-08-07T00:00:00"/>
    <s v="Pasto"/>
    <x v="0"/>
    <x v="0"/>
    <x v="2"/>
    <s v="Lámpara LED"/>
    <n v="15"/>
    <n v="25"/>
    <n v="10"/>
    <n v="2"/>
    <n v="3"/>
    <n v="300"/>
    <n v="375"/>
    <n v="150"/>
    <n v="225"/>
    <n v="0.6"/>
    <x v="0"/>
  </r>
  <r>
    <x v="19"/>
    <d v="2026-08-07T00:00:00"/>
    <s v="Bogota"/>
    <x v="1"/>
    <x v="1"/>
    <x v="3"/>
    <s v="Zapatos Formales"/>
    <n v="5"/>
    <n v="130"/>
    <n v="70"/>
    <n v="3"/>
    <n v="3"/>
    <n v="600"/>
    <n v="650"/>
    <n v="350"/>
    <n v="300"/>
    <n v="0.46153846153846156"/>
    <x v="0"/>
  </r>
  <r>
    <x v="20"/>
    <d v="2026-08-07T00:00:00"/>
    <s v="Cali"/>
    <x v="2"/>
    <x v="0"/>
    <x v="0"/>
    <s v="Consola Videojuegos"/>
    <n v="2"/>
    <n v="500"/>
    <n v="380"/>
    <n v="6"/>
    <n v="4"/>
    <n v="900"/>
    <n v="1000"/>
    <n v="760"/>
    <n v="240"/>
    <n v="0.24"/>
    <x v="1"/>
  </r>
  <r>
    <x v="21"/>
    <d v="2026-08-08T00:00:00"/>
    <s v="Pasto"/>
    <x v="0"/>
    <x v="0"/>
    <x v="1"/>
    <s v="Chaqueta Impermeable"/>
    <n v="3"/>
    <n v="95"/>
    <n v="45"/>
    <n v="2"/>
    <n v="3"/>
    <n v="300"/>
    <n v="285"/>
    <n v="135"/>
    <n v="150"/>
    <n v="0.52631578947368418"/>
    <x v="0"/>
  </r>
  <r>
    <x v="22"/>
    <d v="2026-08-08T00:00:00"/>
    <s v="Bogota"/>
    <x v="1"/>
    <x v="0"/>
    <x v="2"/>
    <s v="Silla Ergonomica"/>
    <n v="4"/>
    <n v="160"/>
    <n v="95"/>
    <n v="2"/>
    <n v="3"/>
    <n v="600"/>
    <n v="640"/>
    <n v="380"/>
    <n v="260"/>
    <n v="0.40625"/>
    <x v="0"/>
  </r>
  <r>
    <x v="23"/>
    <d v="2026-08-08T00:00:00"/>
    <s v="Cali"/>
    <x v="2"/>
    <x v="1"/>
    <x v="3"/>
    <s v="Tenis Deportivo"/>
    <n v="7"/>
    <n v="90"/>
    <n v="45"/>
    <n v="4"/>
    <n v="3"/>
    <n v="600"/>
    <n v="630"/>
    <n v="315"/>
    <n v="315"/>
    <n v="0.5"/>
    <x v="1"/>
  </r>
  <r>
    <x v="24"/>
    <d v="2026-08-09T00:00:00"/>
    <s v="Pasto"/>
    <x v="0"/>
    <x v="1"/>
    <x v="0"/>
    <s v="Monitor 27"/>
    <n v="3"/>
    <n v="310"/>
    <n v="210"/>
    <n v="2"/>
    <n v="3"/>
    <n v="900"/>
    <n v="930"/>
    <n v="630"/>
    <n v="300"/>
    <n v="0.32258064516129031"/>
    <x v="0"/>
  </r>
  <r>
    <x v="25"/>
    <d v="2026-08-09T00:00:00"/>
    <s v="Bogota"/>
    <x v="1"/>
    <x v="0"/>
    <x v="1"/>
    <s v="Buzo Hooded"/>
    <n v="8"/>
    <n v="50"/>
    <n v="22"/>
    <n v="2"/>
    <n v="3"/>
    <n v="400"/>
    <n v="400"/>
    <n v="176"/>
    <n v="224"/>
    <n v="0.56000000000000005"/>
    <x v="0"/>
  </r>
  <r>
    <x v="26"/>
    <d v="2026-08-09T00:00:00"/>
    <s v="Cali"/>
    <x v="2"/>
    <x v="0"/>
    <x v="2"/>
    <s v="Cama King"/>
    <n v="1"/>
    <n v="750"/>
    <n v="480"/>
    <n v="8"/>
    <n v="4"/>
    <n v="700"/>
    <n v="750"/>
    <n v="480"/>
    <n v="270"/>
    <n v="0.36"/>
    <x v="1"/>
  </r>
  <r>
    <x v="27"/>
    <d v="2026-08-10T00:00:00"/>
    <s v="Pasto"/>
    <x v="0"/>
    <x v="0"/>
    <x v="3"/>
    <s v="Botines Cuero"/>
    <n v="4"/>
    <n v="140"/>
    <n v="75"/>
    <n v="3"/>
    <n v="3"/>
    <n v="500"/>
    <n v="560"/>
    <n v="300"/>
    <n v="260"/>
    <n v="0.4642857142857143"/>
    <x v="0"/>
  </r>
  <r>
    <x v="28"/>
    <d v="2026-08-10T00:00:00"/>
    <s v="Bogota"/>
    <x v="1"/>
    <x v="1"/>
    <x v="0"/>
    <s v="Teclado Mecanico"/>
    <n v="6"/>
    <n v="90"/>
    <n v="50"/>
    <n v="1"/>
    <n v="2"/>
    <n v="500"/>
    <n v="540"/>
    <n v="300"/>
    <n v="240"/>
    <n v="0.44444444444444442"/>
    <x v="0"/>
  </r>
  <r>
    <x v="29"/>
    <d v="2026-08-10T00:00:00"/>
    <s v="Cali"/>
    <x v="2"/>
    <x v="0"/>
    <x v="1"/>
    <s v="Pantalón Cargo"/>
    <n v="6"/>
    <n v="60"/>
    <n v="28"/>
    <n v="5"/>
    <n v="3"/>
    <n v="350"/>
    <n v="360"/>
    <n v="168"/>
    <n v="192"/>
    <n v="0.53333333333333333"/>
    <x v="1"/>
  </r>
  <r>
    <x v="0"/>
    <d v="2026-08-01T00:00:00"/>
    <s v="Pasto"/>
    <x v="0"/>
    <x v="0"/>
    <x v="0"/>
    <s v="Laptop Pro 15"/>
    <n v="2"/>
    <n v="850"/>
    <n v="600"/>
    <n v="2"/>
    <n v="3"/>
    <n v="1500"/>
    <n v="1700"/>
    <n v="1200"/>
    <n v="500"/>
    <n v="0.29411764705882354"/>
    <x v="0"/>
  </r>
  <r>
    <x v="1"/>
    <d v="2026-08-01T00:00:00"/>
    <s v="Bogota"/>
    <x v="1"/>
    <x v="1"/>
    <x v="1"/>
    <s v="Chaqueta Cuero"/>
    <n v="5"/>
    <n v="120"/>
    <n v="70"/>
    <n v="3"/>
    <n v="3"/>
    <n v="500"/>
    <n v="600"/>
    <n v="350"/>
    <n v="250"/>
    <n v="0.41666666666666669"/>
    <x v="0"/>
  </r>
  <r>
    <x v="2"/>
    <d v="2026-08-01T00:00:00"/>
    <s v="Cali"/>
    <x v="2"/>
    <x v="0"/>
    <x v="2"/>
    <s v="Cafetera Express"/>
    <n v="3"/>
    <n v="90"/>
    <n v="50"/>
    <n v="6"/>
    <n v="4"/>
    <n v="300"/>
    <n v="270"/>
    <n v="150"/>
    <n v="120"/>
    <n v="0.44444444444444442"/>
    <x v="1"/>
  </r>
  <r>
    <x v="3"/>
    <d v="2026-08-02T00:00:00"/>
    <s v="Pasto"/>
    <x v="0"/>
    <x v="1"/>
    <x v="3"/>
    <s v="Tenis Running"/>
    <n v="4"/>
    <n v="110"/>
    <n v="60"/>
    <n v="1"/>
    <n v="2"/>
    <n v="400"/>
    <n v="440"/>
    <n v="240"/>
    <n v="200"/>
    <n v="0.45454545454545453"/>
    <x v="0"/>
  </r>
  <r>
    <x v="4"/>
    <d v="2026-08-02T00:00:00"/>
    <s v="Bogota"/>
    <x v="1"/>
    <x v="0"/>
    <x v="0"/>
    <s v="Smartphone X"/>
    <n v="3"/>
    <n v="650"/>
    <n v="450"/>
    <n v="2"/>
    <n v="3"/>
    <n v="1800"/>
    <n v="1950"/>
    <n v="1350"/>
    <n v="600"/>
    <n v="0.30769230769230771"/>
    <x v="0"/>
  </r>
  <r>
    <x v="5"/>
    <d v="2026-08-02T00:00:00"/>
    <s v="Cali"/>
    <x v="2"/>
    <x v="0"/>
    <x v="1"/>
    <s v="Jean Slim Fit"/>
    <n v="8"/>
    <n v="45"/>
    <n v="20"/>
    <n v="5"/>
    <n v="3"/>
    <n v="400"/>
    <n v="360"/>
    <n v="160"/>
    <n v="200"/>
    <n v="0.55555555555555558"/>
    <x v="1"/>
  </r>
  <r>
    <x v="6"/>
    <d v="2026-08-03T00:00:00"/>
    <s v="Pasto"/>
    <x v="0"/>
    <x v="0"/>
    <x v="2"/>
    <s v="Aspiradora Robot"/>
    <n v="2"/>
    <n v="280"/>
    <n v="180"/>
    <n v="3"/>
    <n v="3"/>
    <n v="500"/>
    <n v="560"/>
    <n v="360"/>
    <n v="200"/>
    <n v="0.35714285714285715"/>
    <x v="0"/>
  </r>
  <r>
    <x v="7"/>
    <d v="2026-08-03T00:00:00"/>
    <s v="Bogota"/>
    <x v="1"/>
    <x v="1"/>
    <x v="3"/>
    <s v="Botas Moto"/>
    <n v="3"/>
    <n v="150"/>
    <n v="85"/>
    <n v="2"/>
    <n v="2"/>
    <n v="400"/>
    <n v="450"/>
    <n v="255"/>
    <n v="195"/>
    <n v="0.43333333333333335"/>
    <x v="0"/>
  </r>
  <r>
    <x v="8"/>
    <d v="2026-08-03T00:00:00"/>
    <s v="Cali"/>
    <x v="2"/>
    <x v="0"/>
    <x v="0"/>
    <s v="Smart TV 55"/>
    <n v="2"/>
    <n v="520"/>
    <n v="380"/>
    <n v="7"/>
    <n v="4"/>
    <n v="1000"/>
    <n v="1040"/>
    <n v="760"/>
    <n v="280"/>
    <n v="0.26923076923076922"/>
    <x v="1"/>
  </r>
  <r>
    <x v="9"/>
    <d v="2026-08-04T00:00:00"/>
    <s v="Pasto"/>
    <x v="0"/>
    <x v="1"/>
    <x v="1"/>
    <s v="Camisa Lino"/>
    <n v="6"/>
    <n v="55"/>
    <n v="25"/>
    <n v="2"/>
    <n v="3"/>
    <n v="300"/>
    <n v="330"/>
    <n v="150"/>
    <n v="180"/>
    <n v="0.54545454545454541"/>
    <x v="0"/>
  </r>
  <r>
    <x v="10"/>
    <d v="2026-08-04T00:00:00"/>
    <s v="Bogota"/>
    <x v="1"/>
    <x v="0"/>
    <x v="2"/>
    <s v="Juego Comedor"/>
    <n v="1"/>
    <n v="450"/>
    <n v="290"/>
    <n v="4"/>
    <n v="3"/>
    <n v="400"/>
    <n v="450"/>
    <n v="290"/>
    <n v="160"/>
    <n v="0.35555555555555557"/>
    <x v="1"/>
  </r>
  <r>
    <x v="11"/>
    <d v="2026-08-04T00:00:00"/>
    <s v="Cali"/>
    <x v="2"/>
    <x v="1"/>
    <x v="3"/>
    <s v="Sandalias"/>
    <n v="10"/>
    <n v="35"/>
    <n v="15"/>
    <n v="4"/>
    <n v="3"/>
    <n v="300"/>
    <n v="350"/>
    <n v="150"/>
    <n v="200"/>
    <n v="0.5714285714285714"/>
    <x v="1"/>
  </r>
  <r>
    <x v="12"/>
    <d v="2026-08-05T00:00:00"/>
    <s v="Pasto"/>
    <x v="0"/>
    <x v="0"/>
    <x v="0"/>
    <s v="Tablet 10"/>
    <n v="4"/>
    <n v="220"/>
    <n v="140"/>
    <n v="2"/>
    <n v="3"/>
    <n v="800"/>
    <n v="880"/>
    <n v="560"/>
    <n v="320"/>
    <n v="0.36363636363636365"/>
    <x v="0"/>
  </r>
  <r>
    <x v="13"/>
    <d v="2026-08-05T00:00:00"/>
    <s v="Bogota"/>
    <x v="1"/>
    <x v="0"/>
    <x v="1"/>
    <s v="Saco Lana"/>
    <n v="5"/>
    <n v="65"/>
    <n v="30"/>
    <n v="2"/>
    <n v="3"/>
    <n v="300"/>
    <n v="325"/>
    <n v="150"/>
    <n v="175"/>
    <n v="0.53846153846153844"/>
    <x v="0"/>
  </r>
  <r>
    <x v="14"/>
    <d v="2026-08-05T00:00:00"/>
    <s v="Cali"/>
    <x v="2"/>
    <x v="0"/>
    <x v="2"/>
    <s v="Escritorio Pro"/>
    <n v="2"/>
    <n v="180"/>
    <n v="110"/>
    <n v="6"/>
    <n v="3"/>
    <n v="350"/>
    <n v="360"/>
    <n v="220"/>
    <n v="140"/>
    <n v="0.3888888888888889"/>
    <x v="1"/>
  </r>
  <r>
    <x v="15"/>
    <d v="2026-08-06T00:00:00"/>
    <s v="Pasto"/>
    <x v="0"/>
    <x v="1"/>
    <x v="3"/>
    <s v="Tenis Urbano"/>
    <n v="6"/>
    <n v="85"/>
    <n v="45"/>
    <n v="1"/>
    <n v="2"/>
    <n v="500"/>
    <n v="510"/>
    <n v="270"/>
    <n v="240"/>
    <n v="0.47058823529411764"/>
    <x v="0"/>
  </r>
  <r>
    <x v="16"/>
    <d v="2026-08-06T00:00:00"/>
    <s v="Bogota"/>
    <x v="1"/>
    <x v="0"/>
    <x v="0"/>
    <s v="Audifonos BT"/>
    <n v="12"/>
    <n v="75"/>
    <n v="35"/>
    <n v="1"/>
    <n v="2"/>
    <n v="800"/>
    <n v="900"/>
    <n v="420"/>
    <n v="480"/>
    <n v="0.53333333333333333"/>
    <x v="0"/>
  </r>
  <r>
    <x v="17"/>
    <d v="2026-08-06T00:00:00"/>
    <s v="Cali"/>
    <x v="2"/>
    <x v="1"/>
    <x v="1"/>
    <s v="Vestido Formal"/>
    <n v="4"/>
    <n v="110"/>
    <n v="55"/>
    <n v="5"/>
    <n v="3"/>
    <n v="400"/>
    <n v="440"/>
    <n v="220"/>
    <n v="220"/>
    <n v="0.5"/>
    <x v="1"/>
  </r>
  <r>
    <x v="18"/>
    <d v="2026-08-07T00:00:00"/>
    <s v="Pasto"/>
    <x v="0"/>
    <x v="0"/>
    <x v="2"/>
    <s v="Lámpara LED"/>
    <n v="15"/>
    <n v="25"/>
    <n v="10"/>
    <n v="2"/>
    <n v="3"/>
    <n v="300"/>
    <n v="375"/>
    <n v="150"/>
    <n v="225"/>
    <n v="0.6"/>
    <x v="0"/>
  </r>
  <r>
    <x v="19"/>
    <d v="2026-08-07T00:00:00"/>
    <s v="Bogota"/>
    <x v="1"/>
    <x v="1"/>
    <x v="3"/>
    <s v="Zapatos Formales"/>
    <n v="5"/>
    <n v="130"/>
    <n v="70"/>
    <n v="3"/>
    <n v="3"/>
    <n v="600"/>
    <n v="650"/>
    <n v="350"/>
    <n v="300"/>
    <n v="0.46153846153846156"/>
    <x v="0"/>
  </r>
  <r>
    <x v="20"/>
    <d v="2026-08-07T00:00:00"/>
    <s v="Cali"/>
    <x v="2"/>
    <x v="0"/>
    <x v="0"/>
    <s v="Consola Videojuegos"/>
    <n v="2"/>
    <n v="500"/>
    <n v="380"/>
    <n v="6"/>
    <n v="4"/>
    <n v="900"/>
    <n v="1000"/>
    <n v="760"/>
    <n v="240"/>
    <n v="0.24"/>
    <x v="1"/>
  </r>
  <r>
    <x v="21"/>
    <d v="2026-08-08T00:00:00"/>
    <s v="Pasto"/>
    <x v="0"/>
    <x v="0"/>
    <x v="1"/>
    <s v="Chaqueta Impermeable"/>
    <n v="3"/>
    <n v="95"/>
    <n v="45"/>
    <n v="2"/>
    <n v="3"/>
    <n v="300"/>
    <n v="285"/>
    <n v="135"/>
    <n v="150"/>
    <n v="0.52631578947368418"/>
    <x v="0"/>
  </r>
  <r>
    <x v="22"/>
    <d v="2026-08-08T00:00:00"/>
    <s v="Bogota"/>
    <x v="1"/>
    <x v="0"/>
    <x v="2"/>
    <s v="Silla Ergonomica"/>
    <n v="4"/>
    <n v="160"/>
    <n v="95"/>
    <n v="2"/>
    <n v="3"/>
    <n v="600"/>
    <n v="640"/>
    <n v="380"/>
    <n v="260"/>
    <n v="0.40625"/>
    <x v="0"/>
  </r>
  <r>
    <x v="23"/>
    <d v="2026-08-08T00:00:00"/>
    <s v="Cali"/>
    <x v="2"/>
    <x v="1"/>
    <x v="3"/>
    <s v="Tenis Deportivo"/>
    <n v="7"/>
    <n v="90"/>
    <n v="45"/>
    <n v="4"/>
    <n v="3"/>
    <n v="600"/>
    <n v="630"/>
    <n v="315"/>
    <n v="315"/>
    <n v="0.5"/>
    <x v="1"/>
  </r>
  <r>
    <x v="24"/>
    <d v="2026-08-09T00:00:00"/>
    <s v="Pasto"/>
    <x v="0"/>
    <x v="1"/>
    <x v="0"/>
    <s v="Monitor 27"/>
    <n v="3"/>
    <n v="310"/>
    <n v="210"/>
    <n v="2"/>
    <n v="3"/>
    <n v="900"/>
    <n v="930"/>
    <n v="630"/>
    <n v="300"/>
    <n v="0.32258064516129031"/>
    <x v="0"/>
  </r>
  <r>
    <x v="25"/>
    <d v="2026-08-09T00:00:00"/>
    <s v="Bogota"/>
    <x v="1"/>
    <x v="0"/>
    <x v="1"/>
    <s v="Buzo Hooded"/>
    <n v="8"/>
    <n v="50"/>
    <n v="22"/>
    <n v="2"/>
    <n v="3"/>
    <n v="400"/>
    <n v="400"/>
    <n v="176"/>
    <n v="224"/>
    <n v="0.56000000000000005"/>
    <x v="0"/>
  </r>
  <r>
    <x v="26"/>
    <d v="2026-08-09T00:00:00"/>
    <s v="Cali"/>
    <x v="2"/>
    <x v="0"/>
    <x v="2"/>
    <s v="Cama King"/>
    <n v="1"/>
    <n v="750"/>
    <n v="480"/>
    <n v="8"/>
    <n v="4"/>
    <n v="700"/>
    <n v="750"/>
    <n v="480"/>
    <n v="270"/>
    <n v="0.36"/>
    <x v="1"/>
  </r>
  <r>
    <x v="27"/>
    <d v="2026-08-10T00:00:00"/>
    <s v="Pasto"/>
    <x v="0"/>
    <x v="0"/>
    <x v="3"/>
    <s v="Botines Cuero"/>
    <n v="4"/>
    <n v="140"/>
    <n v="75"/>
    <n v="3"/>
    <n v="3"/>
    <n v="500"/>
    <n v="560"/>
    <n v="300"/>
    <n v="260"/>
    <n v="0.4642857142857143"/>
    <x v="0"/>
  </r>
  <r>
    <x v="28"/>
    <d v="2026-08-10T00:00:00"/>
    <s v="Bogota"/>
    <x v="1"/>
    <x v="1"/>
    <x v="0"/>
    <s v="Teclado Mecanico"/>
    <n v="6"/>
    <n v="90"/>
    <n v="50"/>
    <n v="1"/>
    <n v="2"/>
    <n v="500"/>
    <n v="540"/>
    <n v="300"/>
    <n v="240"/>
    <n v="0.44444444444444442"/>
    <x v="0"/>
  </r>
  <r>
    <x v="29"/>
    <d v="2026-08-10T00:00:00"/>
    <s v="Cali"/>
    <x v="2"/>
    <x v="0"/>
    <x v="1"/>
    <s v="Pantalón Cargo"/>
    <n v="6"/>
    <n v="60"/>
    <n v="28"/>
    <n v="5"/>
    <n v="3"/>
    <n v="350"/>
    <n v="360"/>
    <n v="168"/>
    <n v="192"/>
    <n v="0.53333333333333333"/>
    <x v="1"/>
  </r>
  <r>
    <x v="0"/>
    <d v="2026-08-01T00:00:00"/>
    <s v="Pasto"/>
    <x v="0"/>
    <x v="0"/>
    <x v="0"/>
    <s v="Laptop Pro 15"/>
    <n v="2"/>
    <n v="850"/>
    <n v="600"/>
    <n v="2"/>
    <n v="3"/>
    <n v="1500"/>
    <n v="1700"/>
    <n v="1200"/>
    <n v="500"/>
    <n v="0.29411764705882354"/>
    <x v="0"/>
  </r>
  <r>
    <x v="1"/>
    <d v="2026-08-01T00:00:00"/>
    <s v="Bogota"/>
    <x v="1"/>
    <x v="1"/>
    <x v="1"/>
    <s v="Chaqueta Cuero"/>
    <n v="5"/>
    <n v="120"/>
    <n v="70"/>
    <n v="3"/>
    <n v="3"/>
    <n v="500"/>
    <n v="600"/>
    <n v="350"/>
    <n v="250"/>
    <n v="0.41666666666666669"/>
    <x v="0"/>
  </r>
  <r>
    <x v="2"/>
    <d v="2026-08-01T00:00:00"/>
    <s v="Cali"/>
    <x v="2"/>
    <x v="0"/>
    <x v="2"/>
    <s v="Cafetera Express"/>
    <n v="3"/>
    <n v="90"/>
    <n v="50"/>
    <n v="6"/>
    <n v="4"/>
    <n v="300"/>
    <n v="270"/>
    <n v="150"/>
    <n v="120"/>
    <n v="0.44444444444444442"/>
    <x v="1"/>
  </r>
  <r>
    <x v="3"/>
    <d v="2026-08-02T00:00:00"/>
    <s v="Pasto"/>
    <x v="0"/>
    <x v="1"/>
    <x v="3"/>
    <s v="Tenis Running"/>
    <n v="4"/>
    <n v="110"/>
    <n v="60"/>
    <n v="1"/>
    <n v="2"/>
    <n v="400"/>
    <n v="440"/>
    <n v="240"/>
    <n v="200"/>
    <n v="0.45454545454545453"/>
    <x v="0"/>
  </r>
  <r>
    <x v="4"/>
    <d v="2026-08-02T00:00:00"/>
    <s v="Bogota"/>
    <x v="1"/>
    <x v="0"/>
    <x v="0"/>
    <s v="Smartphone X"/>
    <n v="3"/>
    <n v="650"/>
    <n v="450"/>
    <n v="2"/>
    <n v="3"/>
    <n v="1800"/>
    <n v="1950"/>
    <n v="1350"/>
    <n v="600"/>
    <n v="0.30769230769230771"/>
    <x v="0"/>
  </r>
  <r>
    <x v="5"/>
    <d v="2026-08-02T00:00:00"/>
    <s v="Cali"/>
    <x v="2"/>
    <x v="0"/>
    <x v="1"/>
    <s v="Jean Slim Fit"/>
    <n v="8"/>
    <n v="45"/>
    <n v="20"/>
    <n v="5"/>
    <n v="3"/>
    <n v="400"/>
    <n v="360"/>
    <n v="160"/>
    <n v="200"/>
    <n v="0.55555555555555558"/>
    <x v="1"/>
  </r>
  <r>
    <x v="6"/>
    <d v="2026-08-03T00:00:00"/>
    <s v="Pasto"/>
    <x v="0"/>
    <x v="0"/>
    <x v="2"/>
    <s v="Aspiradora Robot"/>
    <n v="2"/>
    <n v="280"/>
    <n v="180"/>
    <n v="3"/>
    <n v="3"/>
    <n v="500"/>
    <n v="560"/>
    <n v="360"/>
    <n v="200"/>
    <n v="0.35714285714285715"/>
    <x v="0"/>
  </r>
  <r>
    <x v="7"/>
    <d v="2026-08-03T00:00:00"/>
    <s v="Bogota"/>
    <x v="1"/>
    <x v="1"/>
    <x v="3"/>
    <s v="Botas Moto"/>
    <n v="3"/>
    <n v="150"/>
    <n v="85"/>
    <n v="2"/>
    <n v="2"/>
    <n v="400"/>
    <n v="450"/>
    <n v="255"/>
    <n v="195"/>
    <n v="0.43333333333333335"/>
    <x v="0"/>
  </r>
  <r>
    <x v="8"/>
    <d v="2026-08-03T00:00:00"/>
    <s v="Cali"/>
    <x v="2"/>
    <x v="0"/>
    <x v="0"/>
    <s v="Smart TV 55"/>
    <n v="2"/>
    <n v="520"/>
    <n v="380"/>
    <n v="7"/>
    <n v="4"/>
    <n v="1000"/>
    <n v="1040"/>
    <n v="760"/>
    <n v="280"/>
    <n v="0.26923076923076922"/>
    <x v="1"/>
  </r>
  <r>
    <x v="9"/>
    <d v="2026-08-04T00:00:00"/>
    <s v="Pasto"/>
    <x v="0"/>
    <x v="1"/>
    <x v="1"/>
    <s v="Camisa Lino"/>
    <n v="6"/>
    <n v="55"/>
    <n v="25"/>
    <n v="2"/>
    <n v="3"/>
    <n v="300"/>
    <n v="330"/>
    <n v="150"/>
    <n v="180"/>
    <n v="0.54545454545454541"/>
    <x v="0"/>
  </r>
  <r>
    <x v="10"/>
    <d v="2026-08-04T00:00:00"/>
    <s v="Bogota"/>
    <x v="1"/>
    <x v="0"/>
    <x v="2"/>
    <s v="Juego Comedor"/>
    <n v="1"/>
    <n v="450"/>
    <n v="290"/>
    <n v="4"/>
    <n v="3"/>
    <n v="400"/>
    <n v="450"/>
    <n v="290"/>
    <n v="160"/>
    <n v="0.35555555555555557"/>
    <x v="1"/>
  </r>
  <r>
    <x v="11"/>
    <d v="2026-08-04T00:00:00"/>
    <s v="Cali"/>
    <x v="2"/>
    <x v="1"/>
    <x v="3"/>
    <s v="Sandalias"/>
    <n v="10"/>
    <n v="35"/>
    <n v="15"/>
    <n v="4"/>
    <n v="3"/>
    <n v="300"/>
    <n v="350"/>
    <n v="150"/>
    <n v="200"/>
    <n v="0.5714285714285714"/>
    <x v="1"/>
  </r>
  <r>
    <x v="12"/>
    <d v="2026-08-05T00:00:00"/>
    <s v="Pasto"/>
    <x v="0"/>
    <x v="0"/>
    <x v="0"/>
    <s v="Tablet 10"/>
    <n v="4"/>
    <n v="220"/>
    <n v="140"/>
    <n v="2"/>
    <n v="3"/>
    <n v="800"/>
    <n v="880"/>
    <n v="560"/>
    <n v="320"/>
    <n v="0.36363636363636365"/>
    <x v="0"/>
  </r>
  <r>
    <x v="13"/>
    <d v="2026-08-05T00:00:00"/>
    <s v="Bogota"/>
    <x v="1"/>
    <x v="0"/>
    <x v="1"/>
    <s v="Saco Lana"/>
    <n v="5"/>
    <n v="65"/>
    <n v="30"/>
    <n v="2"/>
    <n v="3"/>
    <n v="300"/>
    <n v="325"/>
    <n v="150"/>
    <n v="175"/>
    <n v="0.53846153846153844"/>
    <x v="0"/>
  </r>
  <r>
    <x v="14"/>
    <d v="2026-08-05T00:00:00"/>
    <s v="Cali"/>
    <x v="2"/>
    <x v="0"/>
    <x v="2"/>
    <s v="Escritorio Pro"/>
    <n v="2"/>
    <n v="180"/>
    <n v="110"/>
    <n v="6"/>
    <n v="3"/>
    <n v="350"/>
    <n v="360"/>
    <n v="220"/>
    <n v="140"/>
    <n v="0.3888888888888889"/>
    <x v="1"/>
  </r>
  <r>
    <x v="15"/>
    <d v="2026-08-06T00:00:00"/>
    <s v="Pasto"/>
    <x v="0"/>
    <x v="1"/>
    <x v="3"/>
    <s v="Tenis Urbano"/>
    <n v="6"/>
    <n v="85"/>
    <n v="45"/>
    <n v="1"/>
    <n v="2"/>
    <n v="500"/>
    <n v="510"/>
    <n v="270"/>
    <n v="240"/>
    <n v="0.47058823529411764"/>
    <x v="0"/>
  </r>
  <r>
    <x v="16"/>
    <d v="2026-08-06T00:00:00"/>
    <s v="Bogota"/>
    <x v="1"/>
    <x v="0"/>
    <x v="0"/>
    <s v="Audifonos BT"/>
    <n v="12"/>
    <n v="75"/>
    <n v="35"/>
    <n v="1"/>
    <n v="2"/>
    <n v="800"/>
    <n v="900"/>
    <n v="420"/>
    <n v="480"/>
    <n v="0.53333333333333333"/>
    <x v="0"/>
  </r>
  <r>
    <x v="17"/>
    <d v="2026-08-06T00:00:00"/>
    <s v="Cali"/>
    <x v="2"/>
    <x v="1"/>
    <x v="1"/>
    <s v="Vestido Formal"/>
    <n v="4"/>
    <n v="110"/>
    <n v="55"/>
    <n v="5"/>
    <n v="3"/>
    <n v="400"/>
    <n v="440"/>
    <n v="220"/>
    <n v="220"/>
    <n v="0.5"/>
    <x v="1"/>
  </r>
  <r>
    <x v="18"/>
    <d v="2026-08-07T00:00:00"/>
    <s v="Pasto"/>
    <x v="0"/>
    <x v="0"/>
    <x v="2"/>
    <s v="Lámpara LED"/>
    <n v="15"/>
    <n v="25"/>
    <n v="10"/>
    <n v="2"/>
    <n v="3"/>
    <n v="300"/>
    <n v="375"/>
    <n v="150"/>
    <n v="225"/>
    <n v="0.6"/>
    <x v="0"/>
  </r>
  <r>
    <x v="19"/>
    <d v="2026-08-07T00:00:00"/>
    <s v="Bogota"/>
    <x v="1"/>
    <x v="1"/>
    <x v="3"/>
    <s v="Zapatos Formales"/>
    <n v="5"/>
    <n v="130"/>
    <n v="70"/>
    <n v="3"/>
    <n v="3"/>
    <n v="600"/>
    <n v="650"/>
    <n v="350"/>
    <n v="300"/>
    <n v="0.46153846153846156"/>
    <x v="0"/>
  </r>
  <r>
    <x v="20"/>
    <d v="2026-08-07T00:00:00"/>
    <s v="Cali"/>
    <x v="2"/>
    <x v="0"/>
    <x v="0"/>
    <s v="Consola Videojuegos"/>
    <n v="2"/>
    <n v="500"/>
    <n v="380"/>
    <n v="6"/>
    <n v="4"/>
    <n v="900"/>
    <n v="1000"/>
    <n v="760"/>
    <n v="240"/>
    <n v="0.24"/>
    <x v="1"/>
  </r>
  <r>
    <x v="21"/>
    <d v="2026-08-08T00:00:00"/>
    <s v="Pasto"/>
    <x v="0"/>
    <x v="0"/>
    <x v="1"/>
    <s v="Chaqueta Impermeable"/>
    <n v="3"/>
    <n v="95"/>
    <n v="45"/>
    <n v="2"/>
    <n v="3"/>
    <n v="300"/>
    <n v="285"/>
    <n v="135"/>
    <n v="150"/>
    <n v="0.52631578947368418"/>
    <x v="0"/>
  </r>
  <r>
    <x v="22"/>
    <d v="2026-08-08T00:00:00"/>
    <s v="Bogota"/>
    <x v="1"/>
    <x v="0"/>
    <x v="2"/>
    <s v="Silla Ergonomica"/>
    <n v="4"/>
    <n v="160"/>
    <n v="95"/>
    <n v="2"/>
    <n v="3"/>
    <n v="600"/>
    <n v="640"/>
    <n v="380"/>
    <n v="260"/>
    <n v="0.40625"/>
    <x v="0"/>
  </r>
  <r>
    <x v="23"/>
    <d v="2026-08-08T00:00:00"/>
    <s v="Cali"/>
    <x v="2"/>
    <x v="1"/>
    <x v="3"/>
    <s v="Tenis Deportivo"/>
    <n v="7"/>
    <n v="90"/>
    <n v="45"/>
    <n v="4"/>
    <n v="3"/>
    <n v="600"/>
    <n v="630"/>
    <n v="315"/>
    <n v="315"/>
    <n v="0.5"/>
    <x v="1"/>
  </r>
  <r>
    <x v="24"/>
    <d v="2026-08-09T00:00:00"/>
    <s v="Pasto"/>
    <x v="0"/>
    <x v="1"/>
    <x v="0"/>
    <s v="Monitor 27"/>
    <n v="3"/>
    <n v="310"/>
    <n v="210"/>
    <n v="2"/>
    <n v="3"/>
    <n v="900"/>
    <n v="930"/>
    <n v="630"/>
    <n v="300"/>
    <n v="0.32258064516129031"/>
    <x v="0"/>
  </r>
  <r>
    <x v="25"/>
    <d v="2026-08-09T00:00:00"/>
    <s v="Bogota"/>
    <x v="1"/>
    <x v="0"/>
    <x v="1"/>
    <s v="Buzo Hooded"/>
    <n v="8"/>
    <n v="50"/>
    <n v="22"/>
    <n v="2"/>
    <n v="3"/>
    <n v="400"/>
    <n v="400"/>
    <n v="176"/>
    <n v="224"/>
    <n v="0.56000000000000005"/>
    <x v="0"/>
  </r>
  <r>
    <x v="26"/>
    <d v="2026-08-09T00:00:00"/>
    <s v="Cali"/>
    <x v="2"/>
    <x v="0"/>
    <x v="2"/>
    <s v="Cama King"/>
    <n v="1"/>
    <n v="750"/>
    <n v="480"/>
    <n v="8"/>
    <n v="4"/>
    <n v="700"/>
    <n v="750"/>
    <n v="480"/>
    <n v="270"/>
    <n v="0.36"/>
    <x v="1"/>
  </r>
  <r>
    <x v="27"/>
    <d v="2026-08-10T00:00:00"/>
    <s v="Pasto"/>
    <x v="0"/>
    <x v="0"/>
    <x v="3"/>
    <s v="Botines Cuero"/>
    <n v="4"/>
    <n v="140"/>
    <n v="75"/>
    <n v="3"/>
    <n v="3"/>
    <n v="500"/>
    <n v="560"/>
    <n v="300"/>
    <n v="260"/>
    <n v="0.4642857142857143"/>
    <x v="0"/>
  </r>
  <r>
    <x v="28"/>
    <d v="2026-08-10T00:00:00"/>
    <s v="Bogota"/>
    <x v="1"/>
    <x v="1"/>
    <x v="0"/>
    <s v="Teclado Mecanico"/>
    <n v="6"/>
    <n v="90"/>
    <n v="50"/>
    <n v="1"/>
    <n v="2"/>
    <n v="500"/>
    <n v="540"/>
    <n v="300"/>
    <n v="240"/>
    <n v="0.44444444444444442"/>
    <x v="0"/>
  </r>
  <r>
    <x v="29"/>
    <d v="2026-08-10T00:00:00"/>
    <s v="Cali"/>
    <x v="2"/>
    <x v="0"/>
    <x v="1"/>
    <s v="Pantalón Cargo"/>
    <n v="6"/>
    <n v="60"/>
    <n v="28"/>
    <n v="5"/>
    <n v="3"/>
    <n v="350"/>
    <n v="360"/>
    <n v="168"/>
    <n v="192"/>
    <n v="0.53333333333333333"/>
    <x v="1"/>
  </r>
  <r>
    <x v="0"/>
    <d v="2026-08-01T00:00:00"/>
    <s v="Pasto"/>
    <x v="0"/>
    <x v="0"/>
    <x v="0"/>
    <s v="Laptop Pro 15"/>
    <n v="2"/>
    <n v="850"/>
    <n v="600"/>
    <n v="2"/>
    <n v="3"/>
    <n v="1500"/>
    <n v="1700"/>
    <n v="1200"/>
    <n v="500"/>
    <n v="0.29411764705882354"/>
    <x v="0"/>
  </r>
  <r>
    <x v="1"/>
    <d v="2026-08-01T00:00:00"/>
    <s v="Bogota"/>
    <x v="1"/>
    <x v="1"/>
    <x v="1"/>
    <s v="Chaqueta Cuero"/>
    <n v="5"/>
    <n v="120"/>
    <n v="70"/>
    <n v="3"/>
    <n v="3"/>
    <n v="500"/>
    <n v="600"/>
    <n v="350"/>
    <n v="250"/>
    <n v="0.41666666666666669"/>
    <x v="0"/>
  </r>
  <r>
    <x v="2"/>
    <d v="2026-08-01T00:00:00"/>
    <s v="Cali"/>
    <x v="2"/>
    <x v="0"/>
    <x v="2"/>
    <s v="Cafetera Express"/>
    <n v="3"/>
    <n v="90"/>
    <n v="50"/>
    <n v="6"/>
    <n v="4"/>
    <n v="300"/>
    <n v="270"/>
    <n v="150"/>
    <n v="120"/>
    <n v="0.44444444444444442"/>
    <x v="1"/>
  </r>
  <r>
    <x v="3"/>
    <d v="2026-08-02T00:00:00"/>
    <s v="Pasto"/>
    <x v="0"/>
    <x v="1"/>
    <x v="3"/>
    <s v="Tenis Running"/>
    <n v="4"/>
    <n v="110"/>
    <n v="60"/>
    <n v="1"/>
    <n v="2"/>
    <n v="400"/>
    <n v="440"/>
    <n v="240"/>
    <n v="200"/>
    <n v="0.45454545454545453"/>
    <x v="0"/>
  </r>
  <r>
    <x v="4"/>
    <d v="2026-08-02T00:00:00"/>
    <s v="Bogota"/>
    <x v="1"/>
    <x v="0"/>
    <x v="0"/>
    <s v="Smartphone X"/>
    <n v="3"/>
    <n v="650"/>
    <n v="450"/>
    <n v="2"/>
    <n v="3"/>
    <n v="1800"/>
    <n v="1950"/>
    <n v="1350"/>
    <n v="600"/>
    <n v="0.30769230769230771"/>
    <x v="0"/>
  </r>
  <r>
    <x v="5"/>
    <d v="2026-08-02T00:00:00"/>
    <s v="Cali"/>
    <x v="2"/>
    <x v="0"/>
    <x v="1"/>
    <s v="Jean Slim Fit"/>
    <n v="8"/>
    <n v="45"/>
    <n v="20"/>
    <n v="5"/>
    <n v="3"/>
    <n v="400"/>
    <n v="360"/>
    <n v="160"/>
    <n v="200"/>
    <n v="0.55555555555555558"/>
    <x v="1"/>
  </r>
  <r>
    <x v="6"/>
    <d v="2026-08-03T00:00:00"/>
    <s v="Pasto"/>
    <x v="0"/>
    <x v="0"/>
    <x v="2"/>
    <s v="Aspiradora Robot"/>
    <n v="2"/>
    <n v="280"/>
    <n v="180"/>
    <n v="3"/>
    <n v="3"/>
    <n v="500"/>
    <n v="560"/>
    <n v="360"/>
    <n v="200"/>
    <n v="0.35714285714285715"/>
    <x v="0"/>
  </r>
  <r>
    <x v="7"/>
    <d v="2026-08-03T00:00:00"/>
    <s v="Bogota"/>
    <x v="1"/>
    <x v="1"/>
    <x v="3"/>
    <s v="Botas Moto"/>
    <n v="3"/>
    <n v="150"/>
    <n v="85"/>
    <n v="2"/>
    <n v="2"/>
    <n v="400"/>
    <n v="450"/>
    <n v="255"/>
    <n v="195"/>
    <n v="0.43333333333333335"/>
    <x v="0"/>
  </r>
  <r>
    <x v="8"/>
    <d v="2026-08-03T00:00:00"/>
    <s v="Cali"/>
    <x v="2"/>
    <x v="0"/>
    <x v="0"/>
    <s v="Smart TV 55"/>
    <n v="2"/>
    <n v="520"/>
    <n v="380"/>
    <n v="7"/>
    <n v="4"/>
    <n v="1000"/>
    <n v="1040"/>
    <n v="760"/>
    <n v="280"/>
    <n v="0.26923076923076922"/>
    <x v="1"/>
  </r>
  <r>
    <x v="9"/>
    <d v="2026-08-04T00:00:00"/>
    <s v="Pasto"/>
    <x v="0"/>
    <x v="1"/>
    <x v="1"/>
    <s v="Camisa Lino"/>
    <n v="6"/>
    <n v="55"/>
    <n v="25"/>
    <n v="2"/>
    <n v="3"/>
    <n v="300"/>
    <n v="330"/>
    <n v="150"/>
    <n v="180"/>
    <n v="0.54545454545454541"/>
    <x v="0"/>
  </r>
  <r>
    <x v="10"/>
    <d v="2026-08-04T00:00:00"/>
    <s v="Bogota"/>
    <x v="1"/>
    <x v="0"/>
    <x v="2"/>
    <s v="Juego Comedor"/>
    <n v="1"/>
    <n v="450"/>
    <n v="290"/>
    <n v="4"/>
    <n v="3"/>
    <n v="400"/>
    <n v="450"/>
    <n v="290"/>
    <n v="160"/>
    <n v="0.35555555555555557"/>
    <x v="1"/>
  </r>
  <r>
    <x v="11"/>
    <d v="2026-08-04T00:00:00"/>
    <s v="Cali"/>
    <x v="2"/>
    <x v="1"/>
    <x v="3"/>
    <s v="Sandalias"/>
    <n v="10"/>
    <n v="35"/>
    <n v="15"/>
    <n v="4"/>
    <n v="3"/>
    <n v="300"/>
    <n v="350"/>
    <n v="150"/>
    <n v="200"/>
    <n v="0.5714285714285714"/>
    <x v="1"/>
  </r>
  <r>
    <x v="12"/>
    <d v="2026-08-05T00:00:00"/>
    <s v="Pasto"/>
    <x v="0"/>
    <x v="0"/>
    <x v="0"/>
    <s v="Tablet 10"/>
    <n v="4"/>
    <n v="220"/>
    <n v="140"/>
    <n v="2"/>
    <n v="3"/>
    <n v="800"/>
    <n v="880"/>
    <n v="560"/>
    <n v="320"/>
    <n v="0.36363636363636365"/>
    <x v="0"/>
  </r>
  <r>
    <x v="13"/>
    <d v="2026-08-05T00:00:00"/>
    <s v="Bogota"/>
    <x v="1"/>
    <x v="0"/>
    <x v="1"/>
    <s v="Saco Lana"/>
    <n v="5"/>
    <n v="65"/>
    <n v="30"/>
    <n v="2"/>
    <n v="3"/>
    <n v="300"/>
    <n v="325"/>
    <n v="150"/>
    <n v="175"/>
    <n v="0.53846153846153844"/>
    <x v="0"/>
  </r>
  <r>
    <x v="14"/>
    <d v="2026-08-05T00:00:00"/>
    <s v="Cali"/>
    <x v="2"/>
    <x v="0"/>
    <x v="2"/>
    <s v="Escritorio Pro"/>
    <n v="2"/>
    <n v="180"/>
    <n v="110"/>
    <n v="6"/>
    <n v="3"/>
    <n v="350"/>
    <n v="360"/>
    <n v="220"/>
    <n v="140"/>
    <n v="0.3888888888888889"/>
    <x v="1"/>
  </r>
  <r>
    <x v="15"/>
    <d v="2026-08-06T00:00:00"/>
    <s v="Pasto"/>
    <x v="0"/>
    <x v="1"/>
    <x v="3"/>
    <s v="Tenis Urbano"/>
    <n v="6"/>
    <n v="85"/>
    <n v="45"/>
    <n v="1"/>
    <n v="2"/>
    <n v="500"/>
    <n v="510"/>
    <n v="270"/>
    <n v="240"/>
    <n v="0.47058823529411764"/>
    <x v="0"/>
  </r>
  <r>
    <x v="16"/>
    <d v="2026-08-06T00:00:00"/>
    <s v="Bogota"/>
    <x v="1"/>
    <x v="0"/>
    <x v="0"/>
    <s v="Audifonos BT"/>
    <n v="12"/>
    <n v="75"/>
    <n v="35"/>
    <n v="1"/>
    <n v="2"/>
    <n v="800"/>
    <n v="900"/>
    <n v="420"/>
    <n v="480"/>
    <n v="0.53333333333333333"/>
    <x v="0"/>
  </r>
  <r>
    <x v="17"/>
    <d v="2026-08-06T00:00:00"/>
    <s v="Cali"/>
    <x v="2"/>
    <x v="1"/>
    <x v="1"/>
    <s v="Vestido Formal"/>
    <n v="4"/>
    <n v="110"/>
    <n v="55"/>
    <n v="5"/>
    <n v="3"/>
    <n v="400"/>
    <n v="440"/>
    <n v="220"/>
    <n v="220"/>
    <n v="0.5"/>
    <x v="1"/>
  </r>
  <r>
    <x v="18"/>
    <d v="2026-08-07T00:00:00"/>
    <s v="Pasto"/>
    <x v="0"/>
    <x v="0"/>
    <x v="2"/>
    <s v="Lámpara LED"/>
    <n v="15"/>
    <n v="25"/>
    <n v="10"/>
    <n v="2"/>
    <n v="3"/>
    <n v="300"/>
    <n v="375"/>
    <n v="150"/>
    <n v="225"/>
    <n v="0.6"/>
    <x v="0"/>
  </r>
  <r>
    <x v="19"/>
    <d v="2026-08-07T00:00:00"/>
    <s v="Bogota"/>
    <x v="1"/>
    <x v="1"/>
    <x v="3"/>
    <s v="Zapatos Formales"/>
    <n v="5"/>
    <n v="130"/>
    <n v="70"/>
    <n v="3"/>
    <n v="3"/>
    <n v="600"/>
    <n v="650"/>
    <n v="350"/>
    <n v="300"/>
    <n v="0.46153846153846156"/>
    <x v="0"/>
  </r>
  <r>
    <x v="20"/>
    <d v="2026-08-07T00:00:00"/>
    <s v="Cali"/>
    <x v="2"/>
    <x v="0"/>
    <x v="0"/>
    <s v="Consola Videojuegos"/>
    <n v="2"/>
    <n v="500"/>
    <n v="380"/>
    <n v="6"/>
    <n v="4"/>
    <n v="900"/>
    <n v="1000"/>
    <n v="760"/>
    <n v="240"/>
    <n v="0.24"/>
    <x v="1"/>
  </r>
  <r>
    <x v="21"/>
    <d v="2026-08-08T00:00:00"/>
    <s v="Pasto"/>
    <x v="0"/>
    <x v="0"/>
    <x v="1"/>
    <s v="Chaqueta Impermeable"/>
    <n v="3"/>
    <n v="95"/>
    <n v="45"/>
    <n v="2"/>
    <n v="3"/>
    <n v="300"/>
    <n v="285"/>
    <n v="135"/>
    <n v="150"/>
    <n v="0.52631578947368418"/>
    <x v="0"/>
  </r>
  <r>
    <x v="22"/>
    <d v="2026-08-08T00:00:00"/>
    <s v="Bogota"/>
    <x v="1"/>
    <x v="0"/>
    <x v="2"/>
    <s v="Silla Ergonomica"/>
    <n v="4"/>
    <n v="160"/>
    <n v="95"/>
    <n v="2"/>
    <n v="3"/>
    <n v="600"/>
    <n v="640"/>
    <n v="380"/>
    <n v="260"/>
    <n v="0.40625"/>
    <x v="0"/>
  </r>
  <r>
    <x v="23"/>
    <d v="2026-08-08T00:00:00"/>
    <s v="Cali"/>
    <x v="2"/>
    <x v="1"/>
    <x v="3"/>
    <s v="Tenis Deportivo"/>
    <n v="7"/>
    <n v="90"/>
    <n v="45"/>
    <n v="4"/>
    <n v="3"/>
    <n v="600"/>
    <n v="630"/>
    <n v="315"/>
    <n v="315"/>
    <n v="0.5"/>
    <x v="1"/>
  </r>
  <r>
    <x v="24"/>
    <d v="2026-08-09T00:00:00"/>
    <s v="Pasto"/>
    <x v="0"/>
    <x v="1"/>
    <x v="0"/>
    <s v="Monitor 27"/>
    <n v="3"/>
    <n v="310"/>
    <n v="210"/>
    <n v="2"/>
    <n v="3"/>
    <n v="900"/>
    <n v="930"/>
    <n v="630"/>
    <n v="300"/>
    <n v="0.32258064516129031"/>
    <x v="0"/>
  </r>
  <r>
    <x v="25"/>
    <d v="2026-08-09T00:00:00"/>
    <s v="Bogota"/>
    <x v="1"/>
    <x v="0"/>
    <x v="1"/>
    <s v="Buzo Hooded"/>
    <n v="8"/>
    <n v="50"/>
    <n v="22"/>
    <n v="2"/>
    <n v="3"/>
    <n v="400"/>
    <n v="400"/>
    <n v="176"/>
    <n v="224"/>
    <n v="0.56000000000000005"/>
    <x v="0"/>
  </r>
  <r>
    <x v="26"/>
    <d v="2026-08-09T00:00:00"/>
    <s v="Cali"/>
    <x v="2"/>
    <x v="0"/>
    <x v="2"/>
    <s v="Cama King"/>
    <n v="1"/>
    <n v="750"/>
    <n v="480"/>
    <n v="8"/>
    <n v="4"/>
    <n v="700"/>
    <n v="750"/>
    <n v="480"/>
    <n v="270"/>
    <n v="0.36"/>
    <x v="1"/>
  </r>
  <r>
    <x v="27"/>
    <d v="2026-08-10T00:00:00"/>
    <s v="Pasto"/>
    <x v="0"/>
    <x v="0"/>
    <x v="3"/>
    <s v="Botines Cuero"/>
    <n v="4"/>
    <n v="140"/>
    <n v="75"/>
    <n v="3"/>
    <n v="3"/>
    <n v="500"/>
    <n v="560"/>
    <n v="300"/>
    <n v="260"/>
    <n v="0.4642857142857143"/>
    <x v="0"/>
  </r>
  <r>
    <x v="28"/>
    <d v="2026-08-10T00:00:00"/>
    <s v="Bogota"/>
    <x v="1"/>
    <x v="1"/>
    <x v="0"/>
    <s v="Teclado Mecanico"/>
    <n v="6"/>
    <n v="90"/>
    <n v="50"/>
    <n v="1"/>
    <n v="2"/>
    <n v="500"/>
    <n v="540"/>
    <n v="300"/>
    <n v="240"/>
    <n v="0.44444444444444442"/>
    <x v="0"/>
  </r>
  <r>
    <x v="29"/>
    <d v="2026-08-10T00:00:00"/>
    <s v="Cali"/>
    <x v="2"/>
    <x v="0"/>
    <x v="1"/>
    <s v="Pantalón Cargo"/>
    <n v="6"/>
    <n v="60"/>
    <n v="28"/>
    <n v="5"/>
    <n v="3"/>
    <n v="350"/>
    <n v="360"/>
    <n v="168"/>
    <n v="192"/>
    <n v="0.53333333333333333"/>
    <x v="1"/>
  </r>
  <r>
    <x v="0"/>
    <d v="2026-08-01T00:00:00"/>
    <s v="Pasto"/>
    <x v="0"/>
    <x v="0"/>
    <x v="0"/>
    <s v="Laptop Pro 15"/>
    <n v="2"/>
    <n v="850"/>
    <n v="600"/>
    <n v="2"/>
    <n v="3"/>
    <n v="1500"/>
    <n v="1700"/>
    <n v="1200"/>
    <n v="500"/>
    <n v="0.29411764705882354"/>
    <x v="0"/>
  </r>
  <r>
    <x v="1"/>
    <d v="2026-08-01T00:00:00"/>
    <s v="Bogota"/>
    <x v="1"/>
    <x v="1"/>
    <x v="1"/>
    <s v="Chaqueta Cuero"/>
    <n v="5"/>
    <n v="120"/>
    <n v="70"/>
    <n v="3"/>
    <n v="3"/>
    <n v="500"/>
    <n v="600"/>
    <n v="350"/>
    <n v="250"/>
    <n v="0.41666666666666669"/>
    <x v="0"/>
  </r>
  <r>
    <x v="2"/>
    <d v="2026-08-01T00:00:00"/>
    <s v="Cali"/>
    <x v="2"/>
    <x v="0"/>
    <x v="2"/>
    <s v="Cafetera Express"/>
    <n v="3"/>
    <n v="90"/>
    <n v="50"/>
    <n v="6"/>
    <n v="4"/>
    <n v="300"/>
    <n v="270"/>
    <n v="150"/>
    <n v="120"/>
    <n v="0.44444444444444442"/>
    <x v="1"/>
  </r>
  <r>
    <x v="3"/>
    <d v="2026-08-02T00:00:00"/>
    <s v="Pasto"/>
    <x v="0"/>
    <x v="1"/>
    <x v="3"/>
    <s v="Tenis Running"/>
    <n v="4"/>
    <n v="110"/>
    <n v="60"/>
    <n v="1"/>
    <n v="2"/>
    <n v="400"/>
    <n v="440"/>
    <n v="240"/>
    <n v="200"/>
    <n v="0.45454545454545453"/>
    <x v="0"/>
  </r>
  <r>
    <x v="4"/>
    <d v="2026-08-02T00:00:00"/>
    <s v="Bogota"/>
    <x v="1"/>
    <x v="0"/>
    <x v="0"/>
    <s v="Smartphone X"/>
    <n v="3"/>
    <n v="650"/>
    <n v="450"/>
    <n v="2"/>
    <n v="3"/>
    <n v="1800"/>
    <n v="1950"/>
    <n v="1350"/>
    <n v="600"/>
    <n v="0.30769230769230771"/>
    <x v="0"/>
  </r>
  <r>
    <x v="5"/>
    <d v="2026-08-02T00:00:00"/>
    <s v="Cali"/>
    <x v="2"/>
    <x v="0"/>
    <x v="1"/>
    <s v="Jean Slim Fit"/>
    <n v="8"/>
    <n v="45"/>
    <n v="20"/>
    <n v="5"/>
    <n v="3"/>
    <n v="400"/>
    <n v="360"/>
    <n v="160"/>
    <n v="200"/>
    <n v="0.55555555555555558"/>
    <x v="1"/>
  </r>
  <r>
    <x v="6"/>
    <d v="2026-08-03T00:00:00"/>
    <s v="Pasto"/>
    <x v="0"/>
    <x v="0"/>
    <x v="2"/>
    <s v="Aspiradora Robot"/>
    <n v="2"/>
    <n v="280"/>
    <n v="180"/>
    <n v="3"/>
    <n v="3"/>
    <n v="500"/>
    <n v="560"/>
    <n v="360"/>
    <n v="200"/>
    <n v="0.35714285714285715"/>
    <x v="0"/>
  </r>
  <r>
    <x v="7"/>
    <d v="2026-08-03T00:00:00"/>
    <s v="Bogota"/>
    <x v="1"/>
    <x v="1"/>
    <x v="3"/>
    <s v="Botas Moto"/>
    <n v="3"/>
    <n v="150"/>
    <n v="85"/>
    <n v="2"/>
    <n v="2"/>
    <n v="400"/>
    <n v="450"/>
    <n v="255"/>
    <n v="195"/>
    <n v="0.43333333333333335"/>
    <x v="0"/>
  </r>
  <r>
    <x v="8"/>
    <d v="2026-08-03T00:00:00"/>
    <s v="Cali"/>
    <x v="2"/>
    <x v="0"/>
    <x v="0"/>
    <s v="Smart TV 55"/>
    <n v="2"/>
    <n v="520"/>
    <n v="380"/>
    <n v="7"/>
    <n v="4"/>
    <n v="1000"/>
    <n v="1040"/>
    <n v="760"/>
    <n v="280"/>
    <n v="0.26923076923076922"/>
    <x v="1"/>
  </r>
  <r>
    <x v="9"/>
    <d v="2026-08-04T00:00:00"/>
    <s v="Pasto"/>
    <x v="0"/>
    <x v="1"/>
    <x v="1"/>
    <s v="Camisa Lino"/>
    <n v="6"/>
    <n v="55"/>
    <n v="25"/>
    <n v="2"/>
    <n v="3"/>
    <n v="300"/>
    <n v="330"/>
    <n v="150"/>
    <n v="180"/>
    <n v="0.54545454545454541"/>
    <x v="0"/>
  </r>
  <r>
    <x v="10"/>
    <d v="2026-08-04T00:00:00"/>
    <s v="Bogota"/>
    <x v="1"/>
    <x v="0"/>
    <x v="2"/>
    <s v="Juego Comedor"/>
    <n v="1"/>
    <n v="450"/>
    <n v="290"/>
    <n v="4"/>
    <n v="3"/>
    <n v="400"/>
    <n v="450"/>
    <n v="290"/>
    <n v="160"/>
    <n v="0.35555555555555557"/>
    <x v="1"/>
  </r>
  <r>
    <x v="11"/>
    <d v="2026-08-04T00:00:00"/>
    <s v="Cali"/>
    <x v="2"/>
    <x v="1"/>
    <x v="3"/>
    <s v="Sandalias"/>
    <n v="10"/>
    <n v="35"/>
    <n v="15"/>
    <n v="4"/>
    <n v="3"/>
    <n v="300"/>
    <n v="350"/>
    <n v="150"/>
    <n v="200"/>
    <n v="0.5714285714285714"/>
    <x v="1"/>
  </r>
  <r>
    <x v="12"/>
    <d v="2026-08-05T00:00:00"/>
    <s v="Pasto"/>
    <x v="0"/>
    <x v="0"/>
    <x v="0"/>
    <s v="Tablet 10"/>
    <n v="4"/>
    <n v="220"/>
    <n v="140"/>
    <n v="2"/>
    <n v="3"/>
    <n v="800"/>
    <n v="880"/>
    <n v="560"/>
    <n v="320"/>
    <n v="0.36363636363636365"/>
    <x v="0"/>
  </r>
  <r>
    <x v="13"/>
    <d v="2026-08-05T00:00:00"/>
    <s v="Bogota"/>
    <x v="1"/>
    <x v="0"/>
    <x v="1"/>
    <s v="Saco Lana"/>
    <n v="5"/>
    <n v="65"/>
    <n v="30"/>
    <n v="2"/>
    <n v="3"/>
    <n v="300"/>
    <n v="325"/>
    <n v="150"/>
    <n v="175"/>
    <n v="0.53846153846153844"/>
    <x v="0"/>
  </r>
  <r>
    <x v="14"/>
    <d v="2026-08-05T00:00:00"/>
    <s v="Cali"/>
    <x v="2"/>
    <x v="0"/>
    <x v="2"/>
    <s v="Escritorio Pro"/>
    <n v="2"/>
    <n v="180"/>
    <n v="110"/>
    <n v="6"/>
    <n v="3"/>
    <n v="350"/>
    <n v="360"/>
    <n v="220"/>
    <n v="140"/>
    <n v="0.3888888888888889"/>
    <x v="1"/>
  </r>
  <r>
    <x v="15"/>
    <d v="2026-08-06T00:00:00"/>
    <s v="Pasto"/>
    <x v="0"/>
    <x v="1"/>
    <x v="3"/>
    <s v="Tenis Urbano"/>
    <n v="6"/>
    <n v="85"/>
    <n v="45"/>
    <n v="1"/>
    <n v="2"/>
    <n v="500"/>
    <n v="510"/>
    <n v="270"/>
    <n v="240"/>
    <n v="0.47058823529411764"/>
    <x v="0"/>
  </r>
  <r>
    <x v="16"/>
    <d v="2026-08-06T00:00:00"/>
    <s v="Bogota"/>
    <x v="1"/>
    <x v="0"/>
    <x v="0"/>
    <s v="Audifonos BT"/>
    <n v="12"/>
    <n v="75"/>
    <n v="35"/>
    <n v="1"/>
    <n v="2"/>
    <n v="800"/>
    <n v="900"/>
    <n v="420"/>
    <n v="480"/>
    <n v="0.53333333333333333"/>
    <x v="0"/>
  </r>
  <r>
    <x v="17"/>
    <d v="2026-08-06T00:00:00"/>
    <s v="Cali"/>
    <x v="2"/>
    <x v="1"/>
    <x v="1"/>
    <s v="Vestido Formal"/>
    <n v="4"/>
    <n v="110"/>
    <n v="55"/>
    <n v="5"/>
    <n v="3"/>
    <n v="400"/>
    <n v="440"/>
    <n v="220"/>
    <n v="220"/>
    <n v="0.5"/>
    <x v="1"/>
  </r>
  <r>
    <x v="18"/>
    <d v="2026-08-07T00:00:00"/>
    <s v="Pasto"/>
    <x v="0"/>
    <x v="0"/>
    <x v="2"/>
    <s v="Lámpara LED"/>
    <n v="15"/>
    <n v="25"/>
    <n v="10"/>
    <n v="2"/>
    <n v="3"/>
    <n v="300"/>
    <n v="375"/>
    <n v="150"/>
    <n v="225"/>
    <n v="0.6"/>
    <x v="0"/>
  </r>
  <r>
    <x v="19"/>
    <d v="2026-08-07T00:00:00"/>
    <s v="Bogota"/>
    <x v="1"/>
    <x v="1"/>
    <x v="3"/>
    <s v="Zapatos Formales"/>
    <n v="5"/>
    <n v="130"/>
    <n v="70"/>
    <n v="3"/>
    <n v="3"/>
    <n v="600"/>
    <n v="650"/>
    <n v="350"/>
    <n v="300"/>
    <n v="0.46153846153846156"/>
    <x v="0"/>
  </r>
  <r>
    <x v="20"/>
    <d v="2026-08-07T00:00:00"/>
    <s v="Cali"/>
    <x v="2"/>
    <x v="0"/>
    <x v="0"/>
    <s v="Consola Videojuegos"/>
    <n v="2"/>
    <n v="500"/>
    <n v="380"/>
    <n v="6"/>
    <n v="4"/>
    <n v="900"/>
    <n v="1000"/>
    <n v="760"/>
    <n v="240"/>
    <n v="0.24"/>
    <x v="1"/>
  </r>
  <r>
    <x v="21"/>
    <d v="2026-08-08T00:00:00"/>
    <s v="Pasto"/>
    <x v="0"/>
    <x v="0"/>
    <x v="1"/>
    <s v="Chaqueta Impermeable"/>
    <n v="3"/>
    <n v="95"/>
    <n v="45"/>
    <n v="2"/>
    <n v="3"/>
    <n v="300"/>
    <n v="285"/>
    <n v="135"/>
    <n v="150"/>
    <n v="0.52631578947368418"/>
    <x v="0"/>
  </r>
  <r>
    <x v="22"/>
    <d v="2026-08-08T00:00:00"/>
    <s v="Bogota"/>
    <x v="1"/>
    <x v="0"/>
    <x v="2"/>
    <s v="Silla Ergonomica"/>
    <n v="4"/>
    <n v="160"/>
    <n v="95"/>
    <n v="2"/>
    <n v="3"/>
    <n v="600"/>
    <n v="640"/>
    <n v="380"/>
    <n v="260"/>
    <n v="0.40625"/>
    <x v="0"/>
  </r>
  <r>
    <x v="23"/>
    <d v="2026-08-08T00:00:00"/>
    <s v="Cali"/>
    <x v="2"/>
    <x v="1"/>
    <x v="3"/>
    <s v="Tenis Deportivo"/>
    <n v="7"/>
    <n v="90"/>
    <n v="45"/>
    <n v="4"/>
    <n v="3"/>
    <n v="600"/>
    <n v="630"/>
    <n v="315"/>
    <n v="315"/>
    <n v="0.5"/>
    <x v="1"/>
  </r>
  <r>
    <x v="24"/>
    <d v="2026-08-09T00:00:00"/>
    <s v="Pasto"/>
    <x v="0"/>
    <x v="1"/>
    <x v="0"/>
    <s v="Monitor 27"/>
    <n v="3"/>
    <n v="310"/>
    <n v="210"/>
    <n v="2"/>
    <n v="3"/>
    <n v="900"/>
    <n v="930"/>
    <n v="630"/>
    <n v="300"/>
    <n v="0.32258064516129031"/>
    <x v="0"/>
  </r>
  <r>
    <x v="25"/>
    <d v="2026-08-09T00:00:00"/>
    <s v="Bogota"/>
    <x v="1"/>
    <x v="0"/>
    <x v="1"/>
    <s v="Buzo Hooded"/>
    <n v="8"/>
    <n v="50"/>
    <n v="22"/>
    <n v="2"/>
    <n v="3"/>
    <n v="400"/>
    <n v="400"/>
    <n v="176"/>
    <n v="224"/>
    <n v="0.56000000000000005"/>
    <x v="0"/>
  </r>
  <r>
    <x v="26"/>
    <d v="2026-08-09T00:00:00"/>
    <s v="Cali"/>
    <x v="2"/>
    <x v="0"/>
    <x v="2"/>
    <s v="Cama King"/>
    <n v="1"/>
    <n v="750"/>
    <n v="480"/>
    <n v="8"/>
    <n v="4"/>
    <n v="700"/>
    <n v="750"/>
    <n v="480"/>
    <n v="270"/>
    <n v="0.36"/>
    <x v="1"/>
  </r>
  <r>
    <x v="27"/>
    <d v="2026-08-10T00:00:00"/>
    <s v="Pasto"/>
    <x v="0"/>
    <x v="0"/>
    <x v="3"/>
    <s v="Botines Cuero"/>
    <n v="4"/>
    <n v="140"/>
    <n v="75"/>
    <n v="3"/>
    <n v="3"/>
    <n v="500"/>
    <n v="560"/>
    <n v="300"/>
    <n v="260"/>
    <n v="0.4642857142857143"/>
    <x v="0"/>
  </r>
  <r>
    <x v="28"/>
    <d v="2026-08-10T00:00:00"/>
    <s v="Bogota"/>
    <x v="1"/>
    <x v="1"/>
    <x v="0"/>
    <s v="Teclado Mecanico"/>
    <n v="6"/>
    <n v="90"/>
    <n v="50"/>
    <n v="1"/>
    <n v="2"/>
    <n v="500"/>
    <n v="540"/>
    <n v="300"/>
    <n v="240"/>
    <n v="0.44444444444444442"/>
    <x v="0"/>
  </r>
  <r>
    <x v="29"/>
    <d v="2026-08-10T00:00:00"/>
    <s v="Cali"/>
    <x v="2"/>
    <x v="0"/>
    <x v="1"/>
    <s v="Pantalón Cargo"/>
    <n v="6"/>
    <n v="60"/>
    <n v="28"/>
    <n v="5"/>
    <n v="3"/>
    <n v="350"/>
    <n v="360"/>
    <n v="168"/>
    <n v="192"/>
    <n v="0.53333333333333333"/>
    <x v="1"/>
  </r>
  <r>
    <x v="0"/>
    <d v="2026-08-01T00:00:00"/>
    <s v="Pasto"/>
    <x v="0"/>
    <x v="0"/>
    <x v="0"/>
    <s v="Laptop Pro 15"/>
    <n v="2"/>
    <n v="850"/>
    <n v="600"/>
    <n v="2"/>
    <n v="3"/>
    <n v="1500"/>
    <n v="1700"/>
    <n v="1200"/>
    <n v="500"/>
    <n v="0.29411764705882354"/>
    <x v="0"/>
  </r>
  <r>
    <x v="1"/>
    <d v="2026-08-01T00:00:00"/>
    <s v="Bogota"/>
    <x v="1"/>
    <x v="1"/>
    <x v="1"/>
    <s v="Chaqueta Cuero"/>
    <n v="5"/>
    <n v="120"/>
    <n v="70"/>
    <n v="3"/>
    <n v="3"/>
    <n v="500"/>
    <n v="600"/>
    <n v="350"/>
    <n v="250"/>
    <n v="0.41666666666666669"/>
    <x v="0"/>
  </r>
  <r>
    <x v="2"/>
    <d v="2026-08-01T00:00:00"/>
    <s v="Cali"/>
    <x v="2"/>
    <x v="0"/>
    <x v="2"/>
    <s v="Cafetera Express"/>
    <n v="3"/>
    <n v="90"/>
    <n v="50"/>
    <n v="6"/>
    <n v="4"/>
    <n v="300"/>
    <n v="270"/>
    <n v="150"/>
    <n v="120"/>
    <n v="0.44444444444444442"/>
    <x v="1"/>
  </r>
  <r>
    <x v="3"/>
    <d v="2026-08-02T00:00:00"/>
    <s v="Pasto"/>
    <x v="0"/>
    <x v="1"/>
    <x v="3"/>
    <s v="Tenis Running"/>
    <n v="4"/>
    <n v="110"/>
    <n v="60"/>
    <n v="1"/>
    <n v="2"/>
    <n v="400"/>
    <n v="440"/>
    <n v="240"/>
    <n v="200"/>
    <n v="0.45454545454545453"/>
    <x v="0"/>
  </r>
  <r>
    <x v="4"/>
    <d v="2026-08-02T00:00:00"/>
    <s v="Bogota"/>
    <x v="1"/>
    <x v="0"/>
    <x v="0"/>
    <s v="Smartphone X"/>
    <n v="3"/>
    <n v="650"/>
    <n v="450"/>
    <n v="2"/>
    <n v="3"/>
    <n v="1800"/>
    <n v="1950"/>
    <n v="1350"/>
    <n v="600"/>
    <n v="0.30769230769230771"/>
    <x v="0"/>
  </r>
  <r>
    <x v="5"/>
    <d v="2026-08-02T00:00:00"/>
    <s v="Cali"/>
    <x v="2"/>
    <x v="0"/>
    <x v="1"/>
    <s v="Jean Slim Fit"/>
    <n v="8"/>
    <n v="45"/>
    <n v="20"/>
    <n v="5"/>
    <n v="3"/>
    <n v="400"/>
    <n v="360"/>
    <n v="160"/>
    <n v="200"/>
    <n v="0.55555555555555558"/>
    <x v="1"/>
  </r>
  <r>
    <x v="6"/>
    <d v="2026-08-03T00:00:00"/>
    <s v="Pasto"/>
    <x v="0"/>
    <x v="0"/>
    <x v="2"/>
    <s v="Aspiradora Robot"/>
    <n v="2"/>
    <n v="280"/>
    <n v="180"/>
    <n v="3"/>
    <n v="3"/>
    <n v="500"/>
    <n v="560"/>
    <n v="360"/>
    <n v="200"/>
    <n v="0.35714285714285715"/>
    <x v="0"/>
  </r>
  <r>
    <x v="7"/>
    <d v="2026-08-03T00:00:00"/>
    <s v="Bogota"/>
    <x v="1"/>
    <x v="1"/>
    <x v="3"/>
    <s v="Botas Moto"/>
    <n v="3"/>
    <n v="150"/>
    <n v="85"/>
    <n v="2"/>
    <n v="2"/>
    <n v="400"/>
    <n v="450"/>
    <n v="255"/>
    <n v="195"/>
    <n v="0.43333333333333335"/>
    <x v="0"/>
  </r>
  <r>
    <x v="8"/>
    <d v="2026-08-03T00:00:00"/>
    <s v="Cali"/>
    <x v="2"/>
    <x v="0"/>
    <x v="0"/>
    <s v="Smart TV 55"/>
    <n v="2"/>
    <n v="520"/>
    <n v="380"/>
    <n v="7"/>
    <n v="4"/>
    <n v="1000"/>
    <n v="1040"/>
    <n v="760"/>
    <n v="280"/>
    <n v="0.26923076923076922"/>
    <x v="1"/>
  </r>
  <r>
    <x v="9"/>
    <d v="2026-08-04T00:00:00"/>
    <s v="Pasto"/>
    <x v="0"/>
    <x v="1"/>
    <x v="1"/>
    <s v="Camisa Lino"/>
    <n v="6"/>
    <n v="55"/>
    <n v="25"/>
    <n v="2"/>
    <n v="3"/>
    <n v="300"/>
    <n v="330"/>
    <n v="150"/>
    <n v="180"/>
    <n v="0.54545454545454541"/>
    <x v="0"/>
  </r>
  <r>
    <x v="10"/>
    <d v="2026-08-04T00:00:00"/>
    <s v="Bogota"/>
    <x v="1"/>
    <x v="0"/>
    <x v="2"/>
    <s v="Juego Comedor"/>
    <n v="1"/>
    <n v="450"/>
    <n v="290"/>
    <n v="4"/>
    <n v="3"/>
    <n v="400"/>
    <n v="450"/>
    <n v="290"/>
    <n v="160"/>
    <n v="0.35555555555555557"/>
    <x v="1"/>
  </r>
  <r>
    <x v="11"/>
    <d v="2026-08-04T00:00:00"/>
    <s v="Cali"/>
    <x v="2"/>
    <x v="1"/>
    <x v="3"/>
    <s v="Sandalias"/>
    <n v="10"/>
    <n v="35"/>
    <n v="15"/>
    <n v="4"/>
    <n v="3"/>
    <n v="300"/>
    <n v="350"/>
    <n v="150"/>
    <n v="200"/>
    <n v="0.5714285714285714"/>
    <x v="1"/>
  </r>
  <r>
    <x v="12"/>
    <d v="2026-08-05T00:00:00"/>
    <s v="Pasto"/>
    <x v="0"/>
    <x v="0"/>
    <x v="0"/>
    <s v="Tablet 10"/>
    <n v="4"/>
    <n v="220"/>
    <n v="140"/>
    <n v="2"/>
    <n v="3"/>
    <n v="800"/>
    <n v="880"/>
    <n v="560"/>
    <n v="320"/>
    <n v="0.36363636363636365"/>
    <x v="0"/>
  </r>
  <r>
    <x v="13"/>
    <d v="2026-08-05T00:00:00"/>
    <s v="Bogota"/>
    <x v="1"/>
    <x v="0"/>
    <x v="1"/>
    <s v="Saco Lana"/>
    <n v="5"/>
    <n v="65"/>
    <n v="30"/>
    <n v="2"/>
    <n v="3"/>
    <n v="300"/>
    <n v="325"/>
    <n v="150"/>
    <n v="175"/>
    <n v="0.53846153846153844"/>
    <x v="0"/>
  </r>
  <r>
    <x v="14"/>
    <d v="2026-08-05T00:00:00"/>
    <s v="Cali"/>
    <x v="2"/>
    <x v="0"/>
    <x v="2"/>
    <s v="Escritorio Pro"/>
    <n v="2"/>
    <n v="180"/>
    <n v="110"/>
    <n v="6"/>
    <n v="3"/>
    <n v="350"/>
    <n v="360"/>
    <n v="220"/>
    <n v="140"/>
    <n v="0.3888888888888889"/>
    <x v="1"/>
  </r>
  <r>
    <x v="15"/>
    <d v="2026-08-06T00:00:00"/>
    <s v="Pasto"/>
    <x v="0"/>
    <x v="1"/>
    <x v="3"/>
    <s v="Tenis Urbano"/>
    <n v="6"/>
    <n v="85"/>
    <n v="45"/>
    <n v="1"/>
    <n v="2"/>
    <n v="500"/>
    <n v="510"/>
    <n v="270"/>
    <n v="240"/>
    <n v="0.47058823529411764"/>
    <x v="0"/>
  </r>
  <r>
    <x v="16"/>
    <d v="2026-08-06T00:00:00"/>
    <s v="Bogota"/>
    <x v="1"/>
    <x v="0"/>
    <x v="0"/>
    <s v="Audifonos BT"/>
    <n v="12"/>
    <n v="75"/>
    <n v="35"/>
    <n v="1"/>
    <n v="2"/>
    <n v="800"/>
    <n v="900"/>
    <n v="420"/>
    <n v="480"/>
    <n v="0.53333333333333333"/>
    <x v="0"/>
  </r>
  <r>
    <x v="17"/>
    <d v="2026-08-06T00:00:00"/>
    <s v="Cali"/>
    <x v="2"/>
    <x v="1"/>
    <x v="1"/>
    <s v="Vestido Formal"/>
    <n v="4"/>
    <n v="110"/>
    <n v="55"/>
    <n v="5"/>
    <n v="3"/>
    <n v="400"/>
    <n v="440"/>
    <n v="220"/>
    <n v="220"/>
    <n v="0.5"/>
    <x v="1"/>
  </r>
  <r>
    <x v="18"/>
    <d v="2026-08-07T00:00:00"/>
    <s v="Pasto"/>
    <x v="0"/>
    <x v="0"/>
    <x v="2"/>
    <s v="Lámpara LED"/>
    <n v="15"/>
    <n v="25"/>
    <n v="10"/>
    <n v="2"/>
    <n v="3"/>
    <n v="300"/>
    <n v="375"/>
    <n v="150"/>
    <n v="225"/>
    <n v="0.6"/>
    <x v="0"/>
  </r>
  <r>
    <x v="19"/>
    <d v="2026-08-07T00:00:00"/>
    <s v="Bogota"/>
    <x v="1"/>
    <x v="1"/>
    <x v="3"/>
    <s v="Zapatos Formales"/>
    <n v="5"/>
    <n v="130"/>
    <n v="70"/>
    <n v="3"/>
    <n v="3"/>
    <n v="600"/>
    <n v="650"/>
    <n v="350"/>
    <n v="300"/>
    <n v="0.46153846153846156"/>
    <x v="0"/>
  </r>
  <r>
    <x v="20"/>
    <d v="2026-08-07T00:00:00"/>
    <s v="Cali"/>
    <x v="2"/>
    <x v="0"/>
    <x v="0"/>
    <s v="Consola Videojuegos"/>
    <n v="2"/>
    <n v="500"/>
    <n v="380"/>
    <n v="6"/>
    <n v="4"/>
    <n v="900"/>
    <n v="1000"/>
    <n v="760"/>
    <n v="240"/>
    <n v="0.24"/>
    <x v="1"/>
  </r>
  <r>
    <x v="21"/>
    <d v="2026-08-08T00:00:00"/>
    <s v="Pasto"/>
    <x v="0"/>
    <x v="0"/>
    <x v="1"/>
    <s v="Chaqueta Impermeable"/>
    <n v="3"/>
    <n v="95"/>
    <n v="45"/>
    <n v="2"/>
    <n v="3"/>
    <n v="300"/>
    <n v="285"/>
    <n v="135"/>
    <n v="150"/>
    <n v="0.52631578947368418"/>
    <x v="0"/>
  </r>
  <r>
    <x v="22"/>
    <d v="2026-08-08T00:00:00"/>
    <s v="Bogota"/>
    <x v="1"/>
    <x v="0"/>
    <x v="2"/>
    <s v="Silla Ergonomica"/>
    <n v="4"/>
    <n v="160"/>
    <n v="95"/>
    <n v="2"/>
    <n v="3"/>
    <n v="600"/>
    <n v="640"/>
    <n v="380"/>
    <n v="260"/>
    <n v="0.40625"/>
    <x v="0"/>
  </r>
  <r>
    <x v="23"/>
    <d v="2026-08-08T00:00:00"/>
    <s v="Cali"/>
    <x v="2"/>
    <x v="1"/>
    <x v="3"/>
    <s v="Tenis Deportivo"/>
    <n v="7"/>
    <n v="90"/>
    <n v="45"/>
    <n v="4"/>
    <n v="3"/>
    <n v="600"/>
    <n v="630"/>
    <n v="315"/>
    <n v="315"/>
    <n v="0.5"/>
    <x v="1"/>
  </r>
  <r>
    <x v="24"/>
    <d v="2026-08-09T00:00:00"/>
    <s v="Pasto"/>
    <x v="0"/>
    <x v="1"/>
    <x v="0"/>
    <s v="Monitor 27"/>
    <n v="3"/>
    <n v="310"/>
    <n v="210"/>
    <n v="2"/>
    <n v="3"/>
    <n v="900"/>
    <n v="930"/>
    <n v="630"/>
    <n v="300"/>
    <n v="0.32258064516129031"/>
    <x v="0"/>
  </r>
  <r>
    <x v="25"/>
    <d v="2026-08-09T00:00:00"/>
    <s v="Bogota"/>
    <x v="1"/>
    <x v="0"/>
    <x v="1"/>
    <s v="Buzo Hooded"/>
    <n v="8"/>
    <n v="50"/>
    <n v="22"/>
    <n v="2"/>
    <n v="3"/>
    <n v="400"/>
    <n v="400"/>
    <n v="176"/>
    <n v="224"/>
    <n v="0.5600000000000000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AB4AB9-19BF-43B0-B5A5-675DC71DCFE8}" name="TablaDinámica6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 chartFormat="17" colHeaderCaption="">
  <location ref="B93:I99" firstHeaderRow="1" firstDataRow="3" firstDataCol="1"/>
  <pivotFields count="23">
    <pivotField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umFmtId="14" showAll="0"/>
    <pivotField showAll="0"/>
    <pivotField axis="axisRow" showAll="0">
      <items count="4">
        <item x="1"/>
        <item x="0"/>
        <item x="2"/>
        <item t="default"/>
      </items>
    </pivotField>
    <pivotField axis="axisCol" showAll="0">
      <items count="3">
        <item x="0"/>
        <item x="1"/>
        <item t="default"/>
      </items>
    </pivotField>
    <pivotField showAll="0">
      <items count="5">
        <item x="3"/>
        <item x="0"/>
        <item x="2"/>
        <item x="1"/>
        <item t="default"/>
      </items>
    </pivotField>
    <pivotField showAll="0"/>
    <pivotField showAll="0"/>
    <pivotField numFmtId="44" showAll="0"/>
    <pivotField numFmtId="44" showAll="0"/>
    <pivotField showAll="0"/>
    <pivotField showAll="0"/>
    <pivotField showAll="0"/>
    <pivotField numFmtId="44" showAll="0"/>
    <pivotField numFmtId="44" showAll="0"/>
    <pivotField dataField="1" numFmtId="44" showAll="0"/>
    <pivotField numFmtId="9" showAll="0"/>
    <pivotField axis="axisCol" multipleItemSelectionAllowed="1" showAll="0">
      <items count="3">
        <item x="0"/>
        <item x="1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3"/>
  </rowFields>
  <rowItems count="4">
    <i>
      <x/>
    </i>
    <i>
      <x v="1"/>
    </i>
    <i>
      <x v="2"/>
    </i>
    <i t="grand">
      <x/>
    </i>
  </rowItems>
  <colFields count="2">
    <field x="17"/>
    <field x="4"/>
  </colFields>
  <col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colItems>
  <dataFields count="1">
    <dataField name="Suma de Ganancia bruta" fld="15" showDataAs="percentOfRow" baseField="0" baseItem="0" numFmtId="10"/>
  </dataFields>
  <formats count="19">
    <format dxfId="25">
      <pivotArea type="all" dataOnly="0" outline="0" fieldPosition="0"/>
    </format>
    <format dxfId="24">
      <pivotArea outline="0" collapsedLevelsAreSubtotals="1" fieldPosition="0"/>
    </format>
    <format dxfId="23">
      <pivotArea type="origin" dataOnly="0" labelOnly="1" outline="0" fieldPosition="0"/>
    </format>
    <format dxfId="22">
      <pivotArea field="17" type="button" dataOnly="0" labelOnly="1" outline="0" axis="axisCol" fieldPosition="0"/>
    </format>
    <format dxfId="21">
      <pivotArea field="4" type="button" dataOnly="0" labelOnly="1" outline="0" axis="axisCol" fieldPosition="1"/>
    </format>
    <format dxfId="20">
      <pivotArea type="topRight" dataOnly="0" labelOnly="1" outline="0" fieldPosition="0"/>
    </format>
    <format dxfId="19">
      <pivotArea field="3" type="button" dataOnly="0" labelOnly="1" outline="0" axis="axisRow" fieldPosition="0"/>
    </format>
    <format dxfId="18">
      <pivotArea dataOnly="0" labelOnly="1" fieldPosition="0">
        <references count="1">
          <reference field="3" count="0"/>
        </references>
      </pivotArea>
    </format>
    <format dxfId="17">
      <pivotArea dataOnly="0" labelOnly="1" grandRow="1" outline="0" fieldPosition="0"/>
    </format>
    <format dxfId="16">
      <pivotArea dataOnly="0" labelOnly="1" fieldPosition="0">
        <references count="1">
          <reference field="17" count="0"/>
        </references>
      </pivotArea>
    </format>
    <format dxfId="15">
      <pivotArea dataOnly="0" labelOnly="1" fieldPosition="0">
        <references count="1">
          <reference field="17" count="0" defaultSubtotal="1"/>
        </references>
      </pivotArea>
    </format>
    <format dxfId="14">
      <pivotArea dataOnly="0" labelOnly="1" grandCol="1" outline="0" fieldPosition="0"/>
    </format>
    <format dxfId="13">
      <pivotArea dataOnly="0" labelOnly="1" fieldPosition="0">
        <references count="2">
          <reference field="4" count="0"/>
          <reference field="17" count="1" selected="0">
            <x v="0"/>
          </reference>
        </references>
      </pivotArea>
    </format>
    <format dxfId="12">
      <pivotArea dataOnly="0" labelOnly="1" fieldPosition="0">
        <references count="2">
          <reference field="4" count="0"/>
          <reference field="17" count="1" selected="0">
            <x v="1"/>
          </reference>
        </references>
      </pivotArea>
    </format>
    <format dxfId="11">
      <pivotArea collapsedLevelsAreSubtotals="1" fieldPosition="0">
        <references count="2">
          <reference field="3" count="1">
            <x v="2"/>
          </reference>
          <reference field="17" count="1" selected="0" defaultSubtotal="1">
            <x v="1"/>
          </reference>
        </references>
      </pivotArea>
    </format>
    <format dxfId="10">
      <pivotArea collapsedLevelsAreSubtotals="1" fieldPosition="0">
        <references count="2">
          <reference field="3" count="1">
            <x v="2"/>
          </reference>
          <reference field="17" count="1" selected="0" defaultSubtotal="1">
            <x v="1"/>
          </reference>
        </references>
      </pivotArea>
    </format>
    <format dxfId="9">
      <pivotArea collapsedLevelsAreSubtotals="1" fieldPosition="0">
        <references count="2">
          <reference field="3" count="1">
            <x v="2"/>
          </reference>
          <reference field="17" count="1" selected="0" defaultSubtotal="1">
            <x v="1"/>
          </reference>
        </references>
      </pivotArea>
    </format>
    <format dxfId="8">
      <pivotArea outline="0" fieldPosition="0">
        <references count="1">
          <reference field="4294967294" count="1">
            <x v="0"/>
          </reference>
        </references>
      </pivotArea>
    </format>
    <format dxfId="7">
      <pivotArea collapsedLevelsAreSubtotals="1" fieldPosition="0">
        <references count="2">
          <reference field="3" count="1">
            <x v="2"/>
          </reference>
          <reference field="17" count="1" selected="0" defaultSubtotal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CF01B5-7157-4912-AA3B-87B8088FE338}" name="TablaDinámica5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 chartFormat="18" colHeaderCaption="">
  <location ref="B85:I91" firstHeaderRow="1" firstDataRow="3" firstDataCol="1"/>
  <pivotFields count="23">
    <pivotField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umFmtId="14" showAll="0"/>
    <pivotField showAll="0"/>
    <pivotField axis="axisRow" showAll="0">
      <items count="4">
        <item x="1"/>
        <item x="0"/>
        <item x="2"/>
        <item t="default"/>
      </items>
    </pivotField>
    <pivotField axis="axisCol" showAll="0">
      <items count="3">
        <item x="0"/>
        <item x="1"/>
        <item t="default"/>
      </items>
    </pivotField>
    <pivotField showAll="0">
      <items count="5">
        <item x="3"/>
        <item x="0"/>
        <item x="2"/>
        <item x="1"/>
        <item t="default"/>
      </items>
    </pivotField>
    <pivotField showAll="0"/>
    <pivotField showAll="0"/>
    <pivotField numFmtId="44" showAll="0"/>
    <pivotField numFmtId="44" showAll="0"/>
    <pivotField showAll="0"/>
    <pivotField showAll="0"/>
    <pivotField showAll="0"/>
    <pivotField numFmtId="44" showAll="0"/>
    <pivotField numFmtId="44" showAll="0"/>
    <pivotField dataField="1" numFmtId="44" showAll="0"/>
    <pivotField numFmtId="9" showAll="0"/>
    <pivotField axis="axisCol" multipleItemSelectionAllowed="1" showAll="0">
      <items count="3">
        <item x="0"/>
        <item x="1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3"/>
  </rowFields>
  <rowItems count="4">
    <i>
      <x/>
    </i>
    <i>
      <x v="1"/>
    </i>
    <i>
      <x v="2"/>
    </i>
    <i t="grand">
      <x/>
    </i>
  </rowItems>
  <colFields count="2">
    <field x="17"/>
    <field x="4"/>
  </colFields>
  <col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colItems>
  <dataFields count="1">
    <dataField name="Suma de Ganancia bruta" fld="15" baseField="0" baseItem="0" numFmtId="44"/>
  </dataFields>
  <formats count="18">
    <format dxfId="43">
      <pivotArea type="all" dataOnly="0" outline="0" fieldPosition="0"/>
    </format>
    <format dxfId="42">
      <pivotArea outline="0" collapsedLevelsAreSubtotals="1" fieldPosition="0"/>
    </format>
    <format dxfId="41">
      <pivotArea type="origin" dataOnly="0" labelOnly="1" outline="0" fieldPosition="0"/>
    </format>
    <format dxfId="40">
      <pivotArea field="17" type="button" dataOnly="0" labelOnly="1" outline="0" axis="axisCol" fieldPosition="0"/>
    </format>
    <format dxfId="39">
      <pivotArea field="4" type="button" dataOnly="0" labelOnly="1" outline="0" axis="axisCol" fieldPosition="1"/>
    </format>
    <format dxfId="38">
      <pivotArea type="topRight" dataOnly="0" labelOnly="1" outline="0" fieldPosition="0"/>
    </format>
    <format dxfId="37">
      <pivotArea field="3" type="button" dataOnly="0" labelOnly="1" outline="0" axis="axisRow" fieldPosition="0"/>
    </format>
    <format dxfId="36">
      <pivotArea dataOnly="0" labelOnly="1" fieldPosition="0">
        <references count="1">
          <reference field="3" count="0"/>
        </references>
      </pivotArea>
    </format>
    <format dxfId="35">
      <pivotArea dataOnly="0" labelOnly="1" grandRow="1" outline="0" fieldPosition="0"/>
    </format>
    <format dxfId="34">
      <pivotArea dataOnly="0" labelOnly="1" fieldPosition="0">
        <references count="1">
          <reference field="17" count="0"/>
        </references>
      </pivotArea>
    </format>
    <format dxfId="33">
      <pivotArea dataOnly="0" labelOnly="1" fieldPosition="0">
        <references count="1">
          <reference field="17" count="0" defaultSubtotal="1"/>
        </references>
      </pivotArea>
    </format>
    <format dxfId="32">
      <pivotArea dataOnly="0" labelOnly="1" grandCol="1" outline="0" fieldPosition="0"/>
    </format>
    <format dxfId="31">
      <pivotArea dataOnly="0" labelOnly="1" fieldPosition="0">
        <references count="2">
          <reference field="4" count="0"/>
          <reference field="17" count="1" selected="0">
            <x v="0"/>
          </reference>
        </references>
      </pivotArea>
    </format>
    <format dxfId="30">
      <pivotArea dataOnly="0" labelOnly="1" fieldPosition="0">
        <references count="2">
          <reference field="4" count="0"/>
          <reference field="17" count="1" selected="0">
            <x v="1"/>
          </reference>
        </references>
      </pivotArea>
    </format>
    <format dxfId="29">
      <pivotArea collapsedLevelsAreSubtotals="1" fieldPosition="0">
        <references count="2">
          <reference field="3" count="1">
            <x v="2"/>
          </reference>
          <reference field="17" count="1" selected="0" defaultSubtotal="1">
            <x v="1"/>
          </reference>
        </references>
      </pivotArea>
    </format>
    <format dxfId="28">
      <pivotArea collapsedLevelsAreSubtotals="1" fieldPosition="0">
        <references count="2">
          <reference field="3" count="1">
            <x v="2"/>
          </reference>
          <reference field="17" count="1" selected="0" defaultSubtotal="1">
            <x v="1"/>
          </reference>
        </references>
      </pivotArea>
    </format>
    <format dxfId="27">
      <pivotArea collapsedLevelsAreSubtotals="1" fieldPosition="0">
        <references count="2">
          <reference field="3" count="1">
            <x v="2"/>
          </reference>
          <reference field="17" count="1" selected="0" defaultSubtotal="1">
            <x v="1"/>
          </reference>
        </references>
      </pivotArea>
    </format>
    <format dxfId="26">
      <pivotArea collapsedLevelsAreSubtotals="1" fieldPosition="0">
        <references count="2">
          <reference field="3" count="1">
            <x v="2"/>
          </reference>
          <reference field="17" count="1" selected="0" defaultSubtotal="1">
            <x v="1"/>
          </reference>
        </references>
      </pivotArea>
    </format>
  </formats>
  <chartFormats count="4">
    <chartFormat chart="17" format="0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17" count="1" selected="0">
            <x v="0"/>
          </reference>
        </references>
      </pivotArea>
    </chartFormat>
    <chartFormat chart="17" format="1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17" count="1" selected="0">
            <x v="0"/>
          </reference>
        </references>
      </pivotArea>
    </chartFormat>
    <chartFormat chart="17" format="2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17" count="1" selected="0">
            <x v="1"/>
          </reference>
        </references>
      </pivotArea>
    </chartFormat>
    <chartFormat chart="17" format="3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1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32E844-964F-422A-A503-DF50579A78C2}" name="TablaDinámica4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 chartFormat="17" colHeaderCaption="">
  <location ref="B66:I72" firstHeaderRow="1" firstDataRow="3" firstDataCol="1"/>
  <pivotFields count="23">
    <pivotField dataField="1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umFmtId="14" showAll="0"/>
    <pivotField showAll="0"/>
    <pivotField axis="axisRow" showAll="0">
      <items count="4">
        <item x="1"/>
        <item x="0"/>
        <item x="2"/>
        <item t="default"/>
      </items>
    </pivotField>
    <pivotField axis="axisCol" showAll="0">
      <items count="3">
        <item x="0"/>
        <item x="1"/>
        <item t="default"/>
      </items>
    </pivotField>
    <pivotField showAll="0">
      <items count="5">
        <item x="3"/>
        <item x="0"/>
        <item x="2"/>
        <item x="1"/>
        <item t="default"/>
      </items>
    </pivotField>
    <pivotField showAll="0"/>
    <pivotField showAll="0"/>
    <pivotField numFmtId="44" showAll="0"/>
    <pivotField numFmtId="44" showAll="0"/>
    <pivotField showAll="0"/>
    <pivotField showAll="0"/>
    <pivotField showAll="0"/>
    <pivotField numFmtId="44" showAll="0"/>
    <pivotField numFmtId="44" showAll="0"/>
    <pivotField numFmtId="44" showAll="0"/>
    <pivotField numFmtId="9" showAll="0"/>
    <pivotField axis="axisCol" multipleItemSelectionAllowed="1" showAll="0">
      <items count="3">
        <item x="0"/>
        <item x="1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3"/>
  </rowFields>
  <rowItems count="4">
    <i>
      <x/>
    </i>
    <i>
      <x v="1"/>
    </i>
    <i>
      <x v="2"/>
    </i>
    <i t="grand">
      <x/>
    </i>
  </rowItems>
  <colFields count="2">
    <field x="17"/>
    <field x="4"/>
  </colFields>
  <col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colItems>
  <dataFields count="1">
    <dataField name="Cuenta de ID_Transaccion" fld="0" subtotal="count" baseField="0" baseItem="0"/>
  </dataFields>
  <formats count="19">
    <format dxfId="62">
      <pivotArea type="all" dataOnly="0" outline="0" fieldPosition="0"/>
    </format>
    <format dxfId="61">
      <pivotArea outline="0" collapsedLevelsAreSubtotals="1" fieldPosition="0"/>
    </format>
    <format dxfId="60">
      <pivotArea type="origin" dataOnly="0" labelOnly="1" outline="0" fieldPosition="0"/>
    </format>
    <format dxfId="59">
      <pivotArea field="17" type="button" dataOnly="0" labelOnly="1" outline="0" axis="axisCol" fieldPosition="0"/>
    </format>
    <format dxfId="58">
      <pivotArea field="4" type="button" dataOnly="0" labelOnly="1" outline="0" axis="axisCol" fieldPosition="1"/>
    </format>
    <format dxfId="57">
      <pivotArea type="topRight" dataOnly="0" labelOnly="1" outline="0" fieldPosition="0"/>
    </format>
    <format dxfId="56">
      <pivotArea field="3" type="button" dataOnly="0" labelOnly="1" outline="0" axis="axisRow" fieldPosition="0"/>
    </format>
    <format dxfId="55">
      <pivotArea dataOnly="0" labelOnly="1" fieldPosition="0">
        <references count="1">
          <reference field="3" count="0"/>
        </references>
      </pivotArea>
    </format>
    <format dxfId="54">
      <pivotArea dataOnly="0" labelOnly="1" grandRow="1" outline="0" fieldPosition="0"/>
    </format>
    <format dxfId="53">
      <pivotArea dataOnly="0" labelOnly="1" fieldPosition="0">
        <references count="1">
          <reference field="17" count="0"/>
        </references>
      </pivotArea>
    </format>
    <format dxfId="52">
      <pivotArea dataOnly="0" labelOnly="1" fieldPosition="0">
        <references count="1">
          <reference field="17" count="0" defaultSubtotal="1"/>
        </references>
      </pivotArea>
    </format>
    <format dxfId="51">
      <pivotArea dataOnly="0" labelOnly="1" grandCol="1" outline="0" fieldPosition="0"/>
    </format>
    <format dxfId="50">
      <pivotArea dataOnly="0" labelOnly="1" fieldPosition="0">
        <references count="2">
          <reference field="4" count="0"/>
          <reference field="17" count="1" selected="0">
            <x v="0"/>
          </reference>
        </references>
      </pivotArea>
    </format>
    <format dxfId="49">
      <pivotArea dataOnly="0" labelOnly="1" fieldPosition="0">
        <references count="2">
          <reference field="4" count="0"/>
          <reference field="17" count="1" selected="0">
            <x v="1"/>
          </reference>
        </references>
      </pivotArea>
    </format>
    <format dxfId="48">
      <pivotArea collapsedLevelsAreSubtotals="1" fieldPosition="0">
        <references count="2">
          <reference field="3" count="1">
            <x v="2"/>
          </reference>
          <reference field="17" count="1" selected="0" defaultSubtotal="1">
            <x v="1"/>
          </reference>
        </references>
      </pivotArea>
    </format>
    <format dxfId="47">
      <pivotArea collapsedLevelsAreSubtotals="1" fieldPosition="0">
        <references count="2">
          <reference field="3" count="1">
            <x v="2"/>
          </reference>
          <reference field="17" count="1" selected="0" defaultSubtotal="1">
            <x v="1"/>
          </reference>
        </references>
      </pivotArea>
    </format>
    <format dxfId="46">
      <pivotArea collapsedLevelsAreSubtotals="1" fieldPosition="0">
        <references count="2">
          <reference field="3" count="1">
            <x v="2"/>
          </reference>
          <reference field="17" count="1" selected="0" defaultSubtotal="1">
            <x v="1"/>
          </reference>
        </references>
      </pivotArea>
    </format>
    <format dxfId="45">
      <pivotArea collapsedLevelsAreSubtotals="1" fieldPosition="0">
        <references count="2">
          <reference field="3" count="1">
            <x v="2"/>
          </reference>
          <reference field="17" count="1" selected="0" defaultSubtotal="1">
            <x v="1"/>
          </reference>
        </references>
      </pivotArea>
    </format>
    <format dxfId="44">
      <pivotArea outline="0" fieldPosition="0">
        <references count="1">
          <reference field="4294967294" count="1">
            <x v="0"/>
          </reference>
        </references>
      </pivotArea>
    </format>
  </formats>
  <conditionalFormats count="1">
    <conditionalFormat priority="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3">
              <x v="0"/>
              <x v="1"/>
              <x v="2"/>
            </reference>
            <reference field="17" count="1" selected="0" defaultSubtotal="1">
              <x v="1"/>
            </reference>
          </references>
        </pivotArea>
      </pivotAreas>
    </conditionalFormat>
  </conditionalFormats>
  <chartFormats count="4">
    <chartFormat chart="16" format="0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17" count="1" selected="0">
            <x v="0"/>
          </reference>
        </references>
      </pivotArea>
    </chartFormat>
    <chartFormat chart="16" format="1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17" count="1" selected="0">
            <x v="0"/>
          </reference>
        </references>
      </pivotArea>
    </chartFormat>
    <chartFormat chart="16" format="2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17" count="1" selected="0">
            <x v="1"/>
          </reference>
        </references>
      </pivotArea>
    </chartFormat>
    <chartFormat chart="16" format="3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1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DE8DCF-13C7-45A7-A4E5-8D6F8798258F}" name="TablaDinámica3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 chartFormat="16">
  <location ref="B40:D56" firstHeaderRow="0" firstDataRow="1" firstDataCol="1"/>
  <pivotFields count="23">
    <pivotField dataField="1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umFmtId="14"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showAll="0"/>
    <pivotField numFmtId="44" showAll="0"/>
    <pivotField numFmtId="44" showAll="0"/>
    <pivotField showAll="0"/>
    <pivotField showAll="0"/>
    <pivotField showAll="0"/>
    <pivotField dataField="1" numFmtId="44" showAll="0"/>
    <pivotField numFmtId="44" showAll="0"/>
    <pivotField numFmtId="44" showAll="0"/>
    <pivotField numFmtId="9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3"/>
    <field x="5"/>
  </rowFields>
  <rowItems count="16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venta total" fld="13" baseField="0" baseItem="0" numFmtId="44"/>
    <dataField name="Cuenta de ID_Transaccion" fld="0" subtotal="count" baseField="0" baseItem="0"/>
  </dataFields>
  <formats count="4">
    <format dxfId="66">
      <pivotArea type="all" dataOnly="0" outline="0" fieldPosition="0"/>
    </format>
    <format dxfId="65">
      <pivotArea outline="0" collapsedLevelsAreSubtotals="1" fieldPosition="0"/>
    </format>
    <format dxfId="64">
      <pivotArea field="5" type="button" dataOnly="0" labelOnly="1" outline="0" axis="axisRow" fieldPosition="1"/>
    </format>
    <format dxfId="63">
      <pivotArea dataOnly="0" labelOnly="1" grandRow="1" outline="0" fieldPosition="0"/>
    </format>
  </formats>
  <conditionalFormats count="4">
    <conditionalFormat priority="8">
      <pivotAreas count="3">
        <pivotArea type="data" collapsedLevelsAreSubtotals="1" fieldPosition="0">
          <references count="2">
            <reference field="4294967294" count="1" selected="0">
              <x v="0"/>
            </reference>
            <reference field="3" count="1">
              <x v="2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3" count="1">
              <x v="1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3" count="1">
              <x v="0"/>
            </reference>
          </references>
        </pivotArea>
      </pivotAreas>
    </conditionalFormat>
    <conditionalFormat priority="14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1" selected="0">
              <x v="2"/>
            </reference>
            <reference field="5" count="4">
              <x v="0"/>
              <x v="1"/>
              <x v="2"/>
              <x v="3"/>
            </reference>
          </references>
        </pivotArea>
      </pivotAreas>
    </conditionalFormat>
    <conditionalFormat priority="15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1" selected="0">
              <x v="0"/>
            </reference>
            <reference field="5" count="4">
              <x v="0"/>
              <x v="1"/>
              <x v="2"/>
              <x v="3"/>
            </reference>
          </references>
        </pivotArea>
      </pivotAreas>
    </conditionalFormat>
    <conditionalFormat priority="16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1" selected="0">
              <x v="1"/>
            </reference>
            <reference field="5" count="4">
              <x v="0"/>
              <x v="1"/>
              <x v="2"/>
              <x v="3"/>
            </reference>
          </references>
        </pivotArea>
      </pivotAreas>
    </conditionalFormat>
  </conditionalFormats>
  <chartFormats count="2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CA3922-5BA1-491C-B4A5-1E634A219662}" name="TablaDiná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 chartFormat="8">
  <location ref="B6:E11" firstHeaderRow="0" firstDataRow="1" firstDataCol="1"/>
  <pivotFields count="23">
    <pivotField showAll="0"/>
    <pivotField numFmtId="14" showAll="0"/>
    <pivotField showAll="0"/>
    <pivotField showAll="0"/>
    <pivotField showAll="0"/>
    <pivotField axis="axisRow" showAll="0" sortType="descending">
      <items count="5">
        <item x="3"/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showAll="0"/>
    <pivotField numFmtId="44" showAll="0"/>
    <pivotField numFmtId="44" showAll="0"/>
    <pivotField showAll="0"/>
    <pivotField showAll="0"/>
    <pivotField showAll="0"/>
    <pivotField dataField="1" numFmtId="44" showAll="0"/>
    <pivotField numFmtId="44" showAll="0"/>
    <pivotField dataField="1" numFmtId="44" showAll="0"/>
    <pivotField numFmtId="9" showAll="0"/>
    <pivotField showAl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5"/>
  </rowFields>
  <rowItems count="5">
    <i>
      <x v="3"/>
    </i>
    <i>
      <x/>
    </i>
    <i>
      <x v="2"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a de venta total" fld="13" baseField="0" baseItem="0" numFmtId="44"/>
    <dataField name="Suma de Ganancia bruta" fld="15" baseField="0" baseItem="0" numFmtId="44"/>
    <dataField name="Margen de ponderado" fld="18" baseField="0" baseItem="0" numFmtId="164"/>
  </dataFields>
  <formats count="6">
    <format dxfId="72">
      <pivotArea type="all" dataOnly="0" outline="0" fieldPosition="0"/>
    </format>
    <format dxfId="71">
      <pivotArea outline="0" collapsedLevelsAreSubtotals="1" fieldPosition="0"/>
    </format>
    <format dxfId="70">
      <pivotArea field="5" type="button" dataOnly="0" labelOnly="1" outline="0" axis="axisRow" fieldPosition="0"/>
    </format>
    <format dxfId="69">
      <pivotArea dataOnly="0" labelOnly="1" fieldPosition="0">
        <references count="1">
          <reference field="5" count="0"/>
        </references>
      </pivotArea>
    </format>
    <format dxfId="68">
      <pivotArea dataOnly="0" labelOnly="1" grandRow="1" outline="0" fieldPosition="0"/>
    </format>
    <format dxfId="6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onditionalFormats count="3">
    <conditionalFormat priority="30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5" count="4">
              <x v="0"/>
              <x v="1"/>
              <x v="2"/>
              <x v="3"/>
            </reference>
          </references>
        </pivotArea>
      </pivotAreas>
    </conditionalFormat>
    <conditionalFormat priority="32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5" count="4">
              <x v="0"/>
              <x v="1"/>
              <x v="2"/>
              <x v="3"/>
            </reference>
          </references>
        </pivotArea>
      </pivotAreas>
    </conditionalFormat>
    <conditionalFormat priority="33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5" count="4">
              <x v="0"/>
              <x v="1"/>
              <x v="2"/>
              <x v="3"/>
            </reference>
          </references>
        </pivotArea>
      </pivotAreas>
    </conditionalFormat>
  </conditionalFormats>
  <chartFormats count="3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47D4CF-A1AC-4633-A1DD-BB5D3D3C93AC}" name="TablaDiná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 chartFormat="15">
  <location ref="B25:E29" firstHeaderRow="0" firstDataRow="1" firstDataCol="1"/>
  <pivotFields count="23">
    <pivotField showAll="0"/>
    <pivotField numFmtId="14"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>
      <items count="5">
        <item x="3"/>
        <item x="0"/>
        <item x="2"/>
        <item x="1"/>
        <item t="default"/>
      </items>
    </pivotField>
    <pivotField showAll="0"/>
    <pivotField showAll="0"/>
    <pivotField numFmtId="44" showAll="0"/>
    <pivotField numFmtId="44" showAll="0"/>
    <pivotField showAll="0"/>
    <pivotField showAll="0"/>
    <pivotField dataField="1" showAll="0"/>
    <pivotField dataField="1" numFmtId="44" showAll="0"/>
    <pivotField numFmtId="44" showAll="0"/>
    <pivotField numFmtId="44" showAll="0"/>
    <pivotField numFmtId="9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Presupuesto_Meta_USD." fld="12" baseField="0" baseItem="0" numFmtId="165"/>
    <dataField name="venta total." fld="13" baseField="0" baseItem="0" numFmtId="44"/>
    <dataField name="Variacion presupuestal." fld="22" baseField="0" baseItem="0" numFmtId="166"/>
  </dataFields>
  <formats count="7">
    <format dxfId="79">
      <pivotArea type="all" dataOnly="0" outline="0" fieldPosition="0"/>
    </format>
    <format dxfId="78">
      <pivotArea outline="0" collapsedLevelsAreSubtotals="1" fieldPosition="0"/>
    </format>
    <format dxfId="77">
      <pivotArea field="5" type="button" dataOnly="0" labelOnly="1" outline="0"/>
    </format>
    <format dxfId="76">
      <pivotArea dataOnly="0" labelOnly="1" grandRow="1" outline="0" fieldPosition="0"/>
    </format>
    <format dxfId="75">
      <pivotArea outline="0" fieldPosition="0">
        <references count="1">
          <reference field="4294967294" count="1">
            <x v="0"/>
          </reference>
        </references>
      </pivotArea>
    </format>
    <format dxfId="74">
      <pivotArea outline="0" fieldPosition="0">
        <references count="1">
          <reference field="4294967294" count="1">
            <x v="2"/>
          </reference>
        </references>
      </pivotArea>
    </format>
    <format dxfId="7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onditionalFormats count="3">
    <conditionalFormat priority="21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3" count="3">
              <x v="0"/>
              <x v="1"/>
              <x v="2"/>
            </reference>
          </references>
        </pivotArea>
      </pivotAreas>
    </conditionalFormat>
    <conditionalFormat priority="23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3" count="3">
              <x v="0"/>
              <x v="1"/>
              <x v="2"/>
            </reference>
          </references>
        </pivotArea>
      </pivotAreas>
    </conditionalFormat>
    <conditionalFormat priority="25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3" count="3">
              <x v="0"/>
              <x v="1"/>
              <x v="2"/>
            </reference>
          </references>
        </pivotArea>
      </pivotAreas>
    </conditionalFormat>
  </conditionalFormats>
  <chartFormats count="3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2B2B8A-1273-41B0-B414-C75D415FCE01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C20" firstHeaderRow="1" firstDataRow="1" firstDataCol="0"/>
  <pivotFields count="8">
    <pivotField showAll="0"/>
    <pivotField numFmtId="14"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3363DD9C-44F3-41E4-9D38-7F925D1C0CAF}" autoFormatId="16" applyNumberFormats="0" applyBorderFormats="0" applyFontFormats="0" applyPatternFormats="0" applyAlignmentFormats="0" applyWidthHeightFormats="0">
  <queryTableRefresh nextId="19" unboundColumnsRight="5">
    <queryTableFields count="18">
      <queryTableField id="1" name="ID_Transaccion" tableColumnId="1"/>
      <queryTableField id="2" name="Fecha" tableColumnId="2"/>
      <queryTableField id="3" name="Ciudad" tableColumnId="3"/>
      <queryTableField id="4" name="CD_Origen" tableColumnId="4"/>
      <queryTableField id="5" name="Canal" tableColumnId="5"/>
      <queryTableField id="6" name="Categoria" tableColumnId="6"/>
      <queryTableField id="7" name="Producto" tableColumnId="7"/>
      <queryTableField id="8" name="Cantidad" tableColumnId="8"/>
      <queryTableField id="9" name="Precio_Unitario_USD" tableColumnId="9"/>
      <queryTableField id="10" name="Costo_Unitario_USD" tableColumnId="10"/>
      <queryTableField id="11" name="Dias_Entrega" tableColumnId="11"/>
      <queryTableField id="12" name="Promesa_SLA_Dias" tableColumnId="12"/>
      <queryTableField id="13" name="Presupuesto_Meta_USD" tableColumnId="13"/>
      <queryTableField id="14" dataBound="0" tableColumnId="14"/>
      <queryTableField id="15" dataBound="0" tableColumnId="15"/>
      <queryTableField id="16" dataBound="0" tableColumnId="16"/>
      <queryTableField id="17" dataBound="0" tableColumnId="17"/>
      <queryTableField id="18" dataBound="0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188AFF-AB40-4D97-A4F8-41B99A51AA42}" name="gemini_code_1787702791259" displayName="gemini_code_1787702791259" ref="A1:R1078" tableType="queryTable" totalsRowCount="1">
  <autoFilter ref="A1:R1077" xr:uid="{E7188AFF-AB40-4D97-A4F8-41B99A51AA42}"/>
  <tableColumns count="18">
    <tableColumn id="1" xr3:uid="{D92C0563-5BB1-46F5-81CE-65EED70215F9}" uniqueName="1" name="ID_Transaccion" queryTableFieldId="1" dataDxfId="87"/>
    <tableColumn id="2" xr3:uid="{7C1D999E-84DE-49FE-B44F-0F02D07D347D}" uniqueName="2" name="Fecha" queryTableFieldId="2" dataDxfId="86" totalsRowDxfId="6"/>
    <tableColumn id="3" xr3:uid="{1D1D8370-C8F1-4A13-9CAB-3DD98A91AC38}" uniqueName="3" name="Ciudad" queryTableFieldId="3" dataDxfId="85"/>
    <tableColumn id="4" xr3:uid="{E7C00B6C-CF91-4EEE-86D0-CCC3DABF7362}" uniqueName="4" name="CD_Origen" queryTableFieldId="4" dataDxfId="84"/>
    <tableColumn id="5" xr3:uid="{666D9570-3B59-4CA4-A25F-3760787E03A7}" uniqueName="5" name="Canal" queryTableFieldId="5" dataDxfId="83"/>
    <tableColumn id="6" xr3:uid="{828B607A-38CB-4D81-BA97-340AC5D21C13}" uniqueName="6" name="Categoria" queryTableFieldId="6" dataDxfId="82"/>
    <tableColumn id="7" xr3:uid="{DDD6DAF8-7886-43C9-990E-1D6261365462}" uniqueName="7" name="Producto" queryTableFieldId="7" dataDxfId="81"/>
    <tableColumn id="8" xr3:uid="{8CC721A2-14CE-4460-932F-25B12D2944D2}" uniqueName="8" name="Cantidad" queryTableFieldId="8"/>
    <tableColumn id="9" xr3:uid="{C5CEE5BA-E5BE-431A-9AC4-275E8C63691E}" uniqueName="9" name="Precio_Unitario_USD" queryTableFieldId="9" totalsRowDxfId="5" dataCellStyle="Moneda" totalsRowCellStyle="Moneda"/>
    <tableColumn id="10" xr3:uid="{B8294234-7E3C-4D0B-BA43-042EFF19716E}" uniqueName="10" name="Costo_Unitario_USD" queryTableFieldId="10" totalsRowDxfId="4" dataCellStyle="Moneda" totalsRowCellStyle="Moneda"/>
    <tableColumn id="11" xr3:uid="{5452E640-5A72-4D4D-A778-0B097B5CE5EA}" uniqueName="11" name="Dias_Entrega" queryTableFieldId="11"/>
    <tableColumn id="12" xr3:uid="{0457994F-8222-4F09-9516-A6981904BEE8}" uniqueName="12" name="Promesa_SLA_Dias" queryTableFieldId="12"/>
    <tableColumn id="13" xr3:uid="{BD823436-9819-437B-98FF-2DDF7CA8A4FD}" uniqueName="13" name="Presupuesto_Meta_USD" queryTableFieldId="13"/>
    <tableColumn id="14" xr3:uid="{34F1B5ED-F735-40DE-902B-F6D937CBD9F4}" uniqueName="14" name="venta total" queryTableFieldId="14" totalsRowDxfId="3" dataCellStyle="Moneda" totalsRowCellStyle="Moneda">
      <calculatedColumnFormula>+gemini_code_1787702791259[[#This Row],[Cantidad]]*gemini_code_1787702791259[[#This Row],[Precio_Unitario_USD]]</calculatedColumnFormula>
    </tableColumn>
    <tableColumn id="15" xr3:uid="{DE34391A-F1D7-4EAC-9C26-6E41B75AF93E}" uniqueName="15" name="Costo total" queryTableFieldId="15" totalsRowDxfId="2" dataCellStyle="Moneda" totalsRowCellStyle="Moneda">
      <calculatedColumnFormula>+gemini_code_1787702791259[[#This Row],[Cantidad]]*gemini_code_1787702791259[[#This Row],[Costo_Unitario_USD]]</calculatedColumnFormula>
    </tableColumn>
    <tableColumn id="16" xr3:uid="{8470E1EF-5FC2-4033-BD94-91B656327F23}" uniqueName="16" name="Ganancia bruta" queryTableFieldId="16" totalsRowDxfId="1" dataCellStyle="Moneda" totalsRowCellStyle="Moneda">
      <calculatedColumnFormula>+gemini_code_1787702791259[[#This Row],[venta total]]-gemini_code_1787702791259[[#This Row],[Costo total]]</calculatedColumnFormula>
    </tableColumn>
    <tableColumn id="17" xr3:uid="{43CF084C-805D-4A5A-A19F-C63243A4E8A2}" uniqueName="17" name="margen %" queryTableFieldId="17" totalsRowDxfId="0" dataCellStyle="Porcentaje" totalsRowCellStyle="Porcentaje">
      <calculatedColumnFormula>gemini_code_1787702791259[[#This Row],[Ganancia bruta]]/gemini_code_1787702791259[[#This Row],[venta total]]</calculatedColumnFormula>
    </tableColumn>
    <tableColumn id="18" xr3:uid="{67B07A3F-667C-4D95-851B-A104A0D3076C}" uniqueName="18" name="Estado SLA" queryTableFieldId="18" dataDxfId="80">
      <calculatedColumnFormula>IF(gemini_code_1787702791259[[#This Row],[Dias_Entrega]]&lt;=gemini_code_1787702791259[[#This Row],[Promesa_SLA_Dias]],"A tiempo","Fuera de SLA")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2CCBC-3427-4D89-88C7-9898E78155A2}">
  <dimension ref="A1:R1085"/>
  <sheetViews>
    <sheetView topLeftCell="A1017" workbookViewId="0">
      <selection activeCell="P1083" sqref="P1083"/>
    </sheetView>
  </sheetViews>
  <sheetFormatPr baseColWidth="10" defaultRowHeight="15" x14ac:dyDescent="0.25"/>
  <cols>
    <col min="1" max="1" width="16.85546875" bestFit="1" customWidth="1"/>
    <col min="2" max="2" width="10.42578125" bestFit="1" customWidth="1"/>
    <col min="3" max="3" width="9.7109375" bestFit="1" customWidth="1"/>
    <col min="4" max="4" width="15.5703125" bestFit="1" customWidth="1"/>
    <col min="5" max="5" width="12.7109375" bestFit="1" customWidth="1"/>
    <col min="6" max="6" width="12" bestFit="1" customWidth="1"/>
    <col min="7" max="7" width="21.85546875" bestFit="1" customWidth="1"/>
    <col min="9" max="9" width="21.85546875" bestFit="1" customWidth="1"/>
    <col min="10" max="10" width="21.5703125" bestFit="1" customWidth="1"/>
    <col min="11" max="11" width="15" bestFit="1" customWidth="1"/>
    <col min="12" max="12" width="20.28515625" bestFit="1" customWidth="1"/>
    <col min="13" max="13" width="25" bestFit="1" customWidth="1"/>
    <col min="14" max="14" width="12.85546875" bestFit="1" customWidth="1"/>
    <col min="15" max="15" width="13.28515625" bestFit="1" customWidth="1"/>
    <col min="16" max="16" width="16.710937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85</v>
      </c>
      <c r="O1" t="s">
        <v>86</v>
      </c>
      <c r="P1" t="s">
        <v>87</v>
      </c>
      <c r="Q1" t="s">
        <v>88</v>
      </c>
      <c r="R1" t="s">
        <v>89</v>
      </c>
    </row>
    <row r="2" spans="1:18" x14ac:dyDescent="0.25">
      <c r="A2" t="s">
        <v>13</v>
      </c>
      <c r="B2" s="1">
        <v>46235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>
        <v>2</v>
      </c>
      <c r="I2" s="12">
        <v>850</v>
      </c>
      <c r="J2" s="12">
        <v>600</v>
      </c>
      <c r="K2">
        <v>2</v>
      </c>
      <c r="L2">
        <v>3</v>
      </c>
      <c r="M2">
        <v>1500</v>
      </c>
      <c r="N2" s="12">
        <f>+gemini_code_1787702791259[[#This Row],[Cantidad]]*gemini_code_1787702791259[[#This Row],[Precio_Unitario_USD]]</f>
        <v>1700</v>
      </c>
      <c r="O2" s="12">
        <f>+gemini_code_1787702791259[[#This Row],[Cantidad]]*gemini_code_1787702791259[[#This Row],[Costo_Unitario_USD]]</f>
        <v>1200</v>
      </c>
      <c r="P2" s="12">
        <f>+gemini_code_1787702791259[[#This Row],[venta total]]-gemini_code_1787702791259[[#This Row],[Costo total]]</f>
        <v>500</v>
      </c>
      <c r="Q2" s="2">
        <f>gemini_code_1787702791259[[#This Row],[Ganancia bruta]]/gemini_code_1787702791259[[#This Row],[venta total]]</f>
        <v>0.29411764705882354</v>
      </c>
      <c r="R2" t="str">
        <f>IF(gemini_code_1787702791259[[#This Row],[Dias_Entrega]]&lt;=gemini_code_1787702791259[[#This Row],[Promesa_SLA_Dias]],"A tiempo","Fuera de SLA")</f>
        <v>A tiempo</v>
      </c>
    </row>
    <row r="3" spans="1:18" x14ac:dyDescent="0.25">
      <c r="A3" t="s">
        <v>19</v>
      </c>
      <c r="B3" s="1">
        <v>46235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>
        <v>5</v>
      </c>
      <c r="I3" s="12">
        <v>120</v>
      </c>
      <c r="J3" s="12">
        <v>70</v>
      </c>
      <c r="K3">
        <v>3</v>
      </c>
      <c r="L3">
        <v>3</v>
      </c>
      <c r="M3">
        <v>500</v>
      </c>
      <c r="N3" s="12">
        <f>+gemini_code_1787702791259[[#This Row],[Cantidad]]*gemini_code_1787702791259[[#This Row],[Precio_Unitario_USD]]</f>
        <v>600</v>
      </c>
      <c r="O3" s="12">
        <f>+gemini_code_1787702791259[[#This Row],[Cantidad]]*gemini_code_1787702791259[[#This Row],[Costo_Unitario_USD]]</f>
        <v>350</v>
      </c>
      <c r="P3" s="12">
        <f>+gemini_code_1787702791259[[#This Row],[venta total]]-gemini_code_1787702791259[[#This Row],[Costo total]]</f>
        <v>250</v>
      </c>
      <c r="Q3" s="2">
        <f>gemini_code_1787702791259[[#This Row],[Ganancia bruta]]/gemini_code_1787702791259[[#This Row],[venta total]]</f>
        <v>0.41666666666666669</v>
      </c>
      <c r="R3" t="str">
        <f>IF(gemini_code_1787702791259[[#This Row],[Dias_Entrega]]&lt;=gemini_code_1787702791259[[#This Row],[Promesa_SLA_Dias]],"A tiempo","Fuera de SLA")</f>
        <v>A tiempo</v>
      </c>
    </row>
    <row r="4" spans="1:18" x14ac:dyDescent="0.25">
      <c r="A4" t="s">
        <v>25</v>
      </c>
      <c r="B4" s="1">
        <v>46235</v>
      </c>
      <c r="C4" t="s">
        <v>26</v>
      </c>
      <c r="D4" t="s">
        <v>27</v>
      </c>
      <c r="E4" t="s">
        <v>16</v>
      </c>
      <c r="F4" t="s">
        <v>28</v>
      </c>
      <c r="G4" t="s">
        <v>29</v>
      </c>
      <c r="H4">
        <v>3</v>
      </c>
      <c r="I4" s="12">
        <v>90</v>
      </c>
      <c r="J4" s="12">
        <v>50</v>
      </c>
      <c r="K4">
        <v>6</v>
      </c>
      <c r="L4">
        <v>4</v>
      </c>
      <c r="M4">
        <v>300</v>
      </c>
      <c r="N4" s="12">
        <f>+gemini_code_1787702791259[[#This Row],[Cantidad]]*gemini_code_1787702791259[[#This Row],[Precio_Unitario_USD]]</f>
        <v>270</v>
      </c>
      <c r="O4" s="12">
        <f>+gemini_code_1787702791259[[#This Row],[Cantidad]]*gemini_code_1787702791259[[#This Row],[Costo_Unitario_USD]]</f>
        <v>150</v>
      </c>
      <c r="P4" s="12">
        <f>+gemini_code_1787702791259[[#This Row],[venta total]]-gemini_code_1787702791259[[#This Row],[Costo total]]</f>
        <v>120</v>
      </c>
      <c r="Q4" s="2">
        <f>gemini_code_1787702791259[[#This Row],[Ganancia bruta]]/gemini_code_1787702791259[[#This Row],[venta total]]</f>
        <v>0.44444444444444442</v>
      </c>
      <c r="R4" t="str">
        <f>IF(gemini_code_1787702791259[[#This Row],[Dias_Entrega]]&lt;=gemini_code_1787702791259[[#This Row],[Promesa_SLA_Dias]],"A tiempo","Fuera de SLA")</f>
        <v>Fuera de SLA</v>
      </c>
    </row>
    <row r="5" spans="1:18" x14ac:dyDescent="0.25">
      <c r="A5" t="s">
        <v>30</v>
      </c>
      <c r="B5" s="1">
        <v>46236</v>
      </c>
      <c r="C5" t="s">
        <v>14</v>
      </c>
      <c r="D5" t="s">
        <v>15</v>
      </c>
      <c r="E5" t="s">
        <v>22</v>
      </c>
      <c r="F5" t="s">
        <v>31</v>
      </c>
      <c r="G5" t="s">
        <v>32</v>
      </c>
      <c r="H5">
        <v>4</v>
      </c>
      <c r="I5" s="12">
        <v>110</v>
      </c>
      <c r="J5" s="12">
        <v>60</v>
      </c>
      <c r="K5">
        <v>1</v>
      </c>
      <c r="L5">
        <v>2</v>
      </c>
      <c r="M5">
        <v>400</v>
      </c>
      <c r="N5" s="12">
        <f>+gemini_code_1787702791259[[#This Row],[Cantidad]]*gemini_code_1787702791259[[#This Row],[Precio_Unitario_USD]]</f>
        <v>440</v>
      </c>
      <c r="O5" s="12">
        <f>+gemini_code_1787702791259[[#This Row],[Cantidad]]*gemini_code_1787702791259[[#This Row],[Costo_Unitario_USD]]</f>
        <v>240</v>
      </c>
      <c r="P5" s="12">
        <f>+gemini_code_1787702791259[[#This Row],[venta total]]-gemini_code_1787702791259[[#This Row],[Costo total]]</f>
        <v>200</v>
      </c>
      <c r="Q5" s="2">
        <f>gemini_code_1787702791259[[#This Row],[Ganancia bruta]]/gemini_code_1787702791259[[#This Row],[venta total]]</f>
        <v>0.45454545454545453</v>
      </c>
      <c r="R5" t="str">
        <f>IF(gemini_code_1787702791259[[#This Row],[Dias_Entrega]]&lt;=gemini_code_1787702791259[[#This Row],[Promesa_SLA_Dias]],"A tiempo","Fuera de SLA")</f>
        <v>A tiempo</v>
      </c>
    </row>
    <row r="6" spans="1:18" x14ac:dyDescent="0.25">
      <c r="A6" t="s">
        <v>33</v>
      </c>
      <c r="B6" s="1">
        <v>46236</v>
      </c>
      <c r="C6" t="s">
        <v>20</v>
      </c>
      <c r="D6" t="s">
        <v>21</v>
      </c>
      <c r="E6" t="s">
        <v>16</v>
      </c>
      <c r="F6" t="s">
        <v>17</v>
      </c>
      <c r="G6" t="s">
        <v>34</v>
      </c>
      <c r="H6">
        <v>3</v>
      </c>
      <c r="I6" s="12">
        <v>650</v>
      </c>
      <c r="J6" s="12">
        <v>450</v>
      </c>
      <c r="K6">
        <v>2</v>
      </c>
      <c r="L6">
        <v>3</v>
      </c>
      <c r="M6">
        <v>1800</v>
      </c>
      <c r="N6" s="12">
        <f>+gemini_code_1787702791259[[#This Row],[Cantidad]]*gemini_code_1787702791259[[#This Row],[Precio_Unitario_USD]]</f>
        <v>1950</v>
      </c>
      <c r="O6" s="12">
        <f>+gemini_code_1787702791259[[#This Row],[Cantidad]]*gemini_code_1787702791259[[#This Row],[Costo_Unitario_USD]]</f>
        <v>1350</v>
      </c>
      <c r="P6" s="12">
        <f>+gemini_code_1787702791259[[#This Row],[venta total]]-gemini_code_1787702791259[[#This Row],[Costo total]]</f>
        <v>600</v>
      </c>
      <c r="Q6" s="2">
        <f>gemini_code_1787702791259[[#This Row],[Ganancia bruta]]/gemini_code_1787702791259[[#This Row],[venta total]]</f>
        <v>0.30769230769230771</v>
      </c>
      <c r="R6" t="str">
        <f>IF(gemini_code_1787702791259[[#This Row],[Dias_Entrega]]&lt;=gemini_code_1787702791259[[#This Row],[Promesa_SLA_Dias]],"A tiempo","Fuera de SLA")</f>
        <v>A tiempo</v>
      </c>
    </row>
    <row r="7" spans="1:18" x14ac:dyDescent="0.25">
      <c r="A7" t="s">
        <v>35</v>
      </c>
      <c r="B7" s="1">
        <v>46236</v>
      </c>
      <c r="C7" t="s">
        <v>26</v>
      </c>
      <c r="D7" t="s">
        <v>27</v>
      </c>
      <c r="E7" t="s">
        <v>16</v>
      </c>
      <c r="F7" t="s">
        <v>23</v>
      </c>
      <c r="G7" t="s">
        <v>36</v>
      </c>
      <c r="H7">
        <v>8</v>
      </c>
      <c r="I7" s="12">
        <v>45</v>
      </c>
      <c r="J7" s="12">
        <v>20</v>
      </c>
      <c r="K7">
        <v>5</v>
      </c>
      <c r="L7">
        <v>3</v>
      </c>
      <c r="M7">
        <v>400</v>
      </c>
      <c r="N7" s="12">
        <f>+gemini_code_1787702791259[[#This Row],[Cantidad]]*gemini_code_1787702791259[[#This Row],[Precio_Unitario_USD]]</f>
        <v>360</v>
      </c>
      <c r="O7" s="12">
        <f>+gemini_code_1787702791259[[#This Row],[Cantidad]]*gemini_code_1787702791259[[#This Row],[Costo_Unitario_USD]]</f>
        <v>160</v>
      </c>
      <c r="P7" s="12">
        <f>+gemini_code_1787702791259[[#This Row],[venta total]]-gemini_code_1787702791259[[#This Row],[Costo total]]</f>
        <v>200</v>
      </c>
      <c r="Q7" s="2">
        <f>gemini_code_1787702791259[[#This Row],[Ganancia bruta]]/gemini_code_1787702791259[[#This Row],[venta total]]</f>
        <v>0.55555555555555558</v>
      </c>
      <c r="R7" t="str">
        <f>IF(gemini_code_1787702791259[[#This Row],[Dias_Entrega]]&lt;=gemini_code_1787702791259[[#This Row],[Promesa_SLA_Dias]],"A tiempo","Fuera de SLA")</f>
        <v>Fuera de SLA</v>
      </c>
    </row>
    <row r="8" spans="1:18" x14ac:dyDescent="0.25">
      <c r="A8" t="s">
        <v>37</v>
      </c>
      <c r="B8" s="1">
        <v>46237</v>
      </c>
      <c r="C8" t="s">
        <v>14</v>
      </c>
      <c r="D8" t="s">
        <v>15</v>
      </c>
      <c r="E8" t="s">
        <v>16</v>
      </c>
      <c r="F8" t="s">
        <v>28</v>
      </c>
      <c r="G8" t="s">
        <v>38</v>
      </c>
      <c r="H8">
        <v>2</v>
      </c>
      <c r="I8" s="12">
        <v>280</v>
      </c>
      <c r="J8" s="12">
        <v>180</v>
      </c>
      <c r="K8">
        <v>3</v>
      </c>
      <c r="L8">
        <v>3</v>
      </c>
      <c r="M8">
        <v>500</v>
      </c>
      <c r="N8" s="12">
        <f>+gemini_code_1787702791259[[#This Row],[Cantidad]]*gemini_code_1787702791259[[#This Row],[Precio_Unitario_USD]]</f>
        <v>560</v>
      </c>
      <c r="O8" s="12">
        <f>+gemini_code_1787702791259[[#This Row],[Cantidad]]*gemini_code_1787702791259[[#This Row],[Costo_Unitario_USD]]</f>
        <v>360</v>
      </c>
      <c r="P8" s="12">
        <f>+gemini_code_1787702791259[[#This Row],[venta total]]-gemini_code_1787702791259[[#This Row],[Costo total]]</f>
        <v>200</v>
      </c>
      <c r="Q8" s="2">
        <f>gemini_code_1787702791259[[#This Row],[Ganancia bruta]]/gemini_code_1787702791259[[#This Row],[venta total]]</f>
        <v>0.35714285714285715</v>
      </c>
      <c r="R8" t="str">
        <f>IF(gemini_code_1787702791259[[#This Row],[Dias_Entrega]]&lt;=gemini_code_1787702791259[[#This Row],[Promesa_SLA_Dias]],"A tiempo","Fuera de SLA")</f>
        <v>A tiempo</v>
      </c>
    </row>
    <row r="9" spans="1:18" x14ac:dyDescent="0.25">
      <c r="A9" t="s">
        <v>39</v>
      </c>
      <c r="B9" s="1">
        <v>46237</v>
      </c>
      <c r="C9" t="s">
        <v>20</v>
      </c>
      <c r="D9" t="s">
        <v>21</v>
      </c>
      <c r="E9" t="s">
        <v>22</v>
      </c>
      <c r="F9" t="s">
        <v>31</v>
      </c>
      <c r="G9" t="s">
        <v>40</v>
      </c>
      <c r="H9">
        <v>3</v>
      </c>
      <c r="I9" s="12">
        <v>150</v>
      </c>
      <c r="J9" s="12">
        <v>85</v>
      </c>
      <c r="K9">
        <v>2</v>
      </c>
      <c r="L9">
        <v>2</v>
      </c>
      <c r="M9">
        <v>400</v>
      </c>
      <c r="N9" s="12">
        <f>+gemini_code_1787702791259[[#This Row],[Cantidad]]*gemini_code_1787702791259[[#This Row],[Precio_Unitario_USD]]</f>
        <v>450</v>
      </c>
      <c r="O9" s="12">
        <f>+gemini_code_1787702791259[[#This Row],[Cantidad]]*gemini_code_1787702791259[[#This Row],[Costo_Unitario_USD]]</f>
        <v>255</v>
      </c>
      <c r="P9" s="12">
        <f>+gemini_code_1787702791259[[#This Row],[venta total]]-gemini_code_1787702791259[[#This Row],[Costo total]]</f>
        <v>195</v>
      </c>
      <c r="Q9" s="2">
        <f>gemini_code_1787702791259[[#This Row],[Ganancia bruta]]/gemini_code_1787702791259[[#This Row],[venta total]]</f>
        <v>0.43333333333333335</v>
      </c>
      <c r="R9" t="str">
        <f>IF(gemini_code_1787702791259[[#This Row],[Dias_Entrega]]&lt;=gemini_code_1787702791259[[#This Row],[Promesa_SLA_Dias]],"A tiempo","Fuera de SLA")</f>
        <v>A tiempo</v>
      </c>
    </row>
    <row r="10" spans="1:18" x14ac:dyDescent="0.25">
      <c r="A10" t="s">
        <v>41</v>
      </c>
      <c r="B10" s="1">
        <v>46237</v>
      </c>
      <c r="C10" t="s">
        <v>26</v>
      </c>
      <c r="D10" t="s">
        <v>27</v>
      </c>
      <c r="E10" t="s">
        <v>16</v>
      </c>
      <c r="F10" t="s">
        <v>17</v>
      </c>
      <c r="G10" t="s">
        <v>42</v>
      </c>
      <c r="H10">
        <v>2</v>
      </c>
      <c r="I10" s="12">
        <v>520</v>
      </c>
      <c r="J10" s="12">
        <v>380</v>
      </c>
      <c r="K10">
        <v>7</v>
      </c>
      <c r="L10">
        <v>4</v>
      </c>
      <c r="M10">
        <v>1000</v>
      </c>
      <c r="N10" s="12">
        <f>+gemini_code_1787702791259[[#This Row],[Cantidad]]*gemini_code_1787702791259[[#This Row],[Precio_Unitario_USD]]</f>
        <v>1040</v>
      </c>
      <c r="O10" s="12">
        <f>+gemini_code_1787702791259[[#This Row],[Cantidad]]*gemini_code_1787702791259[[#This Row],[Costo_Unitario_USD]]</f>
        <v>760</v>
      </c>
      <c r="P10" s="12">
        <f>+gemini_code_1787702791259[[#This Row],[venta total]]-gemini_code_1787702791259[[#This Row],[Costo total]]</f>
        <v>280</v>
      </c>
      <c r="Q10" s="2">
        <f>gemini_code_1787702791259[[#This Row],[Ganancia bruta]]/gemini_code_1787702791259[[#This Row],[venta total]]</f>
        <v>0.26923076923076922</v>
      </c>
      <c r="R10" t="str">
        <f>IF(gemini_code_1787702791259[[#This Row],[Dias_Entrega]]&lt;=gemini_code_1787702791259[[#This Row],[Promesa_SLA_Dias]],"A tiempo","Fuera de SLA")</f>
        <v>Fuera de SLA</v>
      </c>
    </row>
    <row r="11" spans="1:18" x14ac:dyDescent="0.25">
      <c r="A11" t="s">
        <v>43</v>
      </c>
      <c r="B11" s="1">
        <v>46238</v>
      </c>
      <c r="C11" t="s">
        <v>14</v>
      </c>
      <c r="D11" t="s">
        <v>15</v>
      </c>
      <c r="E11" t="s">
        <v>22</v>
      </c>
      <c r="F11" t="s">
        <v>23</v>
      </c>
      <c r="G11" t="s">
        <v>44</v>
      </c>
      <c r="H11">
        <v>6</v>
      </c>
      <c r="I11" s="12">
        <v>55</v>
      </c>
      <c r="J11" s="12">
        <v>25</v>
      </c>
      <c r="K11">
        <v>2</v>
      </c>
      <c r="L11">
        <v>3</v>
      </c>
      <c r="M11">
        <v>300</v>
      </c>
      <c r="N11" s="12">
        <f>+gemini_code_1787702791259[[#This Row],[Cantidad]]*gemini_code_1787702791259[[#This Row],[Precio_Unitario_USD]]</f>
        <v>330</v>
      </c>
      <c r="O11" s="12">
        <f>+gemini_code_1787702791259[[#This Row],[Cantidad]]*gemini_code_1787702791259[[#This Row],[Costo_Unitario_USD]]</f>
        <v>150</v>
      </c>
      <c r="P11" s="12">
        <f>+gemini_code_1787702791259[[#This Row],[venta total]]-gemini_code_1787702791259[[#This Row],[Costo total]]</f>
        <v>180</v>
      </c>
      <c r="Q11" s="2">
        <f>gemini_code_1787702791259[[#This Row],[Ganancia bruta]]/gemini_code_1787702791259[[#This Row],[venta total]]</f>
        <v>0.54545454545454541</v>
      </c>
      <c r="R11" t="str">
        <f>IF(gemini_code_1787702791259[[#This Row],[Dias_Entrega]]&lt;=gemini_code_1787702791259[[#This Row],[Promesa_SLA_Dias]],"A tiempo","Fuera de SLA")</f>
        <v>A tiempo</v>
      </c>
    </row>
    <row r="12" spans="1:18" x14ac:dyDescent="0.25">
      <c r="A12" t="s">
        <v>45</v>
      </c>
      <c r="B12" s="1">
        <v>46238</v>
      </c>
      <c r="C12" t="s">
        <v>20</v>
      </c>
      <c r="D12" t="s">
        <v>21</v>
      </c>
      <c r="E12" t="s">
        <v>16</v>
      </c>
      <c r="F12" t="s">
        <v>28</v>
      </c>
      <c r="G12" t="s">
        <v>46</v>
      </c>
      <c r="H12">
        <v>1</v>
      </c>
      <c r="I12" s="12">
        <v>450</v>
      </c>
      <c r="J12" s="12">
        <v>290</v>
      </c>
      <c r="K12">
        <v>4</v>
      </c>
      <c r="L12">
        <v>3</v>
      </c>
      <c r="M12">
        <v>400</v>
      </c>
      <c r="N12" s="12">
        <f>+gemini_code_1787702791259[[#This Row],[Cantidad]]*gemini_code_1787702791259[[#This Row],[Precio_Unitario_USD]]</f>
        <v>450</v>
      </c>
      <c r="O12" s="12">
        <f>+gemini_code_1787702791259[[#This Row],[Cantidad]]*gemini_code_1787702791259[[#This Row],[Costo_Unitario_USD]]</f>
        <v>290</v>
      </c>
      <c r="P12" s="12">
        <f>+gemini_code_1787702791259[[#This Row],[venta total]]-gemini_code_1787702791259[[#This Row],[Costo total]]</f>
        <v>160</v>
      </c>
      <c r="Q12" s="2">
        <f>gemini_code_1787702791259[[#This Row],[Ganancia bruta]]/gemini_code_1787702791259[[#This Row],[venta total]]</f>
        <v>0.35555555555555557</v>
      </c>
      <c r="R12" t="str">
        <f>IF(gemini_code_1787702791259[[#This Row],[Dias_Entrega]]&lt;=gemini_code_1787702791259[[#This Row],[Promesa_SLA_Dias]],"A tiempo","Fuera de SLA")</f>
        <v>Fuera de SLA</v>
      </c>
    </row>
    <row r="13" spans="1:18" x14ac:dyDescent="0.25">
      <c r="A13" t="s">
        <v>47</v>
      </c>
      <c r="B13" s="1">
        <v>46238</v>
      </c>
      <c r="C13" t="s">
        <v>26</v>
      </c>
      <c r="D13" t="s">
        <v>27</v>
      </c>
      <c r="E13" t="s">
        <v>22</v>
      </c>
      <c r="F13" t="s">
        <v>31</v>
      </c>
      <c r="G13" t="s">
        <v>48</v>
      </c>
      <c r="H13">
        <v>10</v>
      </c>
      <c r="I13" s="12">
        <v>35</v>
      </c>
      <c r="J13" s="12">
        <v>15</v>
      </c>
      <c r="K13">
        <v>4</v>
      </c>
      <c r="L13">
        <v>3</v>
      </c>
      <c r="M13">
        <v>300</v>
      </c>
      <c r="N13" s="12">
        <f>+gemini_code_1787702791259[[#This Row],[Cantidad]]*gemini_code_1787702791259[[#This Row],[Precio_Unitario_USD]]</f>
        <v>350</v>
      </c>
      <c r="O13" s="12">
        <f>+gemini_code_1787702791259[[#This Row],[Cantidad]]*gemini_code_1787702791259[[#This Row],[Costo_Unitario_USD]]</f>
        <v>150</v>
      </c>
      <c r="P13" s="12">
        <f>+gemini_code_1787702791259[[#This Row],[venta total]]-gemini_code_1787702791259[[#This Row],[Costo total]]</f>
        <v>200</v>
      </c>
      <c r="Q13" s="2">
        <f>gemini_code_1787702791259[[#This Row],[Ganancia bruta]]/gemini_code_1787702791259[[#This Row],[venta total]]</f>
        <v>0.5714285714285714</v>
      </c>
      <c r="R13" t="str">
        <f>IF(gemini_code_1787702791259[[#This Row],[Dias_Entrega]]&lt;=gemini_code_1787702791259[[#This Row],[Promesa_SLA_Dias]],"A tiempo","Fuera de SLA")</f>
        <v>Fuera de SLA</v>
      </c>
    </row>
    <row r="14" spans="1:18" x14ac:dyDescent="0.25">
      <c r="A14" t="s">
        <v>49</v>
      </c>
      <c r="B14" s="1">
        <v>46239</v>
      </c>
      <c r="C14" t="s">
        <v>14</v>
      </c>
      <c r="D14" t="s">
        <v>15</v>
      </c>
      <c r="E14" t="s">
        <v>16</v>
      </c>
      <c r="F14" t="s">
        <v>17</v>
      </c>
      <c r="G14" t="s">
        <v>50</v>
      </c>
      <c r="H14">
        <v>4</v>
      </c>
      <c r="I14" s="12">
        <v>220</v>
      </c>
      <c r="J14" s="12">
        <v>140</v>
      </c>
      <c r="K14">
        <v>2</v>
      </c>
      <c r="L14">
        <v>3</v>
      </c>
      <c r="M14">
        <v>800</v>
      </c>
      <c r="N14" s="12">
        <f>+gemini_code_1787702791259[[#This Row],[Cantidad]]*gemini_code_1787702791259[[#This Row],[Precio_Unitario_USD]]</f>
        <v>880</v>
      </c>
      <c r="O14" s="12">
        <f>+gemini_code_1787702791259[[#This Row],[Cantidad]]*gemini_code_1787702791259[[#This Row],[Costo_Unitario_USD]]</f>
        <v>560</v>
      </c>
      <c r="P14" s="12">
        <f>+gemini_code_1787702791259[[#This Row],[venta total]]-gemini_code_1787702791259[[#This Row],[Costo total]]</f>
        <v>320</v>
      </c>
      <c r="Q14" s="2">
        <f>gemini_code_1787702791259[[#This Row],[Ganancia bruta]]/gemini_code_1787702791259[[#This Row],[venta total]]</f>
        <v>0.36363636363636365</v>
      </c>
      <c r="R14" t="str">
        <f>IF(gemini_code_1787702791259[[#This Row],[Dias_Entrega]]&lt;=gemini_code_1787702791259[[#This Row],[Promesa_SLA_Dias]],"A tiempo","Fuera de SLA")</f>
        <v>A tiempo</v>
      </c>
    </row>
    <row r="15" spans="1:18" x14ac:dyDescent="0.25">
      <c r="A15" t="s">
        <v>51</v>
      </c>
      <c r="B15" s="1">
        <v>46239</v>
      </c>
      <c r="C15" t="s">
        <v>20</v>
      </c>
      <c r="D15" t="s">
        <v>21</v>
      </c>
      <c r="E15" t="s">
        <v>16</v>
      </c>
      <c r="F15" t="s">
        <v>23</v>
      </c>
      <c r="G15" t="s">
        <v>52</v>
      </c>
      <c r="H15">
        <v>5</v>
      </c>
      <c r="I15" s="12">
        <v>65</v>
      </c>
      <c r="J15" s="12">
        <v>30</v>
      </c>
      <c r="K15">
        <v>2</v>
      </c>
      <c r="L15">
        <v>3</v>
      </c>
      <c r="M15">
        <v>300</v>
      </c>
      <c r="N15" s="12">
        <f>+gemini_code_1787702791259[[#This Row],[Cantidad]]*gemini_code_1787702791259[[#This Row],[Precio_Unitario_USD]]</f>
        <v>325</v>
      </c>
      <c r="O15" s="12">
        <f>+gemini_code_1787702791259[[#This Row],[Cantidad]]*gemini_code_1787702791259[[#This Row],[Costo_Unitario_USD]]</f>
        <v>150</v>
      </c>
      <c r="P15" s="12">
        <f>+gemini_code_1787702791259[[#This Row],[venta total]]-gemini_code_1787702791259[[#This Row],[Costo total]]</f>
        <v>175</v>
      </c>
      <c r="Q15" s="2">
        <f>gemini_code_1787702791259[[#This Row],[Ganancia bruta]]/gemini_code_1787702791259[[#This Row],[venta total]]</f>
        <v>0.53846153846153844</v>
      </c>
      <c r="R15" t="str">
        <f>IF(gemini_code_1787702791259[[#This Row],[Dias_Entrega]]&lt;=gemini_code_1787702791259[[#This Row],[Promesa_SLA_Dias]],"A tiempo","Fuera de SLA")</f>
        <v>A tiempo</v>
      </c>
    </row>
    <row r="16" spans="1:18" x14ac:dyDescent="0.25">
      <c r="A16" t="s">
        <v>53</v>
      </c>
      <c r="B16" s="1">
        <v>46239</v>
      </c>
      <c r="C16" t="s">
        <v>26</v>
      </c>
      <c r="D16" t="s">
        <v>27</v>
      </c>
      <c r="E16" t="s">
        <v>16</v>
      </c>
      <c r="F16" t="s">
        <v>28</v>
      </c>
      <c r="G16" t="s">
        <v>54</v>
      </c>
      <c r="H16">
        <v>2</v>
      </c>
      <c r="I16" s="12">
        <v>180</v>
      </c>
      <c r="J16" s="12">
        <v>110</v>
      </c>
      <c r="K16">
        <v>6</v>
      </c>
      <c r="L16">
        <v>3</v>
      </c>
      <c r="M16">
        <v>350</v>
      </c>
      <c r="N16" s="12">
        <f>+gemini_code_1787702791259[[#This Row],[Cantidad]]*gemini_code_1787702791259[[#This Row],[Precio_Unitario_USD]]</f>
        <v>360</v>
      </c>
      <c r="O16" s="12">
        <f>+gemini_code_1787702791259[[#This Row],[Cantidad]]*gemini_code_1787702791259[[#This Row],[Costo_Unitario_USD]]</f>
        <v>220</v>
      </c>
      <c r="P16" s="12">
        <f>+gemini_code_1787702791259[[#This Row],[venta total]]-gemini_code_1787702791259[[#This Row],[Costo total]]</f>
        <v>140</v>
      </c>
      <c r="Q16" s="2">
        <f>gemini_code_1787702791259[[#This Row],[Ganancia bruta]]/gemini_code_1787702791259[[#This Row],[venta total]]</f>
        <v>0.3888888888888889</v>
      </c>
      <c r="R16" t="str">
        <f>IF(gemini_code_1787702791259[[#This Row],[Dias_Entrega]]&lt;=gemini_code_1787702791259[[#This Row],[Promesa_SLA_Dias]],"A tiempo","Fuera de SLA")</f>
        <v>Fuera de SLA</v>
      </c>
    </row>
    <row r="17" spans="1:18" x14ac:dyDescent="0.25">
      <c r="A17" t="s">
        <v>55</v>
      </c>
      <c r="B17" s="1">
        <v>46240</v>
      </c>
      <c r="C17" t="s">
        <v>14</v>
      </c>
      <c r="D17" t="s">
        <v>15</v>
      </c>
      <c r="E17" t="s">
        <v>22</v>
      </c>
      <c r="F17" t="s">
        <v>31</v>
      </c>
      <c r="G17" t="s">
        <v>56</v>
      </c>
      <c r="H17">
        <v>6</v>
      </c>
      <c r="I17" s="12">
        <v>85</v>
      </c>
      <c r="J17" s="12">
        <v>45</v>
      </c>
      <c r="K17">
        <v>1</v>
      </c>
      <c r="L17">
        <v>2</v>
      </c>
      <c r="M17">
        <v>500</v>
      </c>
      <c r="N17" s="12">
        <f>+gemini_code_1787702791259[[#This Row],[Cantidad]]*gemini_code_1787702791259[[#This Row],[Precio_Unitario_USD]]</f>
        <v>510</v>
      </c>
      <c r="O17" s="12">
        <f>+gemini_code_1787702791259[[#This Row],[Cantidad]]*gemini_code_1787702791259[[#This Row],[Costo_Unitario_USD]]</f>
        <v>270</v>
      </c>
      <c r="P17" s="12">
        <f>+gemini_code_1787702791259[[#This Row],[venta total]]-gemini_code_1787702791259[[#This Row],[Costo total]]</f>
        <v>240</v>
      </c>
      <c r="Q17" s="2">
        <f>gemini_code_1787702791259[[#This Row],[Ganancia bruta]]/gemini_code_1787702791259[[#This Row],[venta total]]</f>
        <v>0.47058823529411764</v>
      </c>
      <c r="R17" t="str">
        <f>IF(gemini_code_1787702791259[[#This Row],[Dias_Entrega]]&lt;=gemini_code_1787702791259[[#This Row],[Promesa_SLA_Dias]],"A tiempo","Fuera de SLA")</f>
        <v>A tiempo</v>
      </c>
    </row>
    <row r="18" spans="1:18" x14ac:dyDescent="0.25">
      <c r="A18" t="s">
        <v>57</v>
      </c>
      <c r="B18" s="1">
        <v>46240</v>
      </c>
      <c r="C18" t="s">
        <v>20</v>
      </c>
      <c r="D18" t="s">
        <v>21</v>
      </c>
      <c r="E18" t="s">
        <v>16</v>
      </c>
      <c r="F18" t="s">
        <v>17</v>
      </c>
      <c r="G18" t="s">
        <v>58</v>
      </c>
      <c r="H18">
        <v>12</v>
      </c>
      <c r="I18" s="12">
        <v>75</v>
      </c>
      <c r="J18" s="12">
        <v>35</v>
      </c>
      <c r="K18">
        <v>1</v>
      </c>
      <c r="L18">
        <v>2</v>
      </c>
      <c r="M18">
        <v>800</v>
      </c>
      <c r="N18" s="12">
        <f>+gemini_code_1787702791259[[#This Row],[Cantidad]]*gemini_code_1787702791259[[#This Row],[Precio_Unitario_USD]]</f>
        <v>900</v>
      </c>
      <c r="O18" s="12">
        <f>+gemini_code_1787702791259[[#This Row],[Cantidad]]*gemini_code_1787702791259[[#This Row],[Costo_Unitario_USD]]</f>
        <v>420</v>
      </c>
      <c r="P18" s="12">
        <f>+gemini_code_1787702791259[[#This Row],[venta total]]-gemini_code_1787702791259[[#This Row],[Costo total]]</f>
        <v>480</v>
      </c>
      <c r="Q18" s="2">
        <f>gemini_code_1787702791259[[#This Row],[Ganancia bruta]]/gemini_code_1787702791259[[#This Row],[venta total]]</f>
        <v>0.53333333333333333</v>
      </c>
      <c r="R18" t="str">
        <f>IF(gemini_code_1787702791259[[#This Row],[Dias_Entrega]]&lt;=gemini_code_1787702791259[[#This Row],[Promesa_SLA_Dias]],"A tiempo","Fuera de SLA")</f>
        <v>A tiempo</v>
      </c>
    </row>
    <row r="19" spans="1:18" x14ac:dyDescent="0.25">
      <c r="A19" t="s">
        <v>59</v>
      </c>
      <c r="B19" s="1">
        <v>46240</v>
      </c>
      <c r="C19" t="s">
        <v>26</v>
      </c>
      <c r="D19" t="s">
        <v>27</v>
      </c>
      <c r="E19" t="s">
        <v>22</v>
      </c>
      <c r="F19" t="s">
        <v>23</v>
      </c>
      <c r="G19" t="s">
        <v>60</v>
      </c>
      <c r="H19">
        <v>4</v>
      </c>
      <c r="I19" s="12">
        <v>110</v>
      </c>
      <c r="J19" s="12">
        <v>55</v>
      </c>
      <c r="K19">
        <v>5</v>
      </c>
      <c r="L19">
        <v>3</v>
      </c>
      <c r="M19">
        <v>400</v>
      </c>
      <c r="N19" s="12">
        <f>+gemini_code_1787702791259[[#This Row],[Cantidad]]*gemini_code_1787702791259[[#This Row],[Precio_Unitario_USD]]</f>
        <v>440</v>
      </c>
      <c r="O19" s="12">
        <f>+gemini_code_1787702791259[[#This Row],[Cantidad]]*gemini_code_1787702791259[[#This Row],[Costo_Unitario_USD]]</f>
        <v>220</v>
      </c>
      <c r="P19" s="12">
        <f>+gemini_code_1787702791259[[#This Row],[venta total]]-gemini_code_1787702791259[[#This Row],[Costo total]]</f>
        <v>220</v>
      </c>
      <c r="Q19" s="2">
        <f>gemini_code_1787702791259[[#This Row],[Ganancia bruta]]/gemini_code_1787702791259[[#This Row],[venta total]]</f>
        <v>0.5</v>
      </c>
      <c r="R19" t="str">
        <f>IF(gemini_code_1787702791259[[#This Row],[Dias_Entrega]]&lt;=gemini_code_1787702791259[[#This Row],[Promesa_SLA_Dias]],"A tiempo","Fuera de SLA")</f>
        <v>Fuera de SLA</v>
      </c>
    </row>
    <row r="20" spans="1:18" x14ac:dyDescent="0.25">
      <c r="A20" t="s">
        <v>61</v>
      </c>
      <c r="B20" s="1">
        <v>46241</v>
      </c>
      <c r="C20" t="s">
        <v>14</v>
      </c>
      <c r="D20" t="s">
        <v>15</v>
      </c>
      <c r="E20" t="s">
        <v>16</v>
      </c>
      <c r="F20" t="s">
        <v>28</v>
      </c>
      <c r="G20" t="s">
        <v>62</v>
      </c>
      <c r="H20">
        <v>15</v>
      </c>
      <c r="I20" s="12">
        <v>25</v>
      </c>
      <c r="J20" s="12">
        <v>10</v>
      </c>
      <c r="K20">
        <v>2</v>
      </c>
      <c r="L20">
        <v>3</v>
      </c>
      <c r="M20">
        <v>300</v>
      </c>
      <c r="N20" s="12">
        <f>+gemini_code_1787702791259[[#This Row],[Cantidad]]*gemini_code_1787702791259[[#This Row],[Precio_Unitario_USD]]</f>
        <v>375</v>
      </c>
      <c r="O20" s="12">
        <f>+gemini_code_1787702791259[[#This Row],[Cantidad]]*gemini_code_1787702791259[[#This Row],[Costo_Unitario_USD]]</f>
        <v>150</v>
      </c>
      <c r="P20" s="12">
        <f>+gemini_code_1787702791259[[#This Row],[venta total]]-gemini_code_1787702791259[[#This Row],[Costo total]]</f>
        <v>225</v>
      </c>
      <c r="Q20" s="2">
        <f>gemini_code_1787702791259[[#This Row],[Ganancia bruta]]/gemini_code_1787702791259[[#This Row],[venta total]]</f>
        <v>0.6</v>
      </c>
      <c r="R20" t="str">
        <f>IF(gemini_code_1787702791259[[#This Row],[Dias_Entrega]]&lt;=gemini_code_1787702791259[[#This Row],[Promesa_SLA_Dias]],"A tiempo","Fuera de SLA")</f>
        <v>A tiempo</v>
      </c>
    </row>
    <row r="21" spans="1:18" x14ac:dyDescent="0.25">
      <c r="A21" t="s">
        <v>63</v>
      </c>
      <c r="B21" s="1">
        <v>46241</v>
      </c>
      <c r="C21" t="s">
        <v>20</v>
      </c>
      <c r="D21" t="s">
        <v>21</v>
      </c>
      <c r="E21" t="s">
        <v>22</v>
      </c>
      <c r="F21" t="s">
        <v>31</v>
      </c>
      <c r="G21" t="s">
        <v>64</v>
      </c>
      <c r="H21">
        <v>5</v>
      </c>
      <c r="I21" s="12">
        <v>130</v>
      </c>
      <c r="J21" s="12">
        <v>70</v>
      </c>
      <c r="K21">
        <v>3</v>
      </c>
      <c r="L21">
        <v>3</v>
      </c>
      <c r="M21">
        <v>600</v>
      </c>
      <c r="N21" s="12">
        <f>+gemini_code_1787702791259[[#This Row],[Cantidad]]*gemini_code_1787702791259[[#This Row],[Precio_Unitario_USD]]</f>
        <v>650</v>
      </c>
      <c r="O21" s="12">
        <f>+gemini_code_1787702791259[[#This Row],[Cantidad]]*gemini_code_1787702791259[[#This Row],[Costo_Unitario_USD]]</f>
        <v>350</v>
      </c>
      <c r="P21" s="12">
        <f>+gemini_code_1787702791259[[#This Row],[venta total]]-gemini_code_1787702791259[[#This Row],[Costo total]]</f>
        <v>300</v>
      </c>
      <c r="Q21" s="2">
        <f>gemini_code_1787702791259[[#This Row],[Ganancia bruta]]/gemini_code_1787702791259[[#This Row],[venta total]]</f>
        <v>0.46153846153846156</v>
      </c>
      <c r="R21" t="str">
        <f>IF(gemini_code_1787702791259[[#This Row],[Dias_Entrega]]&lt;=gemini_code_1787702791259[[#This Row],[Promesa_SLA_Dias]],"A tiempo","Fuera de SLA")</f>
        <v>A tiempo</v>
      </c>
    </row>
    <row r="22" spans="1:18" x14ac:dyDescent="0.25">
      <c r="A22" t="s">
        <v>65</v>
      </c>
      <c r="B22" s="1">
        <v>46241</v>
      </c>
      <c r="C22" t="s">
        <v>26</v>
      </c>
      <c r="D22" t="s">
        <v>27</v>
      </c>
      <c r="E22" t="s">
        <v>16</v>
      </c>
      <c r="F22" t="s">
        <v>17</v>
      </c>
      <c r="G22" t="s">
        <v>66</v>
      </c>
      <c r="H22">
        <v>2</v>
      </c>
      <c r="I22" s="12">
        <v>500</v>
      </c>
      <c r="J22" s="12">
        <v>380</v>
      </c>
      <c r="K22">
        <v>6</v>
      </c>
      <c r="L22">
        <v>4</v>
      </c>
      <c r="M22">
        <v>900</v>
      </c>
      <c r="N22" s="12">
        <f>+gemini_code_1787702791259[[#This Row],[Cantidad]]*gemini_code_1787702791259[[#This Row],[Precio_Unitario_USD]]</f>
        <v>1000</v>
      </c>
      <c r="O22" s="12">
        <f>+gemini_code_1787702791259[[#This Row],[Cantidad]]*gemini_code_1787702791259[[#This Row],[Costo_Unitario_USD]]</f>
        <v>760</v>
      </c>
      <c r="P22" s="12">
        <f>+gemini_code_1787702791259[[#This Row],[venta total]]-gemini_code_1787702791259[[#This Row],[Costo total]]</f>
        <v>240</v>
      </c>
      <c r="Q22" s="2">
        <f>gemini_code_1787702791259[[#This Row],[Ganancia bruta]]/gemini_code_1787702791259[[#This Row],[venta total]]</f>
        <v>0.24</v>
      </c>
      <c r="R22" t="str">
        <f>IF(gemini_code_1787702791259[[#This Row],[Dias_Entrega]]&lt;=gemini_code_1787702791259[[#This Row],[Promesa_SLA_Dias]],"A tiempo","Fuera de SLA")</f>
        <v>Fuera de SLA</v>
      </c>
    </row>
    <row r="23" spans="1:18" x14ac:dyDescent="0.25">
      <c r="A23" t="s">
        <v>67</v>
      </c>
      <c r="B23" s="1">
        <v>46242</v>
      </c>
      <c r="C23" t="s">
        <v>14</v>
      </c>
      <c r="D23" t="s">
        <v>15</v>
      </c>
      <c r="E23" t="s">
        <v>16</v>
      </c>
      <c r="F23" t="s">
        <v>23</v>
      </c>
      <c r="G23" t="s">
        <v>68</v>
      </c>
      <c r="H23">
        <v>3</v>
      </c>
      <c r="I23" s="12">
        <v>95</v>
      </c>
      <c r="J23" s="12">
        <v>45</v>
      </c>
      <c r="K23">
        <v>2</v>
      </c>
      <c r="L23">
        <v>3</v>
      </c>
      <c r="M23">
        <v>300</v>
      </c>
      <c r="N23" s="12">
        <f>+gemini_code_1787702791259[[#This Row],[Cantidad]]*gemini_code_1787702791259[[#This Row],[Precio_Unitario_USD]]</f>
        <v>285</v>
      </c>
      <c r="O23" s="12">
        <f>+gemini_code_1787702791259[[#This Row],[Cantidad]]*gemini_code_1787702791259[[#This Row],[Costo_Unitario_USD]]</f>
        <v>135</v>
      </c>
      <c r="P23" s="12">
        <f>+gemini_code_1787702791259[[#This Row],[venta total]]-gemini_code_1787702791259[[#This Row],[Costo total]]</f>
        <v>150</v>
      </c>
      <c r="Q23" s="2">
        <f>gemini_code_1787702791259[[#This Row],[Ganancia bruta]]/gemini_code_1787702791259[[#This Row],[venta total]]</f>
        <v>0.52631578947368418</v>
      </c>
      <c r="R23" t="str">
        <f>IF(gemini_code_1787702791259[[#This Row],[Dias_Entrega]]&lt;=gemini_code_1787702791259[[#This Row],[Promesa_SLA_Dias]],"A tiempo","Fuera de SLA")</f>
        <v>A tiempo</v>
      </c>
    </row>
    <row r="24" spans="1:18" x14ac:dyDescent="0.25">
      <c r="A24" t="s">
        <v>69</v>
      </c>
      <c r="B24" s="1">
        <v>46242</v>
      </c>
      <c r="C24" t="s">
        <v>20</v>
      </c>
      <c r="D24" t="s">
        <v>21</v>
      </c>
      <c r="E24" t="s">
        <v>16</v>
      </c>
      <c r="F24" t="s">
        <v>28</v>
      </c>
      <c r="G24" t="s">
        <v>70</v>
      </c>
      <c r="H24">
        <v>4</v>
      </c>
      <c r="I24" s="12">
        <v>160</v>
      </c>
      <c r="J24" s="12">
        <v>95</v>
      </c>
      <c r="K24">
        <v>2</v>
      </c>
      <c r="L24">
        <v>3</v>
      </c>
      <c r="M24">
        <v>600</v>
      </c>
      <c r="N24" s="12">
        <f>+gemini_code_1787702791259[[#This Row],[Cantidad]]*gemini_code_1787702791259[[#This Row],[Precio_Unitario_USD]]</f>
        <v>640</v>
      </c>
      <c r="O24" s="12">
        <f>+gemini_code_1787702791259[[#This Row],[Cantidad]]*gemini_code_1787702791259[[#This Row],[Costo_Unitario_USD]]</f>
        <v>380</v>
      </c>
      <c r="P24" s="12">
        <f>+gemini_code_1787702791259[[#This Row],[venta total]]-gemini_code_1787702791259[[#This Row],[Costo total]]</f>
        <v>260</v>
      </c>
      <c r="Q24" s="2">
        <f>gemini_code_1787702791259[[#This Row],[Ganancia bruta]]/gemini_code_1787702791259[[#This Row],[venta total]]</f>
        <v>0.40625</v>
      </c>
      <c r="R24" t="str">
        <f>IF(gemini_code_1787702791259[[#This Row],[Dias_Entrega]]&lt;=gemini_code_1787702791259[[#This Row],[Promesa_SLA_Dias]],"A tiempo","Fuera de SLA")</f>
        <v>A tiempo</v>
      </c>
    </row>
    <row r="25" spans="1:18" x14ac:dyDescent="0.25">
      <c r="A25" t="s">
        <v>71</v>
      </c>
      <c r="B25" s="1">
        <v>46242</v>
      </c>
      <c r="C25" t="s">
        <v>26</v>
      </c>
      <c r="D25" t="s">
        <v>27</v>
      </c>
      <c r="E25" t="s">
        <v>22</v>
      </c>
      <c r="F25" t="s">
        <v>31</v>
      </c>
      <c r="G25" t="s">
        <v>72</v>
      </c>
      <c r="H25">
        <v>7</v>
      </c>
      <c r="I25" s="12">
        <v>90</v>
      </c>
      <c r="J25" s="12">
        <v>45</v>
      </c>
      <c r="K25">
        <v>4</v>
      </c>
      <c r="L25">
        <v>3</v>
      </c>
      <c r="M25">
        <v>600</v>
      </c>
      <c r="N25" s="12">
        <f>+gemini_code_1787702791259[[#This Row],[Cantidad]]*gemini_code_1787702791259[[#This Row],[Precio_Unitario_USD]]</f>
        <v>630</v>
      </c>
      <c r="O25" s="12">
        <f>+gemini_code_1787702791259[[#This Row],[Cantidad]]*gemini_code_1787702791259[[#This Row],[Costo_Unitario_USD]]</f>
        <v>315</v>
      </c>
      <c r="P25" s="12">
        <f>+gemini_code_1787702791259[[#This Row],[venta total]]-gemini_code_1787702791259[[#This Row],[Costo total]]</f>
        <v>315</v>
      </c>
      <c r="Q25" s="2">
        <f>gemini_code_1787702791259[[#This Row],[Ganancia bruta]]/gemini_code_1787702791259[[#This Row],[venta total]]</f>
        <v>0.5</v>
      </c>
      <c r="R25" t="str">
        <f>IF(gemini_code_1787702791259[[#This Row],[Dias_Entrega]]&lt;=gemini_code_1787702791259[[#This Row],[Promesa_SLA_Dias]],"A tiempo","Fuera de SLA")</f>
        <v>Fuera de SLA</v>
      </c>
    </row>
    <row r="26" spans="1:18" x14ac:dyDescent="0.25">
      <c r="A26" t="s">
        <v>73</v>
      </c>
      <c r="B26" s="1">
        <v>46243</v>
      </c>
      <c r="C26" t="s">
        <v>14</v>
      </c>
      <c r="D26" t="s">
        <v>15</v>
      </c>
      <c r="E26" t="s">
        <v>22</v>
      </c>
      <c r="F26" t="s">
        <v>17</v>
      </c>
      <c r="G26" t="s">
        <v>74</v>
      </c>
      <c r="H26">
        <v>3</v>
      </c>
      <c r="I26" s="12">
        <v>310</v>
      </c>
      <c r="J26" s="12">
        <v>210</v>
      </c>
      <c r="K26">
        <v>2</v>
      </c>
      <c r="L26">
        <v>3</v>
      </c>
      <c r="M26">
        <v>900</v>
      </c>
      <c r="N26" s="12">
        <f>+gemini_code_1787702791259[[#This Row],[Cantidad]]*gemini_code_1787702791259[[#This Row],[Precio_Unitario_USD]]</f>
        <v>930</v>
      </c>
      <c r="O26" s="12">
        <f>+gemini_code_1787702791259[[#This Row],[Cantidad]]*gemini_code_1787702791259[[#This Row],[Costo_Unitario_USD]]</f>
        <v>630</v>
      </c>
      <c r="P26" s="12">
        <f>+gemini_code_1787702791259[[#This Row],[venta total]]-gemini_code_1787702791259[[#This Row],[Costo total]]</f>
        <v>300</v>
      </c>
      <c r="Q26" s="2">
        <f>gemini_code_1787702791259[[#This Row],[Ganancia bruta]]/gemini_code_1787702791259[[#This Row],[venta total]]</f>
        <v>0.32258064516129031</v>
      </c>
      <c r="R26" t="str">
        <f>IF(gemini_code_1787702791259[[#This Row],[Dias_Entrega]]&lt;=gemini_code_1787702791259[[#This Row],[Promesa_SLA_Dias]],"A tiempo","Fuera de SLA")</f>
        <v>A tiempo</v>
      </c>
    </row>
    <row r="27" spans="1:18" x14ac:dyDescent="0.25">
      <c r="A27" t="s">
        <v>75</v>
      </c>
      <c r="B27" s="1">
        <v>46243</v>
      </c>
      <c r="C27" t="s">
        <v>20</v>
      </c>
      <c r="D27" t="s">
        <v>21</v>
      </c>
      <c r="E27" t="s">
        <v>16</v>
      </c>
      <c r="F27" t="s">
        <v>23</v>
      </c>
      <c r="G27" t="s">
        <v>76</v>
      </c>
      <c r="H27">
        <v>8</v>
      </c>
      <c r="I27" s="12">
        <v>50</v>
      </c>
      <c r="J27" s="12">
        <v>22</v>
      </c>
      <c r="K27">
        <v>2</v>
      </c>
      <c r="L27">
        <v>3</v>
      </c>
      <c r="M27">
        <v>400</v>
      </c>
      <c r="N27" s="12">
        <f>+gemini_code_1787702791259[[#This Row],[Cantidad]]*gemini_code_1787702791259[[#This Row],[Precio_Unitario_USD]]</f>
        <v>400</v>
      </c>
      <c r="O27" s="12">
        <f>+gemini_code_1787702791259[[#This Row],[Cantidad]]*gemini_code_1787702791259[[#This Row],[Costo_Unitario_USD]]</f>
        <v>176</v>
      </c>
      <c r="P27" s="12">
        <f>+gemini_code_1787702791259[[#This Row],[venta total]]-gemini_code_1787702791259[[#This Row],[Costo total]]</f>
        <v>224</v>
      </c>
      <c r="Q27" s="2">
        <f>gemini_code_1787702791259[[#This Row],[Ganancia bruta]]/gemini_code_1787702791259[[#This Row],[venta total]]</f>
        <v>0.56000000000000005</v>
      </c>
      <c r="R27" t="str">
        <f>IF(gemini_code_1787702791259[[#This Row],[Dias_Entrega]]&lt;=gemini_code_1787702791259[[#This Row],[Promesa_SLA_Dias]],"A tiempo","Fuera de SLA")</f>
        <v>A tiempo</v>
      </c>
    </row>
    <row r="28" spans="1:18" x14ac:dyDescent="0.25">
      <c r="A28" t="s">
        <v>77</v>
      </c>
      <c r="B28" s="1">
        <v>46243</v>
      </c>
      <c r="C28" t="s">
        <v>26</v>
      </c>
      <c r="D28" t="s">
        <v>27</v>
      </c>
      <c r="E28" t="s">
        <v>16</v>
      </c>
      <c r="F28" t="s">
        <v>28</v>
      </c>
      <c r="G28" t="s">
        <v>78</v>
      </c>
      <c r="H28">
        <v>1</v>
      </c>
      <c r="I28" s="12">
        <v>750</v>
      </c>
      <c r="J28" s="12">
        <v>480</v>
      </c>
      <c r="K28">
        <v>8</v>
      </c>
      <c r="L28">
        <v>4</v>
      </c>
      <c r="M28">
        <v>700</v>
      </c>
      <c r="N28" s="12">
        <f>+gemini_code_1787702791259[[#This Row],[Cantidad]]*gemini_code_1787702791259[[#This Row],[Precio_Unitario_USD]]</f>
        <v>750</v>
      </c>
      <c r="O28" s="12">
        <f>+gemini_code_1787702791259[[#This Row],[Cantidad]]*gemini_code_1787702791259[[#This Row],[Costo_Unitario_USD]]</f>
        <v>480</v>
      </c>
      <c r="P28" s="12">
        <f>+gemini_code_1787702791259[[#This Row],[venta total]]-gemini_code_1787702791259[[#This Row],[Costo total]]</f>
        <v>270</v>
      </c>
      <c r="Q28" s="2">
        <f>gemini_code_1787702791259[[#This Row],[Ganancia bruta]]/gemini_code_1787702791259[[#This Row],[venta total]]</f>
        <v>0.36</v>
      </c>
      <c r="R28" t="str">
        <f>IF(gemini_code_1787702791259[[#This Row],[Dias_Entrega]]&lt;=gemini_code_1787702791259[[#This Row],[Promesa_SLA_Dias]],"A tiempo","Fuera de SLA")</f>
        <v>Fuera de SLA</v>
      </c>
    </row>
    <row r="29" spans="1:18" x14ac:dyDescent="0.25">
      <c r="A29" t="s">
        <v>79</v>
      </c>
      <c r="B29" s="1">
        <v>46244</v>
      </c>
      <c r="C29" t="s">
        <v>14</v>
      </c>
      <c r="D29" t="s">
        <v>15</v>
      </c>
      <c r="E29" t="s">
        <v>16</v>
      </c>
      <c r="F29" t="s">
        <v>31</v>
      </c>
      <c r="G29" t="s">
        <v>80</v>
      </c>
      <c r="H29">
        <v>4</v>
      </c>
      <c r="I29" s="12">
        <v>140</v>
      </c>
      <c r="J29" s="12">
        <v>75</v>
      </c>
      <c r="K29">
        <v>3</v>
      </c>
      <c r="L29">
        <v>3</v>
      </c>
      <c r="M29">
        <v>500</v>
      </c>
      <c r="N29" s="12">
        <f>+gemini_code_1787702791259[[#This Row],[Cantidad]]*gemini_code_1787702791259[[#This Row],[Precio_Unitario_USD]]</f>
        <v>560</v>
      </c>
      <c r="O29" s="12">
        <f>+gemini_code_1787702791259[[#This Row],[Cantidad]]*gemini_code_1787702791259[[#This Row],[Costo_Unitario_USD]]</f>
        <v>300</v>
      </c>
      <c r="P29" s="12">
        <f>+gemini_code_1787702791259[[#This Row],[venta total]]-gemini_code_1787702791259[[#This Row],[Costo total]]</f>
        <v>260</v>
      </c>
      <c r="Q29" s="2">
        <f>gemini_code_1787702791259[[#This Row],[Ganancia bruta]]/gemini_code_1787702791259[[#This Row],[venta total]]</f>
        <v>0.4642857142857143</v>
      </c>
      <c r="R29" t="str">
        <f>IF(gemini_code_1787702791259[[#This Row],[Dias_Entrega]]&lt;=gemini_code_1787702791259[[#This Row],[Promesa_SLA_Dias]],"A tiempo","Fuera de SLA")</f>
        <v>A tiempo</v>
      </c>
    </row>
    <row r="30" spans="1:18" x14ac:dyDescent="0.25">
      <c r="A30" t="s">
        <v>81</v>
      </c>
      <c r="B30" s="1">
        <v>46244</v>
      </c>
      <c r="C30" t="s">
        <v>20</v>
      </c>
      <c r="D30" t="s">
        <v>21</v>
      </c>
      <c r="E30" t="s">
        <v>22</v>
      </c>
      <c r="F30" t="s">
        <v>17</v>
      </c>
      <c r="G30" t="s">
        <v>82</v>
      </c>
      <c r="H30">
        <v>6</v>
      </c>
      <c r="I30" s="12">
        <v>90</v>
      </c>
      <c r="J30" s="12">
        <v>50</v>
      </c>
      <c r="K30">
        <v>1</v>
      </c>
      <c r="L30">
        <v>2</v>
      </c>
      <c r="M30">
        <v>500</v>
      </c>
      <c r="N30" s="12">
        <f>+gemini_code_1787702791259[[#This Row],[Cantidad]]*gemini_code_1787702791259[[#This Row],[Precio_Unitario_USD]]</f>
        <v>540</v>
      </c>
      <c r="O30" s="12">
        <f>+gemini_code_1787702791259[[#This Row],[Cantidad]]*gemini_code_1787702791259[[#This Row],[Costo_Unitario_USD]]</f>
        <v>300</v>
      </c>
      <c r="P30" s="12">
        <f>+gemini_code_1787702791259[[#This Row],[venta total]]-gemini_code_1787702791259[[#This Row],[Costo total]]</f>
        <v>240</v>
      </c>
      <c r="Q30" s="2">
        <f>gemini_code_1787702791259[[#This Row],[Ganancia bruta]]/gemini_code_1787702791259[[#This Row],[venta total]]</f>
        <v>0.44444444444444442</v>
      </c>
      <c r="R30" t="str">
        <f>IF(gemini_code_1787702791259[[#This Row],[Dias_Entrega]]&lt;=gemini_code_1787702791259[[#This Row],[Promesa_SLA_Dias]],"A tiempo","Fuera de SLA")</f>
        <v>A tiempo</v>
      </c>
    </row>
    <row r="31" spans="1:18" x14ac:dyDescent="0.25">
      <c r="A31" t="s">
        <v>83</v>
      </c>
      <c r="B31" s="1">
        <v>46244</v>
      </c>
      <c r="C31" t="s">
        <v>26</v>
      </c>
      <c r="D31" t="s">
        <v>27</v>
      </c>
      <c r="E31" t="s">
        <v>16</v>
      </c>
      <c r="F31" t="s">
        <v>23</v>
      </c>
      <c r="G31" t="s">
        <v>84</v>
      </c>
      <c r="H31">
        <v>6</v>
      </c>
      <c r="I31" s="12">
        <v>60</v>
      </c>
      <c r="J31" s="12">
        <v>28</v>
      </c>
      <c r="K31">
        <v>5</v>
      </c>
      <c r="L31">
        <v>3</v>
      </c>
      <c r="M31">
        <v>350</v>
      </c>
      <c r="N31" s="12">
        <f>+gemini_code_1787702791259[[#This Row],[Cantidad]]*gemini_code_1787702791259[[#This Row],[Precio_Unitario_USD]]</f>
        <v>360</v>
      </c>
      <c r="O31" s="12">
        <f>+gemini_code_1787702791259[[#This Row],[Cantidad]]*gemini_code_1787702791259[[#This Row],[Costo_Unitario_USD]]</f>
        <v>168</v>
      </c>
      <c r="P31" s="12">
        <f>+gemini_code_1787702791259[[#This Row],[venta total]]-gemini_code_1787702791259[[#This Row],[Costo total]]</f>
        <v>192</v>
      </c>
      <c r="Q31" s="2">
        <f>gemini_code_1787702791259[[#This Row],[Ganancia bruta]]/gemini_code_1787702791259[[#This Row],[venta total]]</f>
        <v>0.53333333333333333</v>
      </c>
      <c r="R31" t="str">
        <f>IF(gemini_code_1787702791259[[#This Row],[Dias_Entrega]]&lt;=gemini_code_1787702791259[[#This Row],[Promesa_SLA_Dias]],"A tiempo","Fuera de SLA")</f>
        <v>Fuera de SLA</v>
      </c>
    </row>
    <row r="32" spans="1:18" x14ac:dyDescent="0.25">
      <c r="A32" t="s">
        <v>13</v>
      </c>
      <c r="B32" s="1">
        <v>46235</v>
      </c>
      <c r="C32" t="s">
        <v>14</v>
      </c>
      <c r="D32" t="s">
        <v>15</v>
      </c>
      <c r="E32" t="s">
        <v>16</v>
      </c>
      <c r="F32" t="s">
        <v>17</v>
      </c>
      <c r="G32" t="s">
        <v>18</v>
      </c>
      <c r="H32">
        <v>2</v>
      </c>
      <c r="I32" s="12">
        <v>850</v>
      </c>
      <c r="J32" s="12">
        <v>600</v>
      </c>
      <c r="K32">
        <v>2</v>
      </c>
      <c r="L32">
        <v>3</v>
      </c>
      <c r="M32">
        <v>1500</v>
      </c>
      <c r="N32" s="12">
        <f>+gemini_code_1787702791259[[#This Row],[Cantidad]]*gemini_code_1787702791259[[#This Row],[Precio_Unitario_USD]]</f>
        <v>1700</v>
      </c>
      <c r="O32" s="12">
        <f>+gemini_code_1787702791259[[#This Row],[Cantidad]]*gemini_code_1787702791259[[#This Row],[Costo_Unitario_USD]]</f>
        <v>1200</v>
      </c>
      <c r="P32" s="12">
        <f>+gemini_code_1787702791259[[#This Row],[venta total]]-gemini_code_1787702791259[[#This Row],[Costo total]]</f>
        <v>500</v>
      </c>
      <c r="Q32" s="2">
        <f>gemini_code_1787702791259[[#This Row],[Ganancia bruta]]/gemini_code_1787702791259[[#This Row],[venta total]]</f>
        <v>0.29411764705882354</v>
      </c>
      <c r="R32" t="str">
        <f>IF(gemini_code_1787702791259[[#This Row],[Dias_Entrega]]&lt;=gemini_code_1787702791259[[#This Row],[Promesa_SLA_Dias]],"A tiempo","Fuera de SLA")</f>
        <v>A tiempo</v>
      </c>
    </row>
    <row r="33" spans="1:18" x14ac:dyDescent="0.25">
      <c r="A33" t="s">
        <v>19</v>
      </c>
      <c r="B33" s="1">
        <v>46235</v>
      </c>
      <c r="C33" t="s">
        <v>20</v>
      </c>
      <c r="D33" t="s">
        <v>21</v>
      </c>
      <c r="E33" t="s">
        <v>22</v>
      </c>
      <c r="F33" t="s">
        <v>23</v>
      </c>
      <c r="G33" t="s">
        <v>24</v>
      </c>
      <c r="H33">
        <v>5</v>
      </c>
      <c r="I33" s="12">
        <v>120</v>
      </c>
      <c r="J33" s="12">
        <v>70</v>
      </c>
      <c r="K33">
        <v>3</v>
      </c>
      <c r="L33">
        <v>3</v>
      </c>
      <c r="M33">
        <v>500</v>
      </c>
      <c r="N33" s="12">
        <f>+gemini_code_1787702791259[[#This Row],[Cantidad]]*gemini_code_1787702791259[[#This Row],[Precio_Unitario_USD]]</f>
        <v>600</v>
      </c>
      <c r="O33" s="12">
        <f>+gemini_code_1787702791259[[#This Row],[Cantidad]]*gemini_code_1787702791259[[#This Row],[Costo_Unitario_USD]]</f>
        <v>350</v>
      </c>
      <c r="P33" s="12">
        <f>+gemini_code_1787702791259[[#This Row],[venta total]]-gemini_code_1787702791259[[#This Row],[Costo total]]</f>
        <v>250</v>
      </c>
      <c r="Q33" s="2">
        <f>gemini_code_1787702791259[[#This Row],[Ganancia bruta]]/gemini_code_1787702791259[[#This Row],[venta total]]</f>
        <v>0.41666666666666669</v>
      </c>
      <c r="R33" t="str">
        <f>IF(gemini_code_1787702791259[[#This Row],[Dias_Entrega]]&lt;=gemini_code_1787702791259[[#This Row],[Promesa_SLA_Dias]],"A tiempo","Fuera de SLA")</f>
        <v>A tiempo</v>
      </c>
    </row>
    <row r="34" spans="1:18" x14ac:dyDescent="0.25">
      <c r="A34" t="s">
        <v>25</v>
      </c>
      <c r="B34" s="1">
        <v>46235</v>
      </c>
      <c r="C34" t="s">
        <v>26</v>
      </c>
      <c r="D34" t="s">
        <v>27</v>
      </c>
      <c r="E34" t="s">
        <v>16</v>
      </c>
      <c r="F34" t="s">
        <v>28</v>
      </c>
      <c r="G34" t="s">
        <v>29</v>
      </c>
      <c r="H34">
        <v>3</v>
      </c>
      <c r="I34" s="12">
        <v>90</v>
      </c>
      <c r="J34" s="12">
        <v>50</v>
      </c>
      <c r="K34">
        <v>6</v>
      </c>
      <c r="L34">
        <v>4</v>
      </c>
      <c r="M34">
        <v>300</v>
      </c>
      <c r="N34" s="12">
        <f>+gemini_code_1787702791259[[#This Row],[Cantidad]]*gemini_code_1787702791259[[#This Row],[Precio_Unitario_USD]]</f>
        <v>270</v>
      </c>
      <c r="O34" s="12">
        <f>+gemini_code_1787702791259[[#This Row],[Cantidad]]*gemini_code_1787702791259[[#This Row],[Costo_Unitario_USD]]</f>
        <v>150</v>
      </c>
      <c r="P34" s="12">
        <f>+gemini_code_1787702791259[[#This Row],[venta total]]-gemini_code_1787702791259[[#This Row],[Costo total]]</f>
        <v>120</v>
      </c>
      <c r="Q34" s="2">
        <f>gemini_code_1787702791259[[#This Row],[Ganancia bruta]]/gemini_code_1787702791259[[#This Row],[venta total]]</f>
        <v>0.44444444444444442</v>
      </c>
      <c r="R34" t="str">
        <f>IF(gemini_code_1787702791259[[#This Row],[Dias_Entrega]]&lt;=gemini_code_1787702791259[[#This Row],[Promesa_SLA_Dias]],"A tiempo","Fuera de SLA")</f>
        <v>Fuera de SLA</v>
      </c>
    </row>
    <row r="35" spans="1:18" x14ac:dyDescent="0.25">
      <c r="A35" t="s">
        <v>30</v>
      </c>
      <c r="B35" s="1">
        <v>46236</v>
      </c>
      <c r="C35" t="s">
        <v>14</v>
      </c>
      <c r="D35" t="s">
        <v>15</v>
      </c>
      <c r="E35" t="s">
        <v>22</v>
      </c>
      <c r="F35" t="s">
        <v>31</v>
      </c>
      <c r="G35" t="s">
        <v>32</v>
      </c>
      <c r="H35">
        <v>4</v>
      </c>
      <c r="I35" s="12">
        <v>110</v>
      </c>
      <c r="J35" s="12">
        <v>60</v>
      </c>
      <c r="K35">
        <v>1</v>
      </c>
      <c r="L35">
        <v>2</v>
      </c>
      <c r="M35">
        <v>400</v>
      </c>
      <c r="N35" s="12">
        <f>+gemini_code_1787702791259[[#This Row],[Cantidad]]*gemini_code_1787702791259[[#This Row],[Precio_Unitario_USD]]</f>
        <v>440</v>
      </c>
      <c r="O35" s="12">
        <f>+gemini_code_1787702791259[[#This Row],[Cantidad]]*gemini_code_1787702791259[[#This Row],[Costo_Unitario_USD]]</f>
        <v>240</v>
      </c>
      <c r="P35" s="12">
        <f>+gemini_code_1787702791259[[#This Row],[venta total]]-gemini_code_1787702791259[[#This Row],[Costo total]]</f>
        <v>200</v>
      </c>
      <c r="Q35" s="2">
        <f>gemini_code_1787702791259[[#This Row],[Ganancia bruta]]/gemini_code_1787702791259[[#This Row],[venta total]]</f>
        <v>0.45454545454545453</v>
      </c>
      <c r="R35" t="str">
        <f>IF(gemini_code_1787702791259[[#This Row],[Dias_Entrega]]&lt;=gemini_code_1787702791259[[#This Row],[Promesa_SLA_Dias]],"A tiempo","Fuera de SLA")</f>
        <v>A tiempo</v>
      </c>
    </row>
    <row r="36" spans="1:18" x14ac:dyDescent="0.25">
      <c r="A36" t="s">
        <v>33</v>
      </c>
      <c r="B36" s="1">
        <v>46236</v>
      </c>
      <c r="C36" t="s">
        <v>20</v>
      </c>
      <c r="D36" t="s">
        <v>21</v>
      </c>
      <c r="E36" t="s">
        <v>16</v>
      </c>
      <c r="F36" t="s">
        <v>17</v>
      </c>
      <c r="G36" t="s">
        <v>34</v>
      </c>
      <c r="H36">
        <v>3</v>
      </c>
      <c r="I36" s="12">
        <v>650</v>
      </c>
      <c r="J36" s="12">
        <v>450</v>
      </c>
      <c r="K36">
        <v>2</v>
      </c>
      <c r="L36">
        <v>3</v>
      </c>
      <c r="M36">
        <v>1800</v>
      </c>
      <c r="N36" s="12">
        <f>+gemini_code_1787702791259[[#This Row],[Cantidad]]*gemini_code_1787702791259[[#This Row],[Precio_Unitario_USD]]</f>
        <v>1950</v>
      </c>
      <c r="O36" s="12">
        <f>+gemini_code_1787702791259[[#This Row],[Cantidad]]*gemini_code_1787702791259[[#This Row],[Costo_Unitario_USD]]</f>
        <v>1350</v>
      </c>
      <c r="P36" s="12">
        <f>+gemini_code_1787702791259[[#This Row],[venta total]]-gemini_code_1787702791259[[#This Row],[Costo total]]</f>
        <v>600</v>
      </c>
      <c r="Q36" s="2">
        <f>gemini_code_1787702791259[[#This Row],[Ganancia bruta]]/gemini_code_1787702791259[[#This Row],[venta total]]</f>
        <v>0.30769230769230771</v>
      </c>
      <c r="R36" t="str">
        <f>IF(gemini_code_1787702791259[[#This Row],[Dias_Entrega]]&lt;=gemini_code_1787702791259[[#This Row],[Promesa_SLA_Dias]],"A tiempo","Fuera de SLA")</f>
        <v>A tiempo</v>
      </c>
    </row>
    <row r="37" spans="1:18" x14ac:dyDescent="0.25">
      <c r="A37" t="s">
        <v>35</v>
      </c>
      <c r="B37" s="1">
        <v>46236</v>
      </c>
      <c r="C37" t="s">
        <v>26</v>
      </c>
      <c r="D37" t="s">
        <v>27</v>
      </c>
      <c r="E37" t="s">
        <v>16</v>
      </c>
      <c r="F37" t="s">
        <v>23</v>
      </c>
      <c r="G37" t="s">
        <v>36</v>
      </c>
      <c r="H37">
        <v>8</v>
      </c>
      <c r="I37" s="12">
        <v>45</v>
      </c>
      <c r="J37" s="12">
        <v>20</v>
      </c>
      <c r="K37">
        <v>5</v>
      </c>
      <c r="L37">
        <v>3</v>
      </c>
      <c r="M37">
        <v>400</v>
      </c>
      <c r="N37" s="12">
        <f>+gemini_code_1787702791259[[#This Row],[Cantidad]]*gemini_code_1787702791259[[#This Row],[Precio_Unitario_USD]]</f>
        <v>360</v>
      </c>
      <c r="O37" s="12">
        <f>+gemini_code_1787702791259[[#This Row],[Cantidad]]*gemini_code_1787702791259[[#This Row],[Costo_Unitario_USD]]</f>
        <v>160</v>
      </c>
      <c r="P37" s="12">
        <f>+gemini_code_1787702791259[[#This Row],[venta total]]-gemini_code_1787702791259[[#This Row],[Costo total]]</f>
        <v>200</v>
      </c>
      <c r="Q37" s="2">
        <f>gemini_code_1787702791259[[#This Row],[Ganancia bruta]]/gemini_code_1787702791259[[#This Row],[venta total]]</f>
        <v>0.55555555555555558</v>
      </c>
      <c r="R37" t="str">
        <f>IF(gemini_code_1787702791259[[#This Row],[Dias_Entrega]]&lt;=gemini_code_1787702791259[[#This Row],[Promesa_SLA_Dias]],"A tiempo","Fuera de SLA")</f>
        <v>Fuera de SLA</v>
      </c>
    </row>
    <row r="38" spans="1:18" x14ac:dyDescent="0.25">
      <c r="A38" t="s">
        <v>37</v>
      </c>
      <c r="B38" s="1">
        <v>46237</v>
      </c>
      <c r="C38" t="s">
        <v>14</v>
      </c>
      <c r="D38" t="s">
        <v>15</v>
      </c>
      <c r="E38" t="s">
        <v>16</v>
      </c>
      <c r="F38" t="s">
        <v>28</v>
      </c>
      <c r="G38" t="s">
        <v>38</v>
      </c>
      <c r="H38">
        <v>2</v>
      </c>
      <c r="I38" s="12">
        <v>280</v>
      </c>
      <c r="J38" s="12">
        <v>180</v>
      </c>
      <c r="K38">
        <v>3</v>
      </c>
      <c r="L38">
        <v>3</v>
      </c>
      <c r="M38">
        <v>500</v>
      </c>
      <c r="N38" s="12">
        <f>+gemini_code_1787702791259[[#This Row],[Cantidad]]*gemini_code_1787702791259[[#This Row],[Precio_Unitario_USD]]</f>
        <v>560</v>
      </c>
      <c r="O38" s="12">
        <f>+gemini_code_1787702791259[[#This Row],[Cantidad]]*gemini_code_1787702791259[[#This Row],[Costo_Unitario_USD]]</f>
        <v>360</v>
      </c>
      <c r="P38" s="12">
        <f>+gemini_code_1787702791259[[#This Row],[venta total]]-gemini_code_1787702791259[[#This Row],[Costo total]]</f>
        <v>200</v>
      </c>
      <c r="Q38" s="2">
        <f>gemini_code_1787702791259[[#This Row],[Ganancia bruta]]/gemini_code_1787702791259[[#This Row],[venta total]]</f>
        <v>0.35714285714285715</v>
      </c>
      <c r="R38" t="str">
        <f>IF(gemini_code_1787702791259[[#This Row],[Dias_Entrega]]&lt;=gemini_code_1787702791259[[#This Row],[Promesa_SLA_Dias]],"A tiempo","Fuera de SLA")</f>
        <v>A tiempo</v>
      </c>
    </row>
    <row r="39" spans="1:18" x14ac:dyDescent="0.25">
      <c r="A39" t="s">
        <v>39</v>
      </c>
      <c r="B39" s="1">
        <v>46237</v>
      </c>
      <c r="C39" t="s">
        <v>20</v>
      </c>
      <c r="D39" t="s">
        <v>21</v>
      </c>
      <c r="E39" t="s">
        <v>22</v>
      </c>
      <c r="F39" t="s">
        <v>31</v>
      </c>
      <c r="G39" t="s">
        <v>40</v>
      </c>
      <c r="H39">
        <v>3</v>
      </c>
      <c r="I39" s="12">
        <v>150</v>
      </c>
      <c r="J39" s="12">
        <v>85</v>
      </c>
      <c r="K39">
        <v>2</v>
      </c>
      <c r="L39">
        <v>2</v>
      </c>
      <c r="M39">
        <v>400</v>
      </c>
      <c r="N39" s="12">
        <f>+gemini_code_1787702791259[[#This Row],[Cantidad]]*gemini_code_1787702791259[[#This Row],[Precio_Unitario_USD]]</f>
        <v>450</v>
      </c>
      <c r="O39" s="12">
        <f>+gemini_code_1787702791259[[#This Row],[Cantidad]]*gemini_code_1787702791259[[#This Row],[Costo_Unitario_USD]]</f>
        <v>255</v>
      </c>
      <c r="P39" s="12">
        <f>+gemini_code_1787702791259[[#This Row],[venta total]]-gemini_code_1787702791259[[#This Row],[Costo total]]</f>
        <v>195</v>
      </c>
      <c r="Q39" s="2">
        <f>gemini_code_1787702791259[[#This Row],[Ganancia bruta]]/gemini_code_1787702791259[[#This Row],[venta total]]</f>
        <v>0.43333333333333335</v>
      </c>
      <c r="R39" t="str">
        <f>IF(gemini_code_1787702791259[[#This Row],[Dias_Entrega]]&lt;=gemini_code_1787702791259[[#This Row],[Promesa_SLA_Dias]],"A tiempo","Fuera de SLA")</f>
        <v>A tiempo</v>
      </c>
    </row>
    <row r="40" spans="1:18" x14ac:dyDescent="0.25">
      <c r="A40" t="s">
        <v>41</v>
      </c>
      <c r="B40" s="1">
        <v>46237</v>
      </c>
      <c r="C40" t="s">
        <v>26</v>
      </c>
      <c r="D40" t="s">
        <v>27</v>
      </c>
      <c r="E40" t="s">
        <v>16</v>
      </c>
      <c r="F40" t="s">
        <v>17</v>
      </c>
      <c r="G40" t="s">
        <v>42</v>
      </c>
      <c r="H40">
        <v>2</v>
      </c>
      <c r="I40" s="12">
        <v>520</v>
      </c>
      <c r="J40" s="12">
        <v>380</v>
      </c>
      <c r="K40">
        <v>7</v>
      </c>
      <c r="L40">
        <v>4</v>
      </c>
      <c r="M40">
        <v>1000</v>
      </c>
      <c r="N40" s="12">
        <f>+gemini_code_1787702791259[[#This Row],[Cantidad]]*gemini_code_1787702791259[[#This Row],[Precio_Unitario_USD]]</f>
        <v>1040</v>
      </c>
      <c r="O40" s="12">
        <f>+gemini_code_1787702791259[[#This Row],[Cantidad]]*gemini_code_1787702791259[[#This Row],[Costo_Unitario_USD]]</f>
        <v>760</v>
      </c>
      <c r="P40" s="12">
        <f>+gemini_code_1787702791259[[#This Row],[venta total]]-gemini_code_1787702791259[[#This Row],[Costo total]]</f>
        <v>280</v>
      </c>
      <c r="Q40" s="2">
        <f>gemini_code_1787702791259[[#This Row],[Ganancia bruta]]/gemini_code_1787702791259[[#This Row],[venta total]]</f>
        <v>0.26923076923076922</v>
      </c>
      <c r="R40" t="str">
        <f>IF(gemini_code_1787702791259[[#This Row],[Dias_Entrega]]&lt;=gemini_code_1787702791259[[#This Row],[Promesa_SLA_Dias]],"A tiempo","Fuera de SLA")</f>
        <v>Fuera de SLA</v>
      </c>
    </row>
    <row r="41" spans="1:18" x14ac:dyDescent="0.25">
      <c r="A41" t="s">
        <v>43</v>
      </c>
      <c r="B41" s="1">
        <v>46238</v>
      </c>
      <c r="C41" t="s">
        <v>14</v>
      </c>
      <c r="D41" t="s">
        <v>15</v>
      </c>
      <c r="E41" t="s">
        <v>22</v>
      </c>
      <c r="F41" t="s">
        <v>23</v>
      </c>
      <c r="G41" t="s">
        <v>44</v>
      </c>
      <c r="H41">
        <v>6</v>
      </c>
      <c r="I41" s="12">
        <v>55</v>
      </c>
      <c r="J41" s="12">
        <v>25</v>
      </c>
      <c r="K41">
        <v>2</v>
      </c>
      <c r="L41">
        <v>3</v>
      </c>
      <c r="M41">
        <v>300</v>
      </c>
      <c r="N41" s="12">
        <f>+gemini_code_1787702791259[[#This Row],[Cantidad]]*gemini_code_1787702791259[[#This Row],[Precio_Unitario_USD]]</f>
        <v>330</v>
      </c>
      <c r="O41" s="12">
        <f>+gemini_code_1787702791259[[#This Row],[Cantidad]]*gemini_code_1787702791259[[#This Row],[Costo_Unitario_USD]]</f>
        <v>150</v>
      </c>
      <c r="P41" s="12">
        <f>+gemini_code_1787702791259[[#This Row],[venta total]]-gemini_code_1787702791259[[#This Row],[Costo total]]</f>
        <v>180</v>
      </c>
      <c r="Q41" s="2">
        <f>gemini_code_1787702791259[[#This Row],[Ganancia bruta]]/gemini_code_1787702791259[[#This Row],[venta total]]</f>
        <v>0.54545454545454541</v>
      </c>
      <c r="R41" t="str">
        <f>IF(gemini_code_1787702791259[[#This Row],[Dias_Entrega]]&lt;=gemini_code_1787702791259[[#This Row],[Promesa_SLA_Dias]],"A tiempo","Fuera de SLA")</f>
        <v>A tiempo</v>
      </c>
    </row>
    <row r="42" spans="1:18" x14ac:dyDescent="0.25">
      <c r="A42" t="s">
        <v>45</v>
      </c>
      <c r="B42" s="1">
        <v>46238</v>
      </c>
      <c r="C42" t="s">
        <v>20</v>
      </c>
      <c r="D42" t="s">
        <v>21</v>
      </c>
      <c r="E42" t="s">
        <v>16</v>
      </c>
      <c r="F42" t="s">
        <v>28</v>
      </c>
      <c r="G42" t="s">
        <v>46</v>
      </c>
      <c r="H42">
        <v>1</v>
      </c>
      <c r="I42" s="12">
        <v>450</v>
      </c>
      <c r="J42" s="12">
        <v>290</v>
      </c>
      <c r="K42">
        <v>4</v>
      </c>
      <c r="L42">
        <v>3</v>
      </c>
      <c r="M42">
        <v>400</v>
      </c>
      <c r="N42" s="12">
        <f>+gemini_code_1787702791259[[#This Row],[Cantidad]]*gemini_code_1787702791259[[#This Row],[Precio_Unitario_USD]]</f>
        <v>450</v>
      </c>
      <c r="O42" s="12">
        <f>+gemini_code_1787702791259[[#This Row],[Cantidad]]*gemini_code_1787702791259[[#This Row],[Costo_Unitario_USD]]</f>
        <v>290</v>
      </c>
      <c r="P42" s="12">
        <f>+gemini_code_1787702791259[[#This Row],[venta total]]-gemini_code_1787702791259[[#This Row],[Costo total]]</f>
        <v>160</v>
      </c>
      <c r="Q42" s="2">
        <f>gemini_code_1787702791259[[#This Row],[Ganancia bruta]]/gemini_code_1787702791259[[#This Row],[venta total]]</f>
        <v>0.35555555555555557</v>
      </c>
      <c r="R42" t="str">
        <f>IF(gemini_code_1787702791259[[#This Row],[Dias_Entrega]]&lt;=gemini_code_1787702791259[[#This Row],[Promesa_SLA_Dias]],"A tiempo","Fuera de SLA")</f>
        <v>Fuera de SLA</v>
      </c>
    </row>
    <row r="43" spans="1:18" x14ac:dyDescent="0.25">
      <c r="A43" t="s">
        <v>47</v>
      </c>
      <c r="B43" s="1">
        <v>46238</v>
      </c>
      <c r="C43" t="s">
        <v>26</v>
      </c>
      <c r="D43" t="s">
        <v>27</v>
      </c>
      <c r="E43" t="s">
        <v>22</v>
      </c>
      <c r="F43" t="s">
        <v>31</v>
      </c>
      <c r="G43" t="s">
        <v>48</v>
      </c>
      <c r="H43">
        <v>10</v>
      </c>
      <c r="I43" s="12">
        <v>35</v>
      </c>
      <c r="J43" s="12">
        <v>15</v>
      </c>
      <c r="K43">
        <v>4</v>
      </c>
      <c r="L43">
        <v>3</v>
      </c>
      <c r="M43">
        <v>300</v>
      </c>
      <c r="N43" s="12">
        <f>+gemini_code_1787702791259[[#This Row],[Cantidad]]*gemini_code_1787702791259[[#This Row],[Precio_Unitario_USD]]</f>
        <v>350</v>
      </c>
      <c r="O43" s="12">
        <f>+gemini_code_1787702791259[[#This Row],[Cantidad]]*gemini_code_1787702791259[[#This Row],[Costo_Unitario_USD]]</f>
        <v>150</v>
      </c>
      <c r="P43" s="12">
        <f>+gemini_code_1787702791259[[#This Row],[venta total]]-gemini_code_1787702791259[[#This Row],[Costo total]]</f>
        <v>200</v>
      </c>
      <c r="Q43" s="2">
        <f>gemini_code_1787702791259[[#This Row],[Ganancia bruta]]/gemini_code_1787702791259[[#This Row],[venta total]]</f>
        <v>0.5714285714285714</v>
      </c>
      <c r="R43" t="str">
        <f>IF(gemini_code_1787702791259[[#This Row],[Dias_Entrega]]&lt;=gemini_code_1787702791259[[#This Row],[Promesa_SLA_Dias]],"A tiempo","Fuera de SLA")</f>
        <v>Fuera de SLA</v>
      </c>
    </row>
    <row r="44" spans="1:18" x14ac:dyDescent="0.25">
      <c r="A44" t="s">
        <v>49</v>
      </c>
      <c r="B44" s="1">
        <v>46239</v>
      </c>
      <c r="C44" t="s">
        <v>14</v>
      </c>
      <c r="D44" t="s">
        <v>15</v>
      </c>
      <c r="E44" t="s">
        <v>16</v>
      </c>
      <c r="F44" t="s">
        <v>17</v>
      </c>
      <c r="G44" t="s">
        <v>50</v>
      </c>
      <c r="H44">
        <v>4</v>
      </c>
      <c r="I44" s="12">
        <v>220</v>
      </c>
      <c r="J44" s="12">
        <v>140</v>
      </c>
      <c r="K44">
        <v>2</v>
      </c>
      <c r="L44">
        <v>3</v>
      </c>
      <c r="M44">
        <v>800</v>
      </c>
      <c r="N44" s="12">
        <f>+gemini_code_1787702791259[[#This Row],[Cantidad]]*gemini_code_1787702791259[[#This Row],[Precio_Unitario_USD]]</f>
        <v>880</v>
      </c>
      <c r="O44" s="12">
        <f>+gemini_code_1787702791259[[#This Row],[Cantidad]]*gemini_code_1787702791259[[#This Row],[Costo_Unitario_USD]]</f>
        <v>560</v>
      </c>
      <c r="P44" s="12">
        <f>+gemini_code_1787702791259[[#This Row],[venta total]]-gemini_code_1787702791259[[#This Row],[Costo total]]</f>
        <v>320</v>
      </c>
      <c r="Q44" s="2">
        <f>gemini_code_1787702791259[[#This Row],[Ganancia bruta]]/gemini_code_1787702791259[[#This Row],[venta total]]</f>
        <v>0.36363636363636365</v>
      </c>
      <c r="R44" t="str">
        <f>IF(gemini_code_1787702791259[[#This Row],[Dias_Entrega]]&lt;=gemini_code_1787702791259[[#This Row],[Promesa_SLA_Dias]],"A tiempo","Fuera de SLA")</f>
        <v>A tiempo</v>
      </c>
    </row>
    <row r="45" spans="1:18" x14ac:dyDescent="0.25">
      <c r="A45" t="s">
        <v>51</v>
      </c>
      <c r="B45" s="1">
        <v>46239</v>
      </c>
      <c r="C45" t="s">
        <v>20</v>
      </c>
      <c r="D45" t="s">
        <v>21</v>
      </c>
      <c r="E45" t="s">
        <v>16</v>
      </c>
      <c r="F45" t="s">
        <v>23</v>
      </c>
      <c r="G45" t="s">
        <v>52</v>
      </c>
      <c r="H45">
        <v>5</v>
      </c>
      <c r="I45" s="12">
        <v>65</v>
      </c>
      <c r="J45" s="12">
        <v>30</v>
      </c>
      <c r="K45">
        <v>2</v>
      </c>
      <c r="L45">
        <v>3</v>
      </c>
      <c r="M45">
        <v>300</v>
      </c>
      <c r="N45" s="12">
        <f>+gemini_code_1787702791259[[#This Row],[Cantidad]]*gemini_code_1787702791259[[#This Row],[Precio_Unitario_USD]]</f>
        <v>325</v>
      </c>
      <c r="O45" s="12">
        <f>+gemini_code_1787702791259[[#This Row],[Cantidad]]*gemini_code_1787702791259[[#This Row],[Costo_Unitario_USD]]</f>
        <v>150</v>
      </c>
      <c r="P45" s="12">
        <f>+gemini_code_1787702791259[[#This Row],[venta total]]-gemini_code_1787702791259[[#This Row],[Costo total]]</f>
        <v>175</v>
      </c>
      <c r="Q45" s="2">
        <f>gemini_code_1787702791259[[#This Row],[Ganancia bruta]]/gemini_code_1787702791259[[#This Row],[venta total]]</f>
        <v>0.53846153846153844</v>
      </c>
      <c r="R45" t="str">
        <f>IF(gemini_code_1787702791259[[#This Row],[Dias_Entrega]]&lt;=gemini_code_1787702791259[[#This Row],[Promesa_SLA_Dias]],"A tiempo","Fuera de SLA")</f>
        <v>A tiempo</v>
      </c>
    </row>
    <row r="46" spans="1:18" x14ac:dyDescent="0.25">
      <c r="A46" t="s">
        <v>53</v>
      </c>
      <c r="B46" s="1">
        <v>46239</v>
      </c>
      <c r="C46" t="s">
        <v>26</v>
      </c>
      <c r="D46" t="s">
        <v>27</v>
      </c>
      <c r="E46" t="s">
        <v>16</v>
      </c>
      <c r="F46" t="s">
        <v>28</v>
      </c>
      <c r="G46" t="s">
        <v>54</v>
      </c>
      <c r="H46">
        <v>2</v>
      </c>
      <c r="I46" s="12">
        <v>180</v>
      </c>
      <c r="J46" s="12">
        <v>110</v>
      </c>
      <c r="K46">
        <v>6</v>
      </c>
      <c r="L46">
        <v>3</v>
      </c>
      <c r="M46">
        <v>350</v>
      </c>
      <c r="N46" s="12">
        <f>+gemini_code_1787702791259[[#This Row],[Cantidad]]*gemini_code_1787702791259[[#This Row],[Precio_Unitario_USD]]</f>
        <v>360</v>
      </c>
      <c r="O46" s="12">
        <f>+gemini_code_1787702791259[[#This Row],[Cantidad]]*gemini_code_1787702791259[[#This Row],[Costo_Unitario_USD]]</f>
        <v>220</v>
      </c>
      <c r="P46" s="12">
        <f>+gemini_code_1787702791259[[#This Row],[venta total]]-gemini_code_1787702791259[[#This Row],[Costo total]]</f>
        <v>140</v>
      </c>
      <c r="Q46" s="2">
        <f>gemini_code_1787702791259[[#This Row],[Ganancia bruta]]/gemini_code_1787702791259[[#This Row],[venta total]]</f>
        <v>0.3888888888888889</v>
      </c>
      <c r="R46" t="str">
        <f>IF(gemini_code_1787702791259[[#This Row],[Dias_Entrega]]&lt;=gemini_code_1787702791259[[#This Row],[Promesa_SLA_Dias]],"A tiempo","Fuera de SLA")</f>
        <v>Fuera de SLA</v>
      </c>
    </row>
    <row r="47" spans="1:18" x14ac:dyDescent="0.25">
      <c r="A47" t="s">
        <v>55</v>
      </c>
      <c r="B47" s="1">
        <v>46240</v>
      </c>
      <c r="C47" t="s">
        <v>14</v>
      </c>
      <c r="D47" t="s">
        <v>15</v>
      </c>
      <c r="E47" t="s">
        <v>22</v>
      </c>
      <c r="F47" t="s">
        <v>31</v>
      </c>
      <c r="G47" t="s">
        <v>56</v>
      </c>
      <c r="H47">
        <v>6</v>
      </c>
      <c r="I47" s="12">
        <v>85</v>
      </c>
      <c r="J47" s="12">
        <v>45</v>
      </c>
      <c r="K47">
        <v>1</v>
      </c>
      <c r="L47">
        <v>2</v>
      </c>
      <c r="M47">
        <v>500</v>
      </c>
      <c r="N47" s="12">
        <f>+gemini_code_1787702791259[[#This Row],[Cantidad]]*gemini_code_1787702791259[[#This Row],[Precio_Unitario_USD]]</f>
        <v>510</v>
      </c>
      <c r="O47" s="12">
        <f>+gemini_code_1787702791259[[#This Row],[Cantidad]]*gemini_code_1787702791259[[#This Row],[Costo_Unitario_USD]]</f>
        <v>270</v>
      </c>
      <c r="P47" s="12">
        <f>+gemini_code_1787702791259[[#This Row],[venta total]]-gemini_code_1787702791259[[#This Row],[Costo total]]</f>
        <v>240</v>
      </c>
      <c r="Q47" s="2">
        <f>gemini_code_1787702791259[[#This Row],[Ganancia bruta]]/gemini_code_1787702791259[[#This Row],[venta total]]</f>
        <v>0.47058823529411764</v>
      </c>
      <c r="R47" t="str">
        <f>IF(gemini_code_1787702791259[[#This Row],[Dias_Entrega]]&lt;=gemini_code_1787702791259[[#This Row],[Promesa_SLA_Dias]],"A tiempo","Fuera de SLA")</f>
        <v>A tiempo</v>
      </c>
    </row>
    <row r="48" spans="1:18" x14ac:dyDescent="0.25">
      <c r="A48" t="s">
        <v>57</v>
      </c>
      <c r="B48" s="1">
        <v>46240</v>
      </c>
      <c r="C48" t="s">
        <v>20</v>
      </c>
      <c r="D48" t="s">
        <v>21</v>
      </c>
      <c r="E48" t="s">
        <v>16</v>
      </c>
      <c r="F48" t="s">
        <v>17</v>
      </c>
      <c r="G48" t="s">
        <v>58</v>
      </c>
      <c r="H48">
        <v>12</v>
      </c>
      <c r="I48" s="12">
        <v>75</v>
      </c>
      <c r="J48" s="12">
        <v>35</v>
      </c>
      <c r="K48">
        <v>1</v>
      </c>
      <c r="L48">
        <v>2</v>
      </c>
      <c r="M48">
        <v>800</v>
      </c>
      <c r="N48" s="12">
        <f>+gemini_code_1787702791259[[#This Row],[Cantidad]]*gemini_code_1787702791259[[#This Row],[Precio_Unitario_USD]]</f>
        <v>900</v>
      </c>
      <c r="O48" s="12">
        <f>+gemini_code_1787702791259[[#This Row],[Cantidad]]*gemini_code_1787702791259[[#This Row],[Costo_Unitario_USD]]</f>
        <v>420</v>
      </c>
      <c r="P48" s="12">
        <f>+gemini_code_1787702791259[[#This Row],[venta total]]-gemini_code_1787702791259[[#This Row],[Costo total]]</f>
        <v>480</v>
      </c>
      <c r="Q48" s="2">
        <f>gemini_code_1787702791259[[#This Row],[Ganancia bruta]]/gemini_code_1787702791259[[#This Row],[venta total]]</f>
        <v>0.53333333333333333</v>
      </c>
      <c r="R48" t="str">
        <f>IF(gemini_code_1787702791259[[#This Row],[Dias_Entrega]]&lt;=gemini_code_1787702791259[[#This Row],[Promesa_SLA_Dias]],"A tiempo","Fuera de SLA")</f>
        <v>A tiempo</v>
      </c>
    </row>
    <row r="49" spans="1:18" x14ac:dyDescent="0.25">
      <c r="A49" t="s">
        <v>59</v>
      </c>
      <c r="B49" s="1">
        <v>46240</v>
      </c>
      <c r="C49" t="s">
        <v>26</v>
      </c>
      <c r="D49" t="s">
        <v>27</v>
      </c>
      <c r="E49" t="s">
        <v>22</v>
      </c>
      <c r="F49" t="s">
        <v>23</v>
      </c>
      <c r="G49" t="s">
        <v>60</v>
      </c>
      <c r="H49">
        <v>4</v>
      </c>
      <c r="I49" s="12">
        <v>110</v>
      </c>
      <c r="J49" s="12">
        <v>55</v>
      </c>
      <c r="K49">
        <v>5</v>
      </c>
      <c r="L49">
        <v>3</v>
      </c>
      <c r="M49">
        <v>400</v>
      </c>
      <c r="N49" s="12">
        <f>+gemini_code_1787702791259[[#This Row],[Cantidad]]*gemini_code_1787702791259[[#This Row],[Precio_Unitario_USD]]</f>
        <v>440</v>
      </c>
      <c r="O49" s="12">
        <f>+gemini_code_1787702791259[[#This Row],[Cantidad]]*gemini_code_1787702791259[[#This Row],[Costo_Unitario_USD]]</f>
        <v>220</v>
      </c>
      <c r="P49" s="12">
        <f>+gemini_code_1787702791259[[#This Row],[venta total]]-gemini_code_1787702791259[[#This Row],[Costo total]]</f>
        <v>220</v>
      </c>
      <c r="Q49" s="2">
        <f>gemini_code_1787702791259[[#This Row],[Ganancia bruta]]/gemini_code_1787702791259[[#This Row],[venta total]]</f>
        <v>0.5</v>
      </c>
      <c r="R49" t="str">
        <f>IF(gemini_code_1787702791259[[#This Row],[Dias_Entrega]]&lt;=gemini_code_1787702791259[[#This Row],[Promesa_SLA_Dias]],"A tiempo","Fuera de SLA")</f>
        <v>Fuera de SLA</v>
      </c>
    </row>
    <row r="50" spans="1:18" x14ac:dyDescent="0.25">
      <c r="A50" t="s">
        <v>61</v>
      </c>
      <c r="B50" s="1">
        <v>46241</v>
      </c>
      <c r="C50" t="s">
        <v>14</v>
      </c>
      <c r="D50" t="s">
        <v>15</v>
      </c>
      <c r="E50" t="s">
        <v>16</v>
      </c>
      <c r="F50" t="s">
        <v>28</v>
      </c>
      <c r="G50" t="s">
        <v>62</v>
      </c>
      <c r="H50">
        <v>15</v>
      </c>
      <c r="I50" s="12">
        <v>25</v>
      </c>
      <c r="J50" s="12">
        <v>10</v>
      </c>
      <c r="K50">
        <v>2</v>
      </c>
      <c r="L50">
        <v>3</v>
      </c>
      <c r="M50">
        <v>300</v>
      </c>
      <c r="N50" s="12">
        <f>+gemini_code_1787702791259[[#This Row],[Cantidad]]*gemini_code_1787702791259[[#This Row],[Precio_Unitario_USD]]</f>
        <v>375</v>
      </c>
      <c r="O50" s="12">
        <f>+gemini_code_1787702791259[[#This Row],[Cantidad]]*gemini_code_1787702791259[[#This Row],[Costo_Unitario_USD]]</f>
        <v>150</v>
      </c>
      <c r="P50" s="12">
        <f>+gemini_code_1787702791259[[#This Row],[venta total]]-gemini_code_1787702791259[[#This Row],[Costo total]]</f>
        <v>225</v>
      </c>
      <c r="Q50" s="2">
        <f>gemini_code_1787702791259[[#This Row],[Ganancia bruta]]/gemini_code_1787702791259[[#This Row],[venta total]]</f>
        <v>0.6</v>
      </c>
      <c r="R50" t="str">
        <f>IF(gemini_code_1787702791259[[#This Row],[Dias_Entrega]]&lt;=gemini_code_1787702791259[[#This Row],[Promesa_SLA_Dias]],"A tiempo","Fuera de SLA")</f>
        <v>A tiempo</v>
      </c>
    </row>
    <row r="51" spans="1:18" x14ac:dyDescent="0.25">
      <c r="A51" t="s">
        <v>63</v>
      </c>
      <c r="B51" s="1">
        <v>46241</v>
      </c>
      <c r="C51" t="s">
        <v>20</v>
      </c>
      <c r="D51" t="s">
        <v>21</v>
      </c>
      <c r="E51" t="s">
        <v>22</v>
      </c>
      <c r="F51" t="s">
        <v>31</v>
      </c>
      <c r="G51" t="s">
        <v>64</v>
      </c>
      <c r="H51">
        <v>5</v>
      </c>
      <c r="I51" s="12">
        <v>130</v>
      </c>
      <c r="J51" s="12">
        <v>70</v>
      </c>
      <c r="K51">
        <v>3</v>
      </c>
      <c r="L51">
        <v>3</v>
      </c>
      <c r="M51">
        <v>600</v>
      </c>
      <c r="N51" s="12">
        <f>+gemini_code_1787702791259[[#This Row],[Cantidad]]*gemini_code_1787702791259[[#This Row],[Precio_Unitario_USD]]</f>
        <v>650</v>
      </c>
      <c r="O51" s="12">
        <f>+gemini_code_1787702791259[[#This Row],[Cantidad]]*gemini_code_1787702791259[[#This Row],[Costo_Unitario_USD]]</f>
        <v>350</v>
      </c>
      <c r="P51" s="12">
        <f>+gemini_code_1787702791259[[#This Row],[venta total]]-gemini_code_1787702791259[[#This Row],[Costo total]]</f>
        <v>300</v>
      </c>
      <c r="Q51" s="2">
        <f>gemini_code_1787702791259[[#This Row],[Ganancia bruta]]/gemini_code_1787702791259[[#This Row],[venta total]]</f>
        <v>0.46153846153846156</v>
      </c>
      <c r="R51" t="str">
        <f>IF(gemini_code_1787702791259[[#This Row],[Dias_Entrega]]&lt;=gemini_code_1787702791259[[#This Row],[Promesa_SLA_Dias]],"A tiempo","Fuera de SLA")</f>
        <v>A tiempo</v>
      </c>
    </row>
    <row r="52" spans="1:18" x14ac:dyDescent="0.25">
      <c r="A52" t="s">
        <v>65</v>
      </c>
      <c r="B52" s="1">
        <v>46241</v>
      </c>
      <c r="C52" t="s">
        <v>26</v>
      </c>
      <c r="D52" t="s">
        <v>27</v>
      </c>
      <c r="E52" t="s">
        <v>16</v>
      </c>
      <c r="F52" t="s">
        <v>17</v>
      </c>
      <c r="G52" t="s">
        <v>66</v>
      </c>
      <c r="H52">
        <v>2</v>
      </c>
      <c r="I52" s="12">
        <v>500</v>
      </c>
      <c r="J52" s="12">
        <v>380</v>
      </c>
      <c r="K52">
        <v>6</v>
      </c>
      <c r="L52">
        <v>4</v>
      </c>
      <c r="M52">
        <v>900</v>
      </c>
      <c r="N52" s="12">
        <f>+gemini_code_1787702791259[[#This Row],[Cantidad]]*gemini_code_1787702791259[[#This Row],[Precio_Unitario_USD]]</f>
        <v>1000</v>
      </c>
      <c r="O52" s="12">
        <f>+gemini_code_1787702791259[[#This Row],[Cantidad]]*gemini_code_1787702791259[[#This Row],[Costo_Unitario_USD]]</f>
        <v>760</v>
      </c>
      <c r="P52" s="12">
        <f>+gemini_code_1787702791259[[#This Row],[venta total]]-gemini_code_1787702791259[[#This Row],[Costo total]]</f>
        <v>240</v>
      </c>
      <c r="Q52" s="2">
        <f>gemini_code_1787702791259[[#This Row],[Ganancia bruta]]/gemini_code_1787702791259[[#This Row],[venta total]]</f>
        <v>0.24</v>
      </c>
      <c r="R52" t="str">
        <f>IF(gemini_code_1787702791259[[#This Row],[Dias_Entrega]]&lt;=gemini_code_1787702791259[[#This Row],[Promesa_SLA_Dias]],"A tiempo","Fuera de SLA")</f>
        <v>Fuera de SLA</v>
      </c>
    </row>
    <row r="53" spans="1:18" x14ac:dyDescent="0.25">
      <c r="A53" t="s">
        <v>67</v>
      </c>
      <c r="B53" s="1">
        <v>46242</v>
      </c>
      <c r="C53" t="s">
        <v>14</v>
      </c>
      <c r="D53" t="s">
        <v>15</v>
      </c>
      <c r="E53" t="s">
        <v>16</v>
      </c>
      <c r="F53" t="s">
        <v>23</v>
      </c>
      <c r="G53" t="s">
        <v>68</v>
      </c>
      <c r="H53">
        <v>3</v>
      </c>
      <c r="I53" s="12">
        <v>95</v>
      </c>
      <c r="J53" s="12">
        <v>45</v>
      </c>
      <c r="K53">
        <v>2</v>
      </c>
      <c r="L53">
        <v>3</v>
      </c>
      <c r="M53">
        <v>300</v>
      </c>
      <c r="N53" s="12">
        <f>+gemini_code_1787702791259[[#This Row],[Cantidad]]*gemini_code_1787702791259[[#This Row],[Precio_Unitario_USD]]</f>
        <v>285</v>
      </c>
      <c r="O53" s="12">
        <f>+gemini_code_1787702791259[[#This Row],[Cantidad]]*gemini_code_1787702791259[[#This Row],[Costo_Unitario_USD]]</f>
        <v>135</v>
      </c>
      <c r="P53" s="12">
        <f>+gemini_code_1787702791259[[#This Row],[venta total]]-gemini_code_1787702791259[[#This Row],[Costo total]]</f>
        <v>150</v>
      </c>
      <c r="Q53" s="2">
        <f>gemini_code_1787702791259[[#This Row],[Ganancia bruta]]/gemini_code_1787702791259[[#This Row],[venta total]]</f>
        <v>0.52631578947368418</v>
      </c>
      <c r="R53" t="str">
        <f>IF(gemini_code_1787702791259[[#This Row],[Dias_Entrega]]&lt;=gemini_code_1787702791259[[#This Row],[Promesa_SLA_Dias]],"A tiempo","Fuera de SLA")</f>
        <v>A tiempo</v>
      </c>
    </row>
    <row r="54" spans="1:18" x14ac:dyDescent="0.25">
      <c r="A54" t="s">
        <v>69</v>
      </c>
      <c r="B54" s="1">
        <v>46242</v>
      </c>
      <c r="C54" t="s">
        <v>20</v>
      </c>
      <c r="D54" t="s">
        <v>21</v>
      </c>
      <c r="E54" t="s">
        <v>16</v>
      </c>
      <c r="F54" t="s">
        <v>28</v>
      </c>
      <c r="G54" t="s">
        <v>70</v>
      </c>
      <c r="H54">
        <v>4</v>
      </c>
      <c r="I54" s="12">
        <v>160</v>
      </c>
      <c r="J54" s="12">
        <v>95</v>
      </c>
      <c r="K54">
        <v>2</v>
      </c>
      <c r="L54">
        <v>3</v>
      </c>
      <c r="M54">
        <v>600</v>
      </c>
      <c r="N54" s="12">
        <f>+gemini_code_1787702791259[[#This Row],[Cantidad]]*gemini_code_1787702791259[[#This Row],[Precio_Unitario_USD]]</f>
        <v>640</v>
      </c>
      <c r="O54" s="12">
        <f>+gemini_code_1787702791259[[#This Row],[Cantidad]]*gemini_code_1787702791259[[#This Row],[Costo_Unitario_USD]]</f>
        <v>380</v>
      </c>
      <c r="P54" s="12">
        <f>+gemini_code_1787702791259[[#This Row],[venta total]]-gemini_code_1787702791259[[#This Row],[Costo total]]</f>
        <v>260</v>
      </c>
      <c r="Q54" s="2">
        <f>gemini_code_1787702791259[[#This Row],[Ganancia bruta]]/gemini_code_1787702791259[[#This Row],[venta total]]</f>
        <v>0.40625</v>
      </c>
      <c r="R54" t="str">
        <f>IF(gemini_code_1787702791259[[#This Row],[Dias_Entrega]]&lt;=gemini_code_1787702791259[[#This Row],[Promesa_SLA_Dias]],"A tiempo","Fuera de SLA")</f>
        <v>A tiempo</v>
      </c>
    </row>
    <row r="55" spans="1:18" x14ac:dyDescent="0.25">
      <c r="A55" t="s">
        <v>71</v>
      </c>
      <c r="B55" s="1">
        <v>46242</v>
      </c>
      <c r="C55" t="s">
        <v>26</v>
      </c>
      <c r="D55" t="s">
        <v>27</v>
      </c>
      <c r="E55" t="s">
        <v>22</v>
      </c>
      <c r="F55" t="s">
        <v>31</v>
      </c>
      <c r="G55" t="s">
        <v>72</v>
      </c>
      <c r="H55">
        <v>7</v>
      </c>
      <c r="I55" s="12">
        <v>90</v>
      </c>
      <c r="J55" s="12">
        <v>45</v>
      </c>
      <c r="K55">
        <v>4</v>
      </c>
      <c r="L55">
        <v>3</v>
      </c>
      <c r="M55">
        <v>600</v>
      </c>
      <c r="N55" s="12">
        <f>+gemini_code_1787702791259[[#This Row],[Cantidad]]*gemini_code_1787702791259[[#This Row],[Precio_Unitario_USD]]</f>
        <v>630</v>
      </c>
      <c r="O55" s="12">
        <f>+gemini_code_1787702791259[[#This Row],[Cantidad]]*gemini_code_1787702791259[[#This Row],[Costo_Unitario_USD]]</f>
        <v>315</v>
      </c>
      <c r="P55" s="12">
        <f>+gemini_code_1787702791259[[#This Row],[venta total]]-gemini_code_1787702791259[[#This Row],[Costo total]]</f>
        <v>315</v>
      </c>
      <c r="Q55" s="2">
        <f>gemini_code_1787702791259[[#This Row],[Ganancia bruta]]/gemini_code_1787702791259[[#This Row],[venta total]]</f>
        <v>0.5</v>
      </c>
      <c r="R55" t="str">
        <f>IF(gemini_code_1787702791259[[#This Row],[Dias_Entrega]]&lt;=gemini_code_1787702791259[[#This Row],[Promesa_SLA_Dias]],"A tiempo","Fuera de SLA")</f>
        <v>Fuera de SLA</v>
      </c>
    </row>
    <row r="56" spans="1:18" x14ac:dyDescent="0.25">
      <c r="A56" t="s">
        <v>73</v>
      </c>
      <c r="B56" s="1">
        <v>46243</v>
      </c>
      <c r="C56" t="s">
        <v>14</v>
      </c>
      <c r="D56" t="s">
        <v>15</v>
      </c>
      <c r="E56" t="s">
        <v>22</v>
      </c>
      <c r="F56" t="s">
        <v>17</v>
      </c>
      <c r="G56" t="s">
        <v>74</v>
      </c>
      <c r="H56">
        <v>3</v>
      </c>
      <c r="I56" s="12">
        <v>310</v>
      </c>
      <c r="J56" s="12">
        <v>210</v>
      </c>
      <c r="K56">
        <v>2</v>
      </c>
      <c r="L56">
        <v>3</v>
      </c>
      <c r="M56">
        <v>900</v>
      </c>
      <c r="N56" s="12">
        <f>+gemini_code_1787702791259[[#This Row],[Cantidad]]*gemini_code_1787702791259[[#This Row],[Precio_Unitario_USD]]</f>
        <v>930</v>
      </c>
      <c r="O56" s="12">
        <f>+gemini_code_1787702791259[[#This Row],[Cantidad]]*gemini_code_1787702791259[[#This Row],[Costo_Unitario_USD]]</f>
        <v>630</v>
      </c>
      <c r="P56" s="12">
        <f>+gemini_code_1787702791259[[#This Row],[venta total]]-gemini_code_1787702791259[[#This Row],[Costo total]]</f>
        <v>300</v>
      </c>
      <c r="Q56" s="2">
        <f>gemini_code_1787702791259[[#This Row],[Ganancia bruta]]/gemini_code_1787702791259[[#This Row],[venta total]]</f>
        <v>0.32258064516129031</v>
      </c>
      <c r="R56" t="str">
        <f>IF(gemini_code_1787702791259[[#This Row],[Dias_Entrega]]&lt;=gemini_code_1787702791259[[#This Row],[Promesa_SLA_Dias]],"A tiempo","Fuera de SLA")</f>
        <v>A tiempo</v>
      </c>
    </row>
    <row r="57" spans="1:18" x14ac:dyDescent="0.25">
      <c r="A57" t="s">
        <v>75</v>
      </c>
      <c r="B57" s="1">
        <v>46243</v>
      </c>
      <c r="C57" t="s">
        <v>20</v>
      </c>
      <c r="D57" t="s">
        <v>21</v>
      </c>
      <c r="E57" t="s">
        <v>16</v>
      </c>
      <c r="F57" t="s">
        <v>23</v>
      </c>
      <c r="G57" t="s">
        <v>76</v>
      </c>
      <c r="H57">
        <v>8</v>
      </c>
      <c r="I57" s="12">
        <v>50</v>
      </c>
      <c r="J57" s="12">
        <v>22</v>
      </c>
      <c r="K57">
        <v>2</v>
      </c>
      <c r="L57">
        <v>3</v>
      </c>
      <c r="M57">
        <v>400</v>
      </c>
      <c r="N57" s="12">
        <f>+gemini_code_1787702791259[[#This Row],[Cantidad]]*gemini_code_1787702791259[[#This Row],[Precio_Unitario_USD]]</f>
        <v>400</v>
      </c>
      <c r="O57" s="12">
        <f>+gemini_code_1787702791259[[#This Row],[Cantidad]]*gemini_code_1787702791259[[#This Row],[Costo_Unitario_USD]]</f>
        <v>176</v>
      </c>
      <c r="P57" s="12">
        <f>+gemini_code_1787702791259[[#This Row],[venta total]]-gemini_code_1787702791259[[#This Row],[Costo total]]</f>
        <v>224</v>
      </c>
      <c r="Q57" s="2">
        <f>gemini_code_1787702791259[[#This Row],[Ganancia bruta]]/gemini_code_1787702791259[[#This Row],[venta total]]</f>
        <v>0.56000000000000005</v>
      </c>
      <c r="R57" t="str">
        <f>IF(gemini_code_1787702791259[[#This Row],[Dias_Entrega]]&lt;=gemini_code_1787702791259[[#This Row],[Promesa_SLA_Dias]],"A tiempo","Fuera de SLA")</f>
        <v>A tiempo</v>
      </c>
    </row>
    <row r="58" spans="1:18" x14ac:dyDescent="0.25">
      <c r="A58" t="s">
        <v>77</v>
      </c>
      <c r="B58" s="1">
        <v>46243</v>
      </c>
      <c r="C58" t="s">
        <v>26</v>
      </c>
      <c r="D58" t="s">
        <v>27</v>
      </c>
      <c r="E58" t="s">
        <v>16</v>
      </c>
      <c r="F58" t="s">
        <v>28</v>
      </c>
      <c r="G58" t="s">
        <v>78</v>
      </c>
      <c r="H58">
        <v>1</v>
      </c>
      <c r="I58" s="12">
        <v>750</v>
      </c>
      <c r="J58" s="12">
        <v>480</v>
      </c>
      <c r="K58">
        <v>8</v>
      </c>
      <c r="L58">
        <v>4</v>
      </c>
      <c r="M58">
        <v>700</v>
      </c>
      <c r="N58" s="12">
        <f>+gemini_code_1787702791259[[#This Row],[Cantidad]]*gemini_code_1787702791259[[#This Row],[Precio_Unitario_USD]]</f>
        <v>750</v>
      </c>
      <c r="O58" s="12">
        <f>+gemini_code_1787702791259[[#This Row],[Cantidad]]*gemini_code_1787702791259[[#This Row],[Costo_Unitario_USD]]</f>
        <v>480</v>
      </c>
      <c r="P58" s="12">
        <f>+gemini_code_1787702791259[[#This Row],[venta total]]-gemini_code_1787702791259[[#This Row],[Costo total]]</f>
        <v>270</v>
      </c>
      <c r="Q58" s="2">
        <f>gemini_code_1787702791259[[#This Row],[Ganancia bruta]]/gemini_code_1787702791259[[#This Row],[venta total]]</f>
        <v>0.36</v>
      </c>
      <c r="R58" t="str">
        <f>IF(gemini_code_1787702791259[[#This Row],[Dias_Entrega]]&lt;=gemini_code_1787702791259[[#This Row],[Promesa_SLA_Dias]],"A tiempo","Fuera de SLA")</f>
        <v>Fuera de SLA</v>
      </c>
    </row>
    <row r="59" spans="1:18" x14ac:dyDescent="0.25">
      <c r="A59" t="s">
        <v>79</v>
      </c>
      <c r="B59" s="1">
        <v>46244</v>
      </c>
      <c r="C59" t="s">
        <v>14</v>
      </c>
      <c r="D59" t="s">
        <v>15</v>
      </c>
      <c r="E59" t="s">
        <v>16</v>
      </c>
      <c r="F59" t="s">
        <v>31</v>
      </c>
      <c r="G59" t="s">
        <v>80</v>
      </c>
      <c r="H59">
        <v>4</v>
      </c>
      <c r="I59" s="12">
        <v>140</v>
      </c>
      <c r="J59" s="12">
        <v>75</v>
      </c>
      <c r="K59">
        <v>3</v>
      </c>
      <c r="L59">
        <v>3</v>
      </c>
      <c r="M59">
        <v>500</v>
      </c>
      <c r="N59" s="12">
        <f>+gemini_code_1787702791259[[#This Row],[Cantidad]]*gemini_code_1787702791259[[#This Row],[Precio_Unitario_USD]]</f>
        <v>560</v>
      </c>
      <c r="O59" s="12">
        <f>+gemini_code_1787702791259[[#This Row],[Cantidad]]*gemini_code_1787702791259[[#This Row],[Costo_Unitario_USD]]</f>
        <v>300</v>
      </c>
      <c r="P59" s="12">
        <f>+gemini_code_1787702791259[[#This Row],[venta total]]-gemini_code_1787702791259[[#This Row],[Costo total]]</f>
        <v>260</v>
      </c>
      <c r="Q59" s="2">
        <f>gemini_code_1787702791259[[#This Row],[Ganancia bruta]]/gemini_code_1787702791259[[#This Row],[venta total]]</f>
        <v>0.4642857142857143</v>
      </c>
      <c r="R59" t="str">
        <f>IF(gemini_code_1787702791259[[#This Row],[Dias_Entrega]]&lt;=gemini_code_1787702791259[[#This Row],[Promesa_SLA_Dias]],"A tiempo","Fuera de SLA")</f>
        <v>A tiempo</v>
      </c>
    </row>
    <row r="60" spans="1:18" x14ac:dyDescent="0.25">
      <c r="A60" t="s">
        <v>81</v>
      </c>
      <c r="B60" s="1">
        <v>46244</v>
      </c>
      <c r="C60" t="s">
        <v>20</v>
      </c>
      <c r="D60" t="s">
        <v>21</v>
      </c>
      <c r="E60" t="s">
        <v>22</v>
      </c>
      <c r="F60" t="s">
        <v>17</v>
      </c>
      <c r="G60" t="s">
        <v>82</v>
      </c>
      <c r="H60">
        <v>6</v>
      </c>
      <c r="I60" s="12">
        <v>90</v>
      </c>
      <c r="J60" s="12">
        <v>50</v>
      </c>
      <c r="K60">
        <v>1</v>
      </c>
      <c r="L60">
        <v>2</v>
      </c>
      <c r="M60">
        <v>500</v>
      </c>
      <c r="N60" s="12">
        <f>+gemini_code_1787702791259[[#This Row],[Cantidad]]*gemini_code_1787702791259[[#This Row],[Precio_Unitario_USD]]</f>
        <v>540</v>
      </c>
      <c r="O60" s="12">
        <f>+gemini_code_1787702791259[[#This Row],[Cantidad]]*gemini_code_1787702791259[[#This Row],[Costo_Unitario_USD]]</f>
        <v>300</v>
      </c>
      <c r="P60" s="12">
        <f>+gemini_code_1787702791259[[#This Row],[venta total]]-gemini_code_1787702791259[[#This Row],[Costo total]]</f>
        <v>240</v>
      </c>
      <c r="Q60" s="2">
        <f>gemini_code_1787702791259[[#This Row],[Ganancia bruta]]/gemini_code_1787702791259[[#This Row],[venta total]]</f>
        <v>0.44444444444444442</v>
      </c>
      <c r="R60" t="str">
        <f>IF(gemini_code_1787702791259[[#This Row],[Dias_Entrega]]&lt;=gemini_code_1787702791259[[#This Row],[Promesa_SLA_Dias]],"A tiempo","Fuera de SLA")</f>
        <v>A tiempo</v>
      </c>
    </row>
    <row r="61" spans="1:18" x14ac:dyDescent="0.25">
      <c r="A61" t="s">
        <v>83</v>
      </c>
      <c r="B61" s="1">
        <v>46244</v>
      </c>
      <c r="C61" t="s">
        <v>26</v>
      </c>
      <c r="D61" t="s">
        <v>27</v>
      </c>
      <c r="E61" t="s">
        <v>16</v>
      </c>
      <c r="F61" t="s">
        <v>23</v>
      </c>
      <c r="G61" t="s">
        <v>84</v>
      </c>
      <c r="H61">
        <v>6</v>
      </c>
      <c r="I61" s="12">
        <v>60</v>
      </c>
      <c r="J61" s="12">
        <v>28</v>
      </c>
      <c r="K61">
        <v>5</v>
      </c>
      <c r="L61">
        <v>3</v>
      </c>
      <c r="M61">
        <v>350</v>
      </c>
      <c r="N61" s="12">
        <f>+gemini_code_1787702791259[[#This Row],[Cantidad]]*gemini_code_1787702791259[[#This Row],[Precio_Unitario_USD]]</f>
        <v>360</v>
      </c>
      <c r="O61" s="12">
        <f>+gemini_code_1787702791259[[#This Row],[Cantidad]]*gemini_code_1787702791259[[#This Row],[Costo_Unitario_USD]]</f>
        <v>168</v>
      </c>
      <c r="P61" s="12">
        <f>+gemini_code_1787702791259[[#This Row],[venta total]]-gemini_code_1787702791259[[#This Row],[Costo total]]</f>
        <v>192</v>
      </c>
      <c r="Q61" s="2">
        <f>gemini_code_1787702791259[[#This Row],[Ganancia bruta]]/gemini_code_1787702791259[[#This Row],[venta total]]</f>
        <v>0.53333333333333333</v>
      </c>
      <c r="R61" t="str">
        <f>IF(gemini_code_1787702791259[[#This Row],[Dias_Entrega]]&lt;=gemini_code_1787702791259[[#This Row],[Promesa_SLA_Dias]],"A tiempo","Fuera de SLA")</f>
        <v>Fuera de SLA</v>
      </c>
    </row>
    <row r="62" spans="1:18" x14ac:dyDescent="0.25">
      <c r="A62" t="s">
        <v>13</v>
      </c>
      <c r="B62" s="1">
        <v>46235</v>
      </c>
      <c r="C62" t="s">
        <v>14</v>
      </c>
      <c r="D62" t="s">
        <v>15</v>
      </c>
      <c r="E62" t="s">
        <v>16</v>
      </c>
      <c r="F62" t="s">
        <v>17</v>
      </c>
      <c r="G62" t="s">
        <v>18</v>
      </c>
      <c r="H62">
        <v>2</v>
      </c>
      <c r="I62" s="12">
        <v>850</v>
      </c>
      <c r="J62" s="12">
        <v>600</v>
      </c>
      <c r="K62">
        <v>2</v>
      </c>
      <c r="L62">
        <v>3</v>
      </c>
      <c r="M62">
        <v>1500</v>
      </c>
      <c r="N62" s="12">
        <f>+gemini_code_1787702791259[[#This Row],[Cantidad]]*gemini_code_1787702791259[[#This Row],[Precio_Unitario_USD]]</f>
        <v>1700</v>
      </c>
      <c r="O62" s="12">
        <f>+gemini_code_1787702791259[[#This Row],[Cantidad]]*gemini_code_1787702791259[[#This Row],[Costo_Unitario_USD]]</f>
        <v>1200</v>
      </c>
      <c r="P62" s="12">
        <f>+gemini_code_1787702791259[[#This Row],[venta total]]-gemini_code_1787702791259[[#This Row],[Costo total]]</f>
        <v>500</v>
      </c>
      <c r="Q62" s="2">
        <f>gemini_code_1787702791259[[#This Row],[Ganancia bruta]]/gemini_code_1787702791259[[#This Row],[venta total]]</f>
        <v>0.29411764705882354</v>
      </c>
      <c r="R62" t="str">
        <f>IF(gemini_code_1787702791259[[#This Row],[Dias_Entrega]]&lt;=gemini_code_1787702791259[[#This Row],[Promesa_SLA_Dias]],"A tiempo","Fuera de SLA")</f>
        <v>A tiempo</v>
      </c>
    </row>
    <row r="63" spans="1:18" x14ac:dyDescent="0.25">
      <c r="A63" t="s">
        <v>19</v>
      </c>
      <c r="B63" s="1">
        <v>46235</v>
      </c>
      <c r="C63" t="s">
        <v>20</v>
      </c>
      <c r="D63" t="s">
        <v>21</v>
      </c>
      <c r="E63" t="s">
        <v>22</v>
      </c>
      <c r="F63" t="s">
        <v>23</v>
      </c>
      <c r="G63" t="s">
        <v>24</v>
      </c>
      <c r="H63">
        <v>5</v>
      </c>
      <c r="I63" s="12">
        <v>120</v>
      </c>
      <c r="J63" s="12">
        <v>70</v>
      </c>
      <c r="K63">
        <v>3</v>
      </c>
      <c r="L63">
        <v>3</v>
      </c>
      <c r="M63">
        <v>500</v>
      </c>
      <c r="N63" s="12">
        <f>+gemini_code_1787702791259[[#This Row],[Cantidad]]*gemini_code_1787702791259[[#This Row],[Precio_Unitario_USD]]</f>
        <v>600</v>
      </c>
      <c r="O63" s="12">
        <f>+gemini_code_1787702791259[[#This Row],[Cantidad]]*gemini_code_1787702791259[[#This Row],[Costo_Unitario_USD]]</f>
        <v>350</v>
      </c>
      <c r="P63" s="12">
        <f>+gemini_code_1787702791259[[#This Row],[venta total]]-gemini_code_1787702791259[[#This Row],[Costo total]]</f>
        <v>250</v>
      </c>
      <c r="Q63" s="2">
        <f>gemini_code_1787702791259[[#This Row],[Ganancia bruta]]/gemini_code_1787702791259[[#This Row],[venta total]]</f>
        <v>0.41666666666666669</v>
      </c>
      <c r="R63" t="str">
        <f>IF(gemini_code_1787702791259[[#This Row],[Dias_Entrega]]&lt;=gemini_code_1787702791259[[#This Row],[Promesa_SLA_Dias]],"A tiempo","Fuera de SLA")</f>
        <v>A tiempo</v>
      </c>
    </row>
    <row r="64" spans="1:18" x14ac:dyDescent="0.25">
      <c r="A64" t="s">
        <v>25</v>
      </c>
      <c r="B64" s="1">
        <v>46235</v>
      </c>
      <c r="C64" t="s">
        <v>26</v>
      </c>
      <c r="D64" t="s">
        <v>27</v>
      </c>
      <c r="E64" t="s">
        <v>16</v>
      </c>
      <c r="F64" t="s">
        <v>28</v>
      </c>
      <c r="G64" t="s">
        <v>29</v>
      </c>
      <c r="H64">
        <v>3</v>
      </c>
      <c r="I64" s="12">
        <v>90</v>
      </c>
      <c r="J64" s="12">
        <v>50</v>
      </c>
      <c r="K64">
        <v>6</v>
      </c>
      <c r="L64">
        <v>4</v>
      </c>
      <c r="M64">
        <v>300</v>
      </c>
      <c r="N64" s="12">
        <f>+gemini_code_1787702791259[[#This Row],[Cantidad]]*gemini_code_1787702791259[[#This Row],[Precio_Unitario_USD]]</f>
        <v>270</v>
      </c>
      <c r="O64" s="12">
        <f>+gemini_code_1787702791259[[#This Row],[Cantidad]]*gemini_code_1787702791259[[#This Row],[Costo_Unitario_USD]]</f>
        <v>150</v>
      </c>
      <c r="P64" s="12">
        <f>+gemini_code_1787702791259[[#This Row],[venta total]]-gemini_code_1787702791259[[#This Row],[Costo total]]</f>
        <v>120</v>
      </c>
      <c r="Q64" s="2">
        <f>gemini_code_1787702791259[[#This Row],[Ganancia bruta]]/gemini_code_1787702791259[[#This Row],[venta total]]</f>
        <v>0.44444444444444442</v>
      </c>
      <c r="R64" t="str">
        <f>IF(gemini_code_1787702791259[[#This Row],[Dias_Entrega]]&lt;=gemini_code_1787702791259[[#This Row],[Promesa_SLA_Dias]],"A tiempo","Fuera de SLA")</f>
        <v>Fuera de SLA</v>
      </c>
    </row>
    <row r="65" spans="1:18" x14ac:dyDescent="0.25">
      <c r="A65" t="s">
        <v>30</v>
      </c>
      <c r="B65" s="1">
        <v>46236</v>
      </c>
      <c r="C65" t="s">
        <v>14</v>
      </c>
      <c r="D65" t="s">
        <v>15</v>
      </c>
      <c r="E65" t="s">
        <v>22</v>
      </c>
      <c r="F65" t="s">
        <v>31</v>
      </c>
      <c r="G65" t="s">
        <v>32</v>
      </c>
      <c r="H65">
        <v>4</v>
      </c>
      <c r="I65" s="12">
        <v>110</v>
      </c>
      <c r="J65" s="12">
        <v>60</v>
      </c>
      <c r="K65">
        <v>1</v>
      </c>
      <c r="L65">
        <v>2</v>
      </c>
      <c r="M65">
        <v>400</v>
      </c>
      <c r="N65" s="12">
        <f>+gemini_code_1787702791259[[#This Row],[Cantidad]]*gemini_code_1787702791259[[#This Row],[Precio_Unitario_USD]]</f>
        <v>440</v>
      </c>
      <c r="O65" s="12">
        <f>+gemini_code_1787702791259[[#This Row],[Cantidad]]*gemini_code_1787702791259[[#This Row],[Costo_Unitario_USD]]</f>
        <v>240</v>
      </c>
      <c r="P65" s="12">
        <f>+gemini_code_1787702791259[[#This Row],[venta total]]-gemini_code_1787702791259[[#This Row],[Costo total]]</f>
        <v>200</v>
      </c>
      <c r="Q65" s="2">
        <f>gemini_code_1787702791259[[#This Row],[Ganancia bruta]]/gemini_code_1787702791259[[#This Row],[venta total]]</f>
        <v>0.45454545454545453</v>
      </c>
      <c r="R65" t="str">
        <f>IF(gemini_code_1787702791259[[#This Row],[Dias_Entrega]]&lt;=gemini_code_1787702791259[[#This Row],[Promesa_SLA_Dias]],"A tiempo","Fuera de SLA")</f>
        <v>A tiempo</v>
      </c>
    </row>
    <row r="66" spans="1:18" x14ac:dyDescent="0.25">
      <c r="A66" t="s">
        <v>33</v>
      </c>
      <c r="B66" s="1">
        <v>46236</v>
      </c>
      <c r="C66" t="s">
        <v>20</v>
      </c>
      <c r="D66" t="s">
        <v>21</v>
      </c>
      <c r="E66" t="s">
        <v>16</v>
      </c>
      <c r="F66" t="s">
        <v>17</v>
      </c>
      <c r="G66" t="s">
        <v>34</v>
      </c>
      <c r="H66">
        <v>3</v>
      </c>
      <c r="I66" s="12">
        <v>650</v>
      </c>
      <c r="J66" s="12">
        <v>450</v>
      </c>
      <c r="K66">
        <v>2</v>
      </c>
      <c r="L66">
        <v>3</v>
      </c>
      <c r="M66">
        <v>1800</v>
      </c>
      <c r="N66" s="12">
        <f>+gemini_code_1787702791259[[#This Row],[Cantidad]]*gemini_code_1787702791259[[#This Row],[Precio_Unitario_USD]]</f>
        <v>1950</v>
      </c>
      <c r="O66" s="12">
        <f>+gemini_code_1787702791259[[#This Row],[Cantidad]]*gemini_code_1787702791259[[#This Row],[Costo_Unitario_USD]]</f>
        <v>1350</v>
      </c>
      <c r="P66" s="12">
        <f>+gemini_code_1787702791259[[#This Row],[venta total]]-gemini_code_1787702791259[[#This Row],[Costo total]]</f>
        <v>600</v>
      </c>
      <c r="Q66" s="2">
        <f>gemini_code_1787702791259[[#This Row],[Ganancia bruta]]/gemini_code_1787702791259[[#This Row],[venta total]]</f>
        <v>0.30769230769230771</v>
      </c>
      <c r="R66" t="str">
        <f>IF(gemini_code_1787702791259[[#This Row],[Dias_Entrega]]&lt;=gemini_code_1787702791259[[#This Row],[Promesa_SLA_Dias]],"A tiempo","Fuera de SLA")</f>
        <v>A tiempo</v>
      </c>
    </row>
    <row r="67" spans="1:18" x14ac:dyDescent="0.25">
      <c r="A67" t="s">
        <v>35</v>
      </c>
      <c r="B67" s="1">
        <v>46236</v>
      </c>
      <c r="C67" t="s">
        <v>26</v>
      </c>
      <c r="D67" t="s">
        <v>27</v>
      </c>
      <c r="E67" t="s">
        <v>16</v>
      </c>
      <c r="F67" t="s">
        <v>23</v>
      </c>
      <c r="G67" t="s">
        <v>36</v>
      </c>
      <c r="H67">
        <v>8</v>
      </c>
      <c r="I67" s="12">
        <v>45</v>
      </c>
      <c r="J67" s="12">
        <v>20</v>
      </c>
      <c r="K67">
        <v>5</v>
      </c>
      <c r="L67">
        <v>3</v>
      </c>
      <c r="M67">
        <v>400</v>
      </c>
      <c r="N67" s="12">
        <f>+gemini_code_1787702791259[[#This Row],[Cantidad]]*gemini_code_1787702791259[[#This Row],[Precio_Unitario_USD]]</f>
        <v>360</v>
      </c>
      <c r="O67" s="12">
        <f>+gemini_code_1787702791259[[#This Row],[Cantidad]]*gemini_code_1787702791259[[#This Row],[Costo_Unitario_USD]]</f>
        <v>160</v>
      </c>
      <c r="P67" s="12">
        <f>+gemini_code_1787702791259[[#This Row],[venta total]]-gemini_code_1787702791259[[#This Row],[Costo total]]</f>
        <v>200</v>
      </c>
      <c r="Q67" s="2">
        <f>gemini_code_1787702791259[[#This Row],[Ganancia bruta]]/gemini_code_1787702791259[[#This Row],[venta total]]</f>
        <v>0.55555555555555558</v>
      </c>
      <c r="R67" t="str">
        <f>IF(gemini_code_1787702791259[[#This Row],[Dias_Entrega]]&lt;=gemini_code_1787702791259[[#This Row],[Promesa_SLA_Dias]],"A tiempo","Fuera de SLA")</f>
        <v>Fuera de SLA</v>
      </c>
    </row>
    <row r="68" spans="1:18" x14ac:dyDescent="0.25">
      <c r="A68" t="s">
        <v>37</v>
      </c>
      <c r="B68" s="1">
        <v>46237</v>
      </c>
      <c r="C68" t="s">
        <v>14</v>
      </c>
      <c r="D68" t="s">
        <v>15</v>
      </c>
      <c r="E68" t="s">
        <v>16</v>
      </c>
      <c r="F68" t="s">
        <v>28</v>
      </c>
      <c r="G68" t="s">
        <v>38</v>
      </c>
      <c r="H68">
        <v>2</v>
      </c>
      <c r="I68" s="12">
        <v>280</v>
      </c>
      <c r="J68" s="12">
        <v>180</v>
      </c>
      <c r="K68">
        <v>3</v>
      </c>
      <c r="L68">
        <v>3</v>
      </c>
      <c r="M68">
        <v>500</v>
      </c>
      <c r="N68" s="12">
        <f>+gemini_code_1787702791259[[#This Row],[Cantidad]]*gemini_code_1787702791259[[#This Row],[Precio_Unitario_USD]]</f>
        <v>560</v>
      </c>
      <c r="O68" s="12">
        <f>+gemini_code_1787702791259[[#This Row],[Cantidad]]*gemini_code_1787702791259[[#This Row],[Costo_Unitario_USD]]</f>
        <v>360</v>
      </c>
      <c r="P68" s="12">
        <f>+gemini_code_1787702791259[[#This Row],[venta total]]-gemini_code_1787702791259[[#This Row],[Costo total]]</f>
        <v>200</v>
      </c>
      <c r="Q68" s="2">
        <f>gemini_code_1787702791259[[#This Row],[Ganancia bruta]]/gemini_code_1787702791259[[#This Row],[venta total]]</f>
        <v>0.35714285714285715</v>
      </c>
      <c r="R68" t="str">
        <f>IF(gemini_code_1787702791259[[#This Row],[Dias_Entrega]]&lt;=gemini_code_1787702791259[[#This Row],[Promesa_SLA_Dias]],"A tiempo","Fuera de SLA")</f>
        <v>A tiempo</v>
      </c>
    </row>
    <row r="69" spans="1:18" x14ac:dyDescent="0.25">
      <c r="A69" t="s">
        <v>39</v>
      </c>
      <c r="B69" s="1">
        <v>46237</v>
      </c>
      <c r="C69" t="s">
        <v>20</v>
      </c>
      <c r="D69" t="s">
        <v>21</v>
      </c>
      <c r="E69" t="s">
        <v>22</v>
      </c>
      <c r="F69" t="s">
        <v>31</v>
      </c>
      <c r="G69" t="s">
        <v>40</v>
      </c>
      <c r="H69">
        <v>3</v>
      </c>
      <c r="I69" s="12">
        <v>150</v>
      </c>
      <c r="J69" s="12">
        <v>85</v>
      </c>
      <c r="K69">
        <v>2</v>
      </c>
      <c r="L69">
        <v>2</v>
      </c>
      <c r="M69">
        <v>400</v>
      </c>
      <c r="N69" s="12">
        <f>+gemini_code_1787702791259[[#This Row],[Cantidad]]*gemini_code_1787702791259[[#This Row],[Precio_Unitario_USD]]</f>
        <v>450</v>
      </c>
      <c r="O69" s="12">
        <f>+gemini_code_1787702791259[[#This Row],[Cantidad]]*gemini_code_1787702791259[[#This Row],[Costo_Unitario_USD]]</f>
        <v>255</v>
      </c>
      <c r="P69" s="12">
        <f>+gemini_code_1787702791259[[#This Row],[venta total]]-gemini_code_1787702791259[[#This Row],[Costo total]]</f>
        <v>195</v>
      </c>
      <c r="Q69" s="2">
        <f>gemini_code_1787702791259[[#This Row],[Ganancia bruta]]/gemini_code_1787702791259[[#This Row],[venta total]]</f>
        <v>0.43333333333333335</v>
      </c>
      <c r="R69" t="str">
        <f>IF(gemini_code_1787702791259[[#This Row],[Dias_Entrega]]&lt;=gemini_code_1787702791259[[#This Row],[Promesa_SLA_Dias]],"A tiempo","Fuera de SLA")</f>
        <v>A tiempo</v>
      </c>
    </row>
    <row r="70" spans="1:18" x14ac:dyDescent="0.25">
      <c r="A70" t="s">
        <v>41</v>
      </c>
      <c r="B70" s="1">
        <v>46237</v>
      </c>
      <c r="C70" t="s">
        <v>26</v>
      </c>
      <c r="D70" t="s">
        <v>27</v>
      </c>
      <c r="E70" t="s">
        <v>16</v>
      </c>
      <c r="F70" t="s">
        <v>17</v>
      </c>
      <c r="G70" t="s">
        <v>42</v>
      </c>
      <c r="H70">
        <v>2</v>
      </c>
      <c r="I70" s="12">
        <v>520</v>
      </c>
      <c r="J70" s="12">
        <v>380</v>
      </c>
      <c r="K70">
        <v>7</v>
      </c>
      <c r="L70">
        <v>4</v>
      </c>
      <c r="M70">
        <v>1000</v>
      </c>
      <c r="N70" s="12">
        <f>+gemini_code_1787702791259[[#This Row],[Cantidad]]*gemini_code_1787702791259[[#This Row],[Precio_Unitario_USD]]</f>
        <v>1040</v>
      </c>
      <c r="O70" s="12">
        <f>+gemini_code_1787702791259[[#This Row],[Cantidad]]*gemini_code_1787702791259[[#This Row],[Costo_Unitario_USD]]</f>
        <v>760</v>
      </c>
      <c r="P70" s="12">
        <f>+gemini_code_1787702791259[[#This Row],[venta total]]-gemini_code_1787702791259[[#This Row],[Costo total]]</f>
        <v>280</v>
      </c>
      <c r="Q70" s="2">
        <f>gemini_code_1787702791259[[#This Row],[Ganancia bruta]]/gemini_code_1787702791259[[#This Row],[venta total]]</f>
        <v>0.26923076923076922</v>
      </c>
      <c r="R70" t="str">
        <f>IF(gemini_code_1787702791259[[#This Row],[Dias_Entrega]]&lt;=gemini_code_1787702791259[[#This Row],[Promesa_SLA_Dias]],"A tiempo","Fuera de SLA")</f>
        <v>Fuera de SLA</v>
      </c>
    </row>
    <row r="71" spans="1:18" x14ac:dyDescent="0.25">
      <c r="A71" t="s">
        <v>43</v>
      </c>
      <c r="B71" s="1">
        <v>46238</v>
      </c>
      <c r="C71" t="s">
        <v>14</v>
      </c>
      <c r="D71" t="s">
        <v>15</v>
      </c>
      <c r="E71" t="s">
        <v>22</v>
      </c>
      <c r="F71" t="s">
        <v>23</v>
      </c>
      <c r="G71" t="s">
        <v>44</v>
      </c>
      <c r="H71">
        <v>6</v>
      </c>
      <c r="I71" s="12">
        <v>55</v>
      </c>
      <c r="J71" s="12">
        <v>25</v>
      </c>
      <c r="K71">
        <v>2</v>
      </c>
      <c r="L71">
        <v>3</v>
      </c>
      <c r="M71">
        <v>300</v>
      </c>
      <c r="N71" s="12">
        <f>+gemini_code_1787702791259[[#This Row],[Cantidad]]*gemini_code_1787702791259[[#This Row],[Precio_Unitario_USD]]</f>
        <v>330</v>
      </c>
      <c r="O71" s="12">
        <f>+gemini_code_1787702791259[[#This Row],[Cantidad]]*gemini_code_1787702791259[[#This Row],[Costo_Unitario_USD]]</f>
        <v>150</v>
      </c>
      <c r="P71" s="12">
        <f>+gemini_code_1787702791259[[#This Row],[venta total]]-gemini_code_1787702791259[[#This Row],[Costo total]]</f>
        <v>180</v>
      </c>
      <c r="Q71" s="2">
        <f>gemini_code_1787702791259[[#This Row],[Ganancia bruta]]/gemini_code_1787702791259[[#This Row],[venta total]]</f>
        <v>0.54545454545454541</v>
      </c>
      <c r="R71" t="str">
        <f>IF(gemini_code_1787702791259[[#This Row],[Dias_Entrega]]&lt;=gemini_code_1787702791259[[#This Row],[Promesa_SLA_Dias]],"A tiempo","Fuera de SLA")</f>
        <v>A tiempo</v>
      </c>
    </row>
    <row r="72" spans="1:18" x14ac:dyDescent="0.25">
      <c r="A72" t="s">
        <v>45</v>
      </c>
      <c r="B72" s="1">
        <v>46238</v>
      </c>
      <c r="C72" t="s">
        <v>20</v>
      </c>
      <c r="D72" t="s">
        <v>21</v>
      </c>
      <c r="E72" t="s">
        <v>16</v>
      </c>
      <c r="F72" t="s">
        <v>28</v>
      </c>
      <c r="G72" t="s">
        <v>46</v>
      </c>
      <c r="H72">
        <v>1</v>
      </c>
      <c r="I72" s="12">
        <v>450</v>
      </c>
      <c r="J72" s="12">
        <v>290</v>
      </c>
      <c r="K72">
        <v>4</v>
      </c>
      <c r="L72">
        <v>3</v>
      </c>
      <c r="M72">
        <v>400</v>
      </c>
      <c r="N72" s="12">
        <f>+gemini_code_1787702791259[[#This Row],[Cantidad]]*gemini_code_1787702791259[[#This Row],[Precio_Unitario_USD]]</f>
        <v>450</v>
      </c>
      <c r="O72" s="12">
        <f>+gemini_code_1787702791259[[#This Row],[Cantidad]]*gemini_code_1787702791259[[#This Row],[Costo_Unitario_USD]]</f>
        <v>290</v>
      </c>
      <c r="P72" s="12">
        <f>+gemini_code_1787702791259[[#This Row],[venta total]]-gemini_code_1787702791259[[#This Row],[Costo total]]</f>
        <v>160</v>
      </c>
      <c r="Q72" s="2">
        <f>gemini_code_1787702791259[[#This Row],[Ganancia bruta]]/gemini_code_1787702791259[[#This Row],[venta total]]</f>
        <v>0.35555555555555557</v>
      </c>
      <c r="R72" t="str">
        <f>IF(gemini_code_1787702791259[[#This Row],[Dias_Entrega]]&lt;=gemini_code_1787702791259[[#This Row],[Promesa_SLA_Dias]],"A tiempo","Fuera de SLA")</f>
        <v>Fuera de SLA</v>
      </c>
    </row>
    <row r="73" spans="1:18" x14ac:dyDescent="0.25">
      <c r="A73" t="s">
        <v>47</v>
      </c>
      <c r="B73" s="1">
        <v>46238</v>
      </c>
      <c r="C73" t="s">
        <v>26</v>
      </c>
      <c r="D73" t="s">
        <v>27</v>
      </c>
      <c r="E73" t="s">
        <v>22</v>
      </c>
      <c r="F73" t="s">
        <v>31</v>
      </c>
      <c r="G73" t="s">
        <v>48</v>
      </c>
      <c r="H73">
        <v>10</v>
      </c>
      <c r="I73" s="12">
        <v>35</v>
      </c>
      <c r="J73" s="12">
        <v>15</v>
      </c>
      <c r="K73">
        <v>4</v>
      </c>
      <c r="L73">
        <v>3</v>
      </c>
      <c r="M73">
        <v>300</v>
      </c>
      <c r="N73" s="12">
        <f>+gemini_code_1787702791259[[#This Row],[Cantidad]]*gemini_code_1787702791259[[#This Row],[Precio_Unitario_USD]]</f>
        <v>350</v>
      </c>
      <c r="O73" s="12">
        <f>+gemini_code_1787702791259[[#This Row],[Cantidad]]*gemini_code_1787702791259[[#This Row],[Costo_Unitario_USD]]</f>
        <v>150</v>
      </c>
      <c r="P73" s="12">
        <f>+gemini_code_1787702791259[[#This Row],[venta total]]-gemini_code_1787702791259[[#This Row],[Costo total]]</f>
        <v>200</v>
      </c>
      <c r="Q73" s="2">
        <f>gemini_code_1787702791259[[#This Row],[Ganancia bruta]]/gemini_code_1787702791259[[#This Row],[venta total]]</f>
        <v>0.5714285714285714</v>
      </c>
      <c r="R73" t="str">
        <f>IF(gemini_code_1787702791259[[#This Row],[Dias_Entrega]]&lt;=gemini_code_1787702791259[[#This Row],[Promesa_SLA_Dias]],"A tiempo","Fuera de SLA")</f>
        <v>Fuera de SLA</v>
      </c>
    </row>
    <row r="74" spans="1:18" x14ac:dyDescent="0.25">
      <c r="A74" t="s">
        <v>49</v>
      </c>
      <c r="B74" s="1">
        <v>46239</v>
      </c>
      <c r="C74" t="s">
        <v>14</v>
      </c>
      <c r="D74" t="s">
        <v>15</v>
      </c>
      <c r="E74" t="s">
        <v>16</v>
      </c>
      <c r="F74" t="s">
        <v>17</v>
      </c>
      <c r="G74" t="s">
        <v>50</v>
      </c>
      <c r="H74">
        <v>4</v>
      </c>
      <c r="I74" s="12">
        <v>220</v>
      </c>
      <c r="J74" s="12">
        <v>140</v>
      </c>
      <c r="K74">
        <v>2</v>
      </c>
      <c r="L74">
        <v>3</v>
      </c>
      <c r="M74">
        <v>800</v>
      </c>
      <c r="N74" s="12">
        <f>+gemini_code_1787702791259[[#This Row],[Cantidad]]*gemini_code_1787702791259[[#This Row],[Precio_Unitario_USD]]</f>
        <v>880</v>
      </c>
      <c r="O74" s="12">
        <f>+gemini_code_1787702791259[[#This Row],[Cantidad]]*gemini_code_1787702791259[[#This Row],[Costo_Unitario_USD]]</f>
        <v>560</v>
      </c>
      <c r="P74" s="12">
        <f>+gemini_code_1787702791259[[#This Row],[venta total]]-gemini_code_1787702791259[[#This Row],[Costo total]]</f>
        <v>320</v>
      </c>
      <c r="Q74" s="2">
        <f>gemini_code_1787702791259[[#This Row],[Ganancia bruta]]/gemini_code_1787702791259[[#This Row],[venta total]]</f>
        <v>0.36363636363636365</v>
      </c>
      <c r="R74" t="str">
        <f>IF(gemini_code_1787702791259[[#This Row],[Dias_Entrega]]&lt;=gemini_code_1787702791259[[#This Row],[Promesa_SLA_Dias]],"A tiempo","Fuera de SLA")</f>
        <v>A tiempo</v>
      </c>
    </row>
    <row r="75" spans="1:18" x14ac:dyDescent="0.25">
      <c r="A75" t="s">
        <v>51</v>
      </c>
      <c r="B75" s="1">
        <v>46239</v>
      </c>
      <c r="C75" t="s">
        <v>20</v>
      </c>
      <c r="D75" t="s">
        <v>21</v>
      </c>
      <c r="E75" t="s">
        <v>16</v>
      </c>
      <c r="F75" t="s">
        <v>23</v>
      </c>
      <c r="G75" t="s">
        <v>52</v>
      </c>
      <c r="H75">
        <v>5</v>
      </c>
      <c r="I75" s="12">
        <v>65</v>
      </c>
      <c r="J75" s="12">
        <v>30</v>
      </c>
      <c r="K75">
        <v>2</v>
      </c>
      <c r="L75">
        <v>3</v>
      </c>
      <c r="M75">
        <v>300</v>
      </c>
      <c r="N75" s="12">
        <f>+gemini_code_1787702791259[[#This Row],[Cantidad]]*gemini_code_1787702791259[[#This Row],[Precio_Unitario_USD]]</f>
        <v>325</v>
      </c>
      <c r="O75" s="12">
        <f>+gemini_code_1787702791259[[#This Row],[Cantidad]]*gemini_code_1787702791259[[#This Row],[Costo_Unitario_USD]]</f>
        <v>150</v>
      </c>
      <c r="P75" s="12">
        <f>+gemini_code_1787702791259[[#This Row],[venta total]]-gemini_code_1787702791259[[#This Row],[Costo total]]</f>
        <v>175</v>
      </c>
      <c r="Q75" s="2">
        <f>gemini_code_1787702791259[[#This Row],[Ganancia bruta]]/gemini_code_1787702791259[[#This Row],[venta total]]</f>
        <v>0.53846153846153844</v>
      </c>
      <c r="R75" t="str">
        <f>IF(gemini_code_1787702791259[[#This Row],[Dias_Entrega]]&lt;=gemini_code_1787702791259[[#This Row],[Promesa_SLA_Dias]],"A tiempo","Fuera de SLA")</f>
        <v>A tiempo</v>
      </c>
    </row>
    <row r="76" spans="1:18" x14ac:dyDescent="0.25">
      <c r="A76" t="s">
        <v>53</v>
      </c>
      <c r="B76" s="1">
        <v>46239</v>
      </c>
      <c r="C76" t="s">
        <v>26</v>
      </c>
      <c r="D76" t="s">
        <v>27</v>
      </c>
      <c r="E76" t="s">
        <v>16</v>
      </c>
      <c r="F76" t="s">
        <v>28</v>
      </c>
      <c r="G76" t="s">
        <v>54</v>
      </c>
      <c r="H76">
        <v>2</v>
      </c>
      <c r="I76" s="12">
        <v>180</v>
      </c>
      <c r="J76" s="12">
        <v>110</v>
      </c>
      <c r="K76">
        <v>6</v>
      </c>
      <c r="L76">
        <v>3</v>
      </c>
      <c r="M76">
        <v>350</v>
      </c>
      <c r="N76" s="12">
        <f>+gemini_code_1787702791259[[#This Row],[Cantidad]]*gemini_code_1787702791259[[#This Row],[Precio_Unitario_USD]]</f>
        <v>360</v>
      </c>
      <c r="O76" s="12">
        <f>+gemini_code_1787702791259[[#This Row],[Cantidad]]*gemini_code_1787702791259[[#This Row],[Costo_Unitario_USD]]</f>
        <v>220</v>
      </c>
      <c r="P76" s="12">
        <f>+gemini_code_1787702791259[[#This Row],[venta total]]-gemini_code_1787702791259[[#This Row],[Costo total]]</f>
        <v>140</v>
      </c>
      <c r="Q76" s="2">
        <f>gemini_code_1787702791259[[#This Row],[Ganancia bruta]]/gemini_code_1787702791259[[#This Row],[venta total]]</f>
        <v>0.3888888888888889</v>
      </c>
      <c r="R76" t="str">
        <f>IF(gemini_code_1787702791259[[#This Row],[Dias_Entrega]]&lt;=gemini_code_1787702791259[[#This Row],[Promesa_SLA_Dias]],"A tiempo","Fuera de SLA")</f>
        <v>Fuera de SLA</v>
      </c>
    </row>
    <row r="77" spans="1:18" x14ac:dyDescent="0.25">
      <c r="A77" t="s">
        <v>55</v>
      </c>
      <c r="B77" s="1">
        <v>46240</v>
      </c>
      <c r="C77" t="s">
        <v>14</v>
      </c>
      <c r="D77" t="s">
        <v>15</v>
      </c>
      <c r="E77" t="s">
        <v>22</v>
      </c>
      <c r="F77" t="s">
        <v>31</v>
      </c>
      <c r="G77" t="s">
        <v>56</v>
      </c>
      <c r="H77">
        <v>6</v>
      </c>
      <c r="I77" s="12">
        <v>85</v>
      </c>
      <c r="J77" s="12">
        <v>45</v>
      </c>
      <c r="K77">
        <v>1</v>
      </c>
      <c r="L77">
        <v>2</v>
      </c>
      <c r="M77">
        <v>500</v>
      </c>
      <c r="N77" s="12">
        <f>+gemini_code_1787702791259[[#This Row],[Cantidad]]*gemini_code_1787702791259[[#This Row],[Precio_Unitario_USD]]</f>
        <v>510</v>
      </c>
      <c r="O77" s="12">
        <f>+gemini_code_1787702791259[[#This Row],[Cantidad]]*gemini_code_1787702791259[[#This Row],[Costo_Unitario_USD]]</f>
        <v>270</v>
      </c>
      <c r="P77" s="12">
        <f>+gemini_code_1787702791259[[#This Row],[venta total]]-gemini_code_1787702791259[[#This Row],[Costo total]]</f>
        <v>240</v>
      </c>
      <c r="Q77" s="2">
        <f>gemini_code_1787702791259[[#This Row],[Ganancia bruta]]/gemini_code_1787702791259[[#This Row],[venta total]]</f>
        <v>0.47058823529411764</v>
      </c>
      <c r="R77" t="str">
        <f>IF(gemini_code_1787702791259[[#This Row],[Dias_Entrega]]&lt;=gemini_code_1787702791259[[#This Row],[Promesa_SLA_Dias]],"A tiempo","Fuera de SLA")</f>
        <v>A tiempo</v>
      </c>
    </row>
    <row r="78" spans="1:18" x14ac:dyDescent="0.25">
      <c r="A78" t="s">
        <v>57</v>
      </c>
      <c r="B78" s="1">
        <v>46240</v>
      </c>
      <c r="C78" t="s">
        <v>20</v>
      </c>
      <c r="D78" t="s">
        <v>21</v>
      </c>
      <c r="E78" t="s">
        <v>16</v>
      </c>
      <c r="F78" t="s">
        <v>17</v>
      </c>
      <c r="G78" t="s">
        <v>58</v>
      </c>
      <c r="H78">
        <v>12</v>
      </c>
      <c r="I78" s="12">
        <v>75</v>
      </c>
      <c r="J78" s="12">
        <v>35</v>
      </c>
      <c r="K78">
        <v>1</v>
      </c>
      <c r="L78">
        <v>2</v>
      </c>
      <c r="M78">
        <v>800</v>
      </c>
      <c r="N78" s="12">
        <f>+gemini_code_1787702791259[[#This Row],[Cantidad]]*gemini_code_1787702791259[[#This Row],[Precio_Unitario_USD]]</f>
        <v>900</v>
      </c>
      <c r="O78" s="12">
        <f>+gemini_code_1787702791259[[#This Row],[Cantidad]]*gemini_code_1787702791259[[#This Row],[Costo_Unitario_USD]]</f>
        <v>420</v>
      </c>
      <c r="P78" s="12">
        <f>+gemini_code_1787702791259[[#This Row],[venta total]]-gemini_code_1787702791259[[#This Row],[Costo total]]</f>
        <v>480</v>
      </c>
      <c r="Q78" s="2">
        <f>gemini_code_1787702791259[[#This Row],[Ganancia bruta]]/gemini_code_1787702791259[[#This Row],[venta total]]</f>
        <v>0.53333333333333333</v>
      </c>
      <c r="R78" t="str">
        <f>IF(gemini_code_1787702791259[[#This Row],[Dias_Entrega]]&lt;=gemini_code_1787702791259[[#This Row],[Promesa_SLA_Dias]],"A tiempo","Fuera de SLA")</f>
        <v>A tiempo</v>
      </c>
    </row>
    <row r="79" spans="1:18" x14ac:dyDescent="0.25">
      <c r="A79" t="s">
        <v>59</v>
      </c>
      <c r="B79" s="1">
        <v>46240</v>
      </c>
      <c r="C79" t="s">
        <v>26</v>
      </c>
      <c r="D79" t="s">
        <v>27</v>
      </c>
      <c r="E79" t="s">
        <v>22</v>
      </c>
      <c r="F79" t="s">
        <v>23</v>
      </c>
      <c r="G79" t="s">
        <v>60</v>
      </c>
      <c r="H79">
        <v>4</v>
      </c>
      <c r="I79" s="12">
        <v>110</v>
      </c>
      <c r="J79" s="12">
        <v>55</v>
      </c>
      <c r="K79">
        <v>5</v>
      </c>
      <c r="L79">
        <v>3</v>
      </c>
      <c r="M79">
        <v>400</v>
      </c>
      <c r="N79" s="12">
        <f>+gemini_code_1787702791259[[#This Row],[Cantidad]]*gemini_code_1787702791259[[#This Row],[Precio_Unitario_USD]]</f>
        <v>440</v>
      </c>
      <c r="O79" s="12">
        <f>+gemini_code_1787702791259[[#This Row],[Cantidad]]*gemini_code_1787702791259[[#This Row],[Costo_Unitario_USD]]</f>
        <v>220</v>
      </c>
      <c r="P79" s="12">
        <f>+gemini_code_1787702791259[[#This Row],[venta total]]-gemini_code_1787702791259[[#This Row],[Costo total]]</f>
        <v>220</v>
      </c>
      <c r="Q79" s="2">
        <f>gemini_code_1787702791259[[#This Row],[Ganancia bruta]]/gemini_code_1787702791259[[#This Row],[venta total]]</f>
        <v>0.5</v>
      </c>
      <c r="R79" t="str">
        <f>IF(gemini_code_1787702791259[[#This Row],[Dias_Entrega]]&lt;=gemini_code_1787702791259[[#This Row],[Promesa_SLA_Dias]],"A tiempo","Fuera de SLA")</f>
        <v>Fuera de SLA</v>
      </c>
    </row>
    <row r="80" spans="1:18" x14ac:dyDescent="0.25">
      <c r="A80" t="s">
        <v>61</v>
      </c>
      <c r="B80" s="1">
        <v>46241</v>
      </c>
      <c r="C80" t="s">
        <v>14</v>
      </c>
      <c r="D80" t="s">
        <v>15</v>
      </c>
      <c r="E80" t="s">
        <v>16</v>
      </c>
      <c r="F80" t="s">
        <v>28</v>
      </c>
      <c r="G80" t="s">
        <v>62</v>
      </c>
      <c r="H80">
        <v>15</v>
      </c>
      <c r="I80" s="12">
        <v>25</v>
      </c>
      <c r="J80" s="12">
        <v>10</v>
      </c>
      <c r="K80">
        <v>2</v>
      </c>
      <c r="L80">
        <v>3</v>
      </c>
      <c r="M80">
        <v>300</v>
      </c>
      <c r="N80" s="12">
        <f>+gemini_code_1787702791259[[#This Row],[Cantidad]]*gemini_code_1787702791259[[#This Row],[Precio_Unitario_USD]]</f>
        <v>375</v>
      </c>
      <c r="O80" s="12">
        <f>+gemini_code_1787702791259[[#This Row],[Cantidad]]*gemini_code_1787702791259[[#This Row],[Costo_Unitario_USD]]</f>
        <v>150</v>
      </c>
      <c r="P80" s="12">
        <f>+gemini_code_1787702791259[[#This Row],[venta total]]-gemini_code_1787702791259[[#This Row],[Costo total]]</f>
        <v>225</v>
      </c>
      <c r="Q80" s="2">
        <f>gemini_code_1787702791259[[#This Row],[Ganancia bruta]]/gemini_code_1787702791259[[#This Row],[venta total]]</f>
        <v>0.6</v>
      </c>
      <c r="R80" t="str">
        <f>IF(gemini_code_1787702791259[[#This Row],[Dias_Entrega]]&lt;=gemini_code_1787702791259[[#This Row],[Promesa_SLA_Dias]],"A tiempo","Fuera de SLA")</f>
        <v>A tiempo</v>
      </c>
    </row>
    <row r="81" spans="1:18" x14ac:dyDescent="0.25">
      <c r="A81" t="s">
        <v>63</v>
      </c>
      <c r="B81" s="1">
        <v>46241</v>
      </c>
      <c r="C81" t="s">
        <v>20</v>
      </c>
      <c r="D81" t="s">
        <v>21</v>
      </c>
      <c r="E81" t="s">
        <v>22</v>
      </c>
      <c r="F81" t="s">
        <v>31</v>
      </c>
      <c r="G81" t="s">
        <v>64</v>
      </c>
      <c r="H81">
        <v>5</v>
      </c>
      <c r="I81" s="12">
        <v>130</v>
      </c>
      <c r="J81" s="12">
        <v>70</v>
      </c>
      <c r="K81">
        <v>3</v>
      </c>
      <c r="L81">
        <v>3</v>
      </c>
      <c r="M81">
        <v>600</v>
      </c>
      <c r="N81" s="12">
        <f>+gemini_code_1787702791259[[#This Row],[Cantidad]]*gemini_code_1787702791259[[#This Row],[Precio_Unitario_USD]]</f>
        <v>650</v>
      </c>
      <c r="O81" s="12">
        <f>+gemini_code_1787702791259[[#This Row],[Cantidad]]*gemini_code_1787702791259[[#This Row],[Costo_Unitario_USD]]</f>
        <v>350</v>
      </c>
      <c r="P81" s="12">
        <f>+gemini_code_1787702791259[[#This Row],[venta total]]-gemini_code_1787702791259[[#This Row],[Costo total]]</f>
        <v>300</v>
      </c>
      <c r="Q81" s="2">
        <f>gemini_code_1787702791259[[#This Row],[Ganancia bruta]]/gemini_code_1787702791259[[#This Row],[venta total]]</f>
        <v>0.46153846153846156</v>
      </c>
      <c r="R81" t="str">
        <f>IF(gemini_code_1787702791259[[#This Row],[Dias_Entrega]]&lt;=gemini_code_1787702791259[[#This Row],[Promesa_SLA_Dias]],"A tiempo","Fuera de SLA")</f>
        <v>A tiempo</v>
      </c>
    </row>
    <row r="82" spans="1:18" x14ac:dyDescent="0.25">
      <c r="A82" t="s">
        <v>65</v>
      </c>
      <c r="B82" s="1">
        <v>46241</v>
      </c>
      <c r="C82" t="s">
        <v>26</v>
      </c>
      <c r="D82" t="s">
        <v>27</v>
      </c>
      <c r="E82" t="s">
        <v>16</v>
      </c>
      <c r="F82" t="s">
        <v>17</v>
      </c>
      <c r="G82" t="s">
        <v>66</v>
      </c>
      <c r="H82">
        <v>2</v>
      </c>
      <c r="I82" s="12">
        <v>500</v>
      </c>
      <c r="J82" s="12">
        <v>380</v>
      </c>
      <c r="K82">
        <v>6</v>
      </c>
      <c r="L82">
        <v>4</v>
      </c>
      <c r="M82">
        <v>900</v>
      </c>
      <c r="N82" s="12">
        <f>+gemini_code_1787702791259[[#This Row],[Cantidad]]*gemini_code_1787702791259[[#This Row],[Precio_Unitario_USD]]</f>
        <v>1000</v>
      </c>
      <c r="O82" s="12">
        <f>+gemini_code_1787702791259[[#This Row],[Cantidad]]*gemini_code_1787702791259[[#This Row],[Costo_Unitario_USD]]</f>
        <v>760</v>
      </c>
      <c r="P82" s="12">
        <f>+gemini_code_1787702791259[[#This Row],[venta total]]-gemini_code_1787702791259[[#This Row],[Costo total]]</f>
        <v>240</v>
      </c>
      <c r="Q82" s="2">
        <f>gemini_code_1787702791259[[#This Row],[Ganancia bruta]]/gemini_code_1787702791259[[#This Row],[venta total]]</f>
        <v>0.24</v>
      </c>
      <c r="R82" t="str">
        <f>IF(gemini_code_1787702791259[[#This Row],[Dias_Entrega]]&lt;=gemini_code_1787702791259[[#This Row],[Promesa_SLA_Dias]],"A tiempo","Fuera de SLA")</f>
        <v>Fuera de SLA</v>
      </c>
    </row>
    <row r="83" spans="1:18" x14ac:dyDescent="0.25">
      <c r="A83" t="s">
        <v>67</v>
      </c>
      <c r="B83" s="1">
        <v>46242</v>
      </c>
      <c r="C83" t="s">
        <v>14</v>
      </c>
      <c r="D83" t="s">
        <v>15</v>
      </c>
      <c r="E83" t="s">
        <v>16</v>
      </c>
      <c r="F83" t="s">
        <v>23</v>
      </c>
      <c r="G83" t="s">
        <v>68</v>
      </c>
      <c r="H83">
        <v>3</v>
      </c>
      <c r="I83" s="12">
        <v>95</v>
      </c>
      <c r="J83" s="12">
        <v>45</v>
      </c>
      <c r="K83">
        <v>2</v>
      </c>
      <c r="L83">
        <v>3</v>
      </c>
      <c r="M83">
        <v>300</v>
      </c>
      <c r="N83" s="12">
        <f>+gemini_code_1787702791259[[#This Row],[Cantidad]]*gemini_code_1787702791259[[#This Row],[Precio_Unitario_USD]]</f>
        <v>285</v>
      </c>
      <c r="O83" s="12">
        <f>+gemini_code_1787702791259[[#This Row],[Cantidad]]*gemini_code_1787702791259[[#This Row],[Costo_Unitario_USD]]</f>
        <v>135</v>
      </c>
      <c r="P83" s="12">
        <f>+gemini_code_1787702791259[[#This Row],[venta total]]-gemini_code_1787702791259[[#This Row],[Costo total]]</f>
        <v>150</v>
      </c>
      <c r="Q83" s="2">
        <f>gemini_code_1787702791259[[#This Row],[Ganancia bruta]]/gemini_code_1787702791259[[#This Row],[venta total]]</f>
        <v>0.52631578947368418</v>
      </c>
      <c r="R83" t="str">
        <f>IF(gemini_code_1787702791259[[#This Row],[Dias_Entrega]]&lt;=gemini_code_1787702791259[[#This Row],[Promesa_SLA_Dias]],"A tiempo","Fuera de SLA")</f>
        <v>A tiempo</v>
      </c>
    </row>
    <row r="84" spans="1:18" x14ac:dyDescent="0.25">
      <c r="A84" t="s">
        <v>69</v>
      </c>
      <c r="B84" s="1">
        <v>46242</v>
      </c>
      <c r="C84" t="s">
        <v>20</v>
      </c>
      <c r="D84" t="s">
        <v>21</v>
      </c>
      <c r="E84" t="s">
        <v>16</v>
      </c>
      <c r="F84" t="s">
        <v>28</v>
      </c>
      <c r="G84" t="s">
        <v>70</v>
      </c>
      <c r="H84">
        <v>4</v>
      </c>
      <c r="I84" s="12">
        <v>160</v>
      </c>
      <c r="J84" s="12">
        <v>95</v>
      </c>
      <c r="K84">
        <v>2</v>
      </c>
      <c r="L84">
        <v>3</v>
      </c>
      <c r="M84">
        <v>600</v>
      </c>
      <c r="N84" s="12">
        <f>+gemini_code_1787702791259[[#This Row],[Cantidad]]*gemini_code_1787702791259[[#This Row],[Precio_Unitario_USD]]</f>
        <v>640</v>
      </c>
      <c r="O84" s="12">
        <f>+gemini_code_1787702791259[[#This Row],[Cantidad]]*gemini_code_1787702791259[[#This Row],[Costo_Unitario_USD]]</f>
        <v>380</v>
      </c>
      <c r="P84" s="12">
        <f>+gemini_code_1787702791259[[#This Row],[venta total]]-gemini_code_1787702791259[[#This Row],[Costo total]]</f>
        <v>260</v>
      </c>
      <c r="Q84" s="2">
        <f>gemini_code_1787702791259[[#This Row],[Ganancia bruta]]/gemini_code_1787702791259[[#This Row],[venta total]]</f>
        <v>0.40625</v>
      </c>
      <c r="R84" t="str">
        <f>IF(gemini_code_1787702791259[[#This Row],[Dias_Entrega]]&lt;=gemini_code_1787702791259[[#This Row],[Promesa_SLA_Dias]],"A tiempo","Fuera de SLA")</f>
        <v>A tiempo</v>
      </c>
    </row>
    <row r="85" spans="1:18" x14ac:dyDescent="0.25">
      <c r="A85" t="s">
        <v>71</v>
      </c>
      <c r="B85" s="1">
        <v>46242</v>
      </c>
      <c r="C85" t="s">
        <v>26</v>
      </c>
      <c r="D85" t="s">
        <v>27</v>
      </c>
      <c r="E85" t="s">
        <v>22</v>
      </c>
      <c r="F85" t="s">
        <v>31</v>
      </c>
      <c r="G85" t="s">
        <v>72</v>
      </c>
      <c r="H85">
        <v>7</v>
      </c>
      <c r="I85" s="12">
        <v>90</v>
      </c>
      <c r="J85" s="12">
        <v>45</v>
      </c>
      <c r="K85">
        <v>4</v>
      </c>
      <c r="L85">
        <v>3</v>
      </c>
      <c r="M85">
        <v>600</v>
      </c>
      <c r="N85" s="12">
        <f>+gemini_code_1787702791259[[#This Row],[Cantidad]]*gemini_code_1787702791259[[#This Row],[Precio_Unitario_USD]]</f>
        <v>630</v>
      </c>
      <c r="O85" s="12">
        <f>+gemini_code_1787702791259[[#This Row],[Cantidad]]*gemini_code_1787702791259[[#This Row],[Costo_Unitario_USD]]</f>
        <v>315</v>
      </c>
      <c r="P85" s="12">
        <f>+gemini_code_1787702791259[[#This Row],[venta total]]-gemini_code_1787702791259[[#This Row],[Costo total]]</f>
        <v>315</v>
      </c>
      <c r="Q85" s="2">
        <f>gemini_code_1787702791259[[#This Row],[Ganancia bruta]]/gemini_code_1787702791259[[#This Row],[venta total]]</f>
        <v>0.5</v>
      </c>
      <c r="R85" t="str">
        <f>IF(gemini_code_1787702791259[[#This Row],[Dias_Entrega]]&lt;=gemini_code_1787702791259[[#This Row],[Promesa_SLA_Dias]],"A tiempo","Fuera de SLA")</f>
        <v>Fuera de SLA</v>
      </c>
    </row>
    <row r="86" spans="1:18" x14ac:dyDescent="0.25">
      <c r="A86" t="s">
        <v>73</v>
      </c>
      <c r="B86" s="1">
        <v>46243</v>
      </c>
      <c r="C86" t="s">
        <v>14</v>
      </c>
      <c r="D86" t="s">
        <v>15</v>
      </c>
      <c r="E86" t="s">
        <v>22</v>
      </c>
      <c r="F86" t="s">
        <v>17</v>
      </c>
      <c r="G86" t="s">
        <v>74</v>
      </c>
      <c r="H86">
        <v>3</v>
      </c>
      <c r="I86" s="12">
        <v>310</v>
      </c>
      <c r="J86" s="12">
        <v>210</v>
      </c>
      <c r="K86">
        <v>2</v>
      </c>
      <c r="L86">
        <v>3</v>
      </c>
      <c r="M86">
        <v>900</v>
      </c>
      <c r="N86" s="12">
        <f>+gemini_code_1787702791259[[#This Row],[Cantidad]]*gemini_code_1787702791259[[#This Row],[Precio_Unitario_USD]]</f>
        <v>930</v>
      </c>
      <c r="O86" s="12">
        <f>+gemini_code_1787702791259[[#This Row],[Cantidad]]*gemini_code_1787702791259[[#This Row],[Costo_Unitario_USD]]</f>
        <v>630</v>
      </c>
      <c r="P86" s="12">
        <f>+gemini_code_1787702791259[[#This Row],[venta total]]-gemini_code_1787702791259[[#This Row],[Costo total]]</f>
        <v>300</v>
      </c>
      <c r="Q86" s="2">
        <f>gemini_code_1787702791259[[#This Row],[Ganancia bruta]]/gemini_code_1787702791259[[#This Row],[venta total]]</f>
        <v>0.32258064516129031</v>
      </c>
      <c r="R86" t="str">
        <f>IF(gemini_code_1787702791259[[#This Row],[Dias_Entrega]]&lt;=gemini_code_1787702791259[[#This Row],[Promesa_SLA_Dias]],"A tiempo","Fuera de SLA")</f>
        <v>A tiempo</v>
      </c>
    </row>
    <row r="87" spans="1:18" x14ac:dyDescent="0.25">
      <c r="A87" t="s">
        <v>75</v>
      </c>
      <c r="B87" s="1">
        <v>46243</v>
      </c>
      <c r="C87" t="s">
        <v>20</v>
      </c>
      <c r="D87" t="s">
        <v>21</v>
      </c>
      <c r="E87" t="s">
        <v>16</v>
      </c>
      <c r="F87" t="s">
        <v>23</v>
      </c>
      <c r="G87" t="s">
        <v>76</v>
      </c>
      <c r="H87">
        <v>8</v>
      </c>
      <c r="I87" s="12">
        <v>50</v>
      </c>
      <c r="J87" s="12">
        <v>22</v>
      </c>
      <c r="K87">
        <v>2</v>
      </c>
      <c r="L87">
        <v>3</v>
      </c>
      <c r="M87">
        <v>400</v>
      </c>
      <c r="N87" s="12">
        <f>+gemini_code_1787702791259[[#This Row],[Cantidad]]*gemini_code_1787702791259[[#This Row],[Precio_Unitario_USD]]</f>
        <v>400</v>
      </c>
      <c r="O87" s="12">
        <f>+gemini_code_1787702791259[[#This Row],[Cantidad]]*gemini_code_1787702791259[[#This Row],[Costo_Unitario_USD]]</f>
        <v>176</v>
      </c>
      <c r="P87" s="12">
        <f>+gemini_code_1787702791259[[#This Row],[venta total]]-gemini_code_1787702791259[[#This Row],[Costo total]]</f>
        <v>224</v>
      </c>
      <c r="Q87" s="2">
        <f>gemini_code_1787702791259[[#This Row],[Ganancia bruta]]/gemini_code_1787702791259[[#This Row],[venta total]]</f>
        <v>0.56000000000000005</v>
      </c>
      <c r="R87" t="str">
        <f>IF(gemini_code_1787702791259[[#This Row],[Dias_Entrega]]&lt;=gemini_code_1787702791259[[#This Row],[Promesa_SLA_Dias]],"A tiempo","Fuera de SLA")</f>
        <v>A tiempo</v>
      </c>
    </row>
    <row r="88" spans="1:18" x14ac:dyDescent="0.25">
      <c r="A88" t="s">
        <v>77</v>
      </c>
      <c r="B88" s="1">
        <v>46243</v>
      </c>
      <c r="C88" t="s">
        <v>26</v>
      </c>
      <c r="D88" t="s">
        <v>27</v>
      </c>
      <c r="E88" t="s">
        <v>16</v>
      </c>
      <c r="F88" t="s">
        <v>28</v>
      </c>
      <c r="G88" t="s">
        <v>78</v>
      </c>
      <c r="H88">
        <v>1</v>
      </c>
      <c r="I88" s="12">
        <v>750</v>
      </c>
      <c r="J88" s="12">
        <v>480</v>
      </c>
      <c r="K88">
        <v>8</v>
      </c>
      <c r="L88">
        <v>4</v>
      </c>
      <c r="M88">
        <v>700</v>
      </c>
      <c r="N88" s="12">
        <f>+gemini_code_1787702791259[[#This Row],[Cantidad]]*gemini_code_1787702791259[[#This Row],[Precio_Unitario_USD]]</f>
        <v>750</v>
      </c>
      <c r="O88" s="12">
        <f>+gemini_code_1787702791259[[#This Row],[Cantidad]]*gemini_code_1787702791259[[#This Row],[Costo_Unitario_USD]]</f>
        <v>480</v>
      </c>
      <c r="P88" s="12">
        <f>+gemini_code_1787702791259[[#This Row],[venta total]]-gemini_code_1787702791259[[#This Row],[Costo total]]</f>
        <v>270</v>
      </c>
      <c r="Q88" s="2">
        <f>gemini_code_1787702791259[[#This Row],[Ganancia bruta]]/gemini_code_1787702791259[[#This Row],[venta total]]</f>
        <v>0.36</v>
      </c>
      <c r="R88" t="str">
        <f>IF(gemini_code_1787702791259[[#This Row],[Dias_Entrega]]&lt;=gemini_code_1787702791259[[#This Row],[Promesa_SLA_Dias]],"A tiempo","Fuera de SLA")</f>
        <v>Fuera de SLA</v>
      </c>
    </row>
    <row r="89" spans="1:18" x14ac:dyDescent="0.25">
      <c r="A89" t="s">
        <v>79</v>
      </c>
      <c r="B89" s="1">
        <v>46244</v>
      </c>
      <c r="C89" t="s">
        <v>14</v>
      </c>
      <c r="D89" t="s">
        <v>15</v>
      </c>
      <c r="E89" t="s">
        <v>16</v>
      </c>
      <c r="F89" t="s">
        <v>31</v>
      </c>
      <c r="G89" t="s">
        <v>80</v>
      </c>
      <c r="H89">
        <v>4</v>
      </c>
      <c r="I89" s="12">
        <v>140</v>
      </c>
      <c r="J89" s="12">
        <v>75</v>
      </c>
      <c r="K89">
        <v>3</v>
      </c>
      <c r="L89">
        <v>3</v>
      </c>
      <c r="M89">
        <v>500</v>
      </c>
      <c r="N89" s="12">
        <f>+gemini_code_1787702791259[[#This Row],[Cantidad]]*gemini_code_1787702791259[[#This Row],[Precio_Unitario_USD]]</f>
        <v>560</v>
      </c>
      <c r="O89" s="12">
        <f>+gemini_code_1787702791259[[#This Row],[Cantidad]]*gemini_code_1787702791259[[#This Row],[Costo_Unitario_USD]]</f>
        <v>300</v>
      </c>
      <c r="P89" s="12">
        <f>+gemini_code_1787702791259[[#This Row],[venta total]]-gemini_code_1787702791259[[#This Row],[Costo total]]</f>
        <v>260</v>
      </c>
      <c r="Q89" s="2">
        <f>gemini_code_1787702791259[[#This Row],[Ganancia bruta]]/gemini_code_1787702791259[[#This Row],[venta total]]</f>
        <v>0.4642857142857143</v>
      </c>
      <c r="R89" t="str">
        <f>IF(gemini_code_1787702791259[[#This Row],[Dias_Entrega]]&lt;=gemini_code_1787702791259[[#This Row],[Promesa_SLA_Dias]],"A tiempo","Fuera de SLA")</f>
        <v>A tiempo</v>
      </c>
    </row>
    <row r="90" spans="1:18" x14ac:dyDescent="0.25">
      <c r="A90" t="s">
        <v>81</v>
      </c>
      <c r="B90" s="1">
        <v>46244</v>
      </c>
      <c r="C90" t="s">
        <v>20</v>
      </c>
      <c r="D90" t="s">
        <v>21</v>
      </c>
      <c r="E90" t="s">
        <v>22</v>
      </c>
      <c r="F90" t="s">
        <v>17</v>
      </c>
      <c r="G90" t="s">
        <v>82</v>
      </c>
      <c r="H90">
        <v>6</v>
      </c>
      <c r="I90" s="12">
        <v>90</v>
      </c>
      <c r="J90" s="12">
        <v>50</v>
      </c>
      <c r="K90">
        <v>1</v>
      </c>
      <c r="L90">
        <v>2</v>
      </c>
      <c r="M90">
        <v>500</v>
      </c>
      <c r="N90" s="12">
        <f>+gemini_code_1787702791259[[#This Row],[Cantidad]]*gemini_code_1787702791259[[#This Row],[Precio_Unitario_USD]]</f>
        <v>540</v>
      </c>
      <c r="O90" s="12">
        <f>+gemini_code_1787702791259[[#This Row],[Cantidad]]*gemini_code_1787702791259[[#This Row],[Costo_Unitario_USD]]</f>
        <v>300</v>
      </c>
      <c r="P90" s="12">
        <f>+gemini_code_1787702791259[[#This Row],[venta total]]-gemini_code_1787702791259[[#This Row],[Costo total]]</f>
        <v>240</v>
      </c>
      <c r="Q90" s="2">
        <f>gemini_code_1787702791259[[#This Row],[Ganancia bruta]]/gemini_code_1787702791259[[#This Row],[venta total]]</f>
        <v>0.44444444444444442</v>
      </c>
      <c r="R90" t="str">
        <f>IF(gemini_code_1787702791259[[#This Row],[Dias_Entrega]]&lt;=gemini_code_1787702791259[[#This Row],[Promesa_SLA_Dias]],"A tiempo","Fuera de SLA")</f>
        <v>A tiempo</v>
      </c>
    </row>
    <row r="91" spans="1:18" x14ac:dyDescent="0.25">
      <c r="A91" t="s">
        <v>83</v>
      </c>
      <c r="B91" s="1">
        <v>46244</v>
      </c>
      <c r="C91" t="s">
        <v>26</v>
      </c>
      <c r="D91" t="s">
        <v>27</v>
      </c>
      <c r="E91" t="s">
        <v>16</v>
      </c>
      <c r="F91" t="s">
        <v>23</v>
      </c>
      <c r="G91" t="s">
        <v>84</v>
      </c>
      <c r="H91">
        <v>6</v>
      </c>
      <c r="I91" s="12">
        <v>60</v>
      </c>
      <c r="J91" s="12">
        <v>28</v>
      </c>
      <c r="K91">
        <v>5</v>
      </c>
      <c r="L91">
        <v>3</v>
      </c>
      <c r="M91">
        <v>350</v>
      </c>
      <c r="N91" s="12">
        <f>+gemini_code_1787702791259[[#This Row],[Cantidad]]*gemini_code_1787702791259[[#This Row],[Precio_Unitario_USD]]</f>
        <v>360</v>
      </c>
      <c r="O91" s="12">
        <f>+gemini_code_1787702791259[[#This Row],[Cantidad]]*gemini_code_1787702791259[[#This Row],[Costo_Unitario_USD]]</f>
        <v>168</v>
      </c>
      <c r="P91" s="12">
        <f>+gemini_code_1787702791259[[#This Row],[venta total]]-gemini_code_1787702791259[[#This Row],[Costo total]]</f>
        <v>192</v>
      </c>
      <c r="Q91" s="2">
        <f>gemini_code_1787702791259[[#This Row],[Ganancia bruta]]/gemini_code_1787702791259[[#This Row],[venta total]]</f>
        <v>0.53333333333333333</v>
      </c>
      <c r="R91" t="str">
        <f>IF(gemini_code_1787702791259[[#This Row],[Dias_Entrega]]&lt;=gemini_code_1787702791259[[#This Row],[Promesa_SLA_Dias]],"A tiempo","Fuera de SLA")</f>
        <v>Fuera de SLA</v>
      </c>
    </row>
    <row r="92" spans="1:18" x14ac:dyDescent="0.25">
      <c r="A92" t="s">
        <v>13</v>
      </c>
      <c r="B92" s="1">
        <v>46235</v>
      </c>
      <c r="C92" t="s">
        <v>14</v>
      </c>
      <c r="D92" t="s">
        <v>15</v>
      </c>
      <c r="E92" t="s">
        <v>16</v>
      </c>
      <c r="F92" t="s">
        <v>17</v>
      </c>
      <c r="G92" t="s">
        <v>18</v>
      </c>
      <c r="H92">
        <v>2</v>
      </c>
      <c r="I92" s="12">
        <v>850</v>
      </c>
      <c r="J92" s="12">
        <v>600</v>
      </c>
      <c r="K92">
        <v>2</v>
      </c>
      <c r="L92">
        <v>3</v>
      </c>
      <c r="M92">
        <v>1500</v>
      </c>
      <c r="N92" s="12">
        <f>+gemini_code_1787702791259[[#This Row],[Cantidad]]*gemini_code_1787702791259[[#This Row],[Precio_Unitario_USD]]</f>
        <v>1700</v>
      </c>
      <c r="O92" s="12">
        <f>+gemini_code_1787702791259[[#This Row],[Cantidad]]*gemini_code_1787702791259[[#This Row],[Costo_Unitario_USD]]</f>
        <v>1200</v>
      </c>
      <c r="P92" s="12">
        <f>+gemini_code_1787702791259[[#This Row],[venta total]]-gemini_code_1787702791259[[#This Row],[Costo total]]</f>
        <v>500</v>
      </c>
      <c r="Q92" s="2">
        <f>gemini_code_1787702791259[[#This Row],[Ganancia bruta]]/gemini_code_1787702791259[[#This Row],[venta total]]</f>
        <v>0.29411764705882354</v>
      </c>
      <c r="R92" t="str">
        <f>IF(gemini_code_1787702791259[[#This Row],[Dias_Entrega]]&lt;=gemini_code_1787702791259[[#This Row],[Promesa_SLA_Dias]],"A tiempo","Fuera de SLA")</f>
        <v>A tiempo</v>
      </c>
    </row>
    <row r="93" spans="1:18" x14ac:dyDescent="0.25">
      <c r="A93" t="s">
        <v>19</v>
      </c>
      <c r="B93" s="1">
        <v>46235</v>
      </c>
      <c r="C93" t="s">
        <v>20</v>
      </c>
      <c r="D93" t="s">
        <v>21</v>
      </c>
      <c r="E93" t="s">
        <v>22</v>
      </c>
      <c r="F93" t="s">
        <v>23</v>
      </c>
      <c r="G93" t="s">
        <v>24</v>
      </c>
      <c r="H93">
        <v>5</v>
      </c>
      <c r="I93" s="12">
        <v>120</v>
      </c>
      <c r="J93" s="12">
        <v>70</v>
      </c>
      <c r="K93">
        <v>3</v>
      </c>
      <c r="L93">
        <v>3</v>
      </c>
      <c r="M93">
        <v>500</v>
      </c>
      <c r="N93" s="12">
        <f>+gemini_code_1787702791259[[#This Row],[Cantidad]]*gemini_code_1787702791259[[#This Row],[Precio_Unitario_USD]]</f>
        <v>600</v>
      </c>
      <c r="O93" s="12">
        <f>+gemini_code_1787702791259[[#This Row],[Cantidad]]*gemini_code_1787702791259[[#This Row],[Costo_Unitario_USD]]</f>
        <v>350</v>
      </c>
      <c r="P93" s="12">
        <f>+gemini_code_1787702791259[[#This Row],[venta total]]-gemini_code_1787702791259[[#This Row],[Costo total]]</f>
        <v>250</v>
      </c>
      <c r="Q93" s="2">
        <f>gemini_code_1787702791259[[#This Row],[Ganancia bruta]]/gemini_code_1787702791259[[#This Row],[venta total]]</f>
        <v>0.41666666666666669</v>
      </c>
      <c r="R93" t="str">
        <f>IF(gemini_code_1787702791259[[#This Row],[Dias_Entrega]]&lt;=gemini_code_1787702791259[[#This Row],[Promesa_SLA_Dias]],"A tiempo","Fuera de SLA")</f>
        <v>A tiempo</v>
      </c>
    </row>
    <row r="94" spans="1:18" x14ac:dyDescent="0.25">
      <c r="A94" t="s">
        <v>25</v>
      </c>
      <c r="B94" s="1">
        <v>46235</v>
      </c>
      <c r="C94" t="s">
        <v>26</v>
      </c>
      <c r="D94" t="s">
        <v>27</v>
      </c>
      <c r="E94" t="s">
        <v>16</v>
      </c>
      <c r="F94" t="s">
        <v>28</v>
      </c>
      <c r="G94" t="s">
        <v>29</v>
      </c>
      <c r="H94">
        <v>3</v>
      </c>
      <c r="I94" s="12">
        <v>90</v>
      </c>
      <c r="J94" s="12">
        <v>50</v>
      </c>
      <c r="K94">
        <v>6</v>
      </c>
      <c r="L94">
        <v>4</v>
      </c>
      <c r="M94">
        <v>300</v>
      </c>
      <c r="N94" s="12">
        <f>+gemini_code_1787702791259[[#This Row],[Cantidad]]*gemini_code_1787702791259[[#This Row],[Precio_Unitario_USD]]</f>
        <v>270</v>
      </c>
      <c r="O94" s="12">
        <f>+gemini_code_1787702791259[[#This Row],[Cantidad]]*gemini_code_1787702791259[[#This Row],[Costo_Unitario_USD]]</f>
        <v>150</v>
      </c>
      <c r="P94" s="12">
        <f>+gemini_code_1787702791259[[#This Row],[venta total]]-gemini_code_1787702791259[[#This Row],[Costo total]]</f>
        <v>120</v>
      </c>
      <c r="Q94" s="2">
        <f>gemini_code_1787702791259[[#This Row],[Ganancia bruta]]/gemini_code_1787702791259[[#This Row],[venta total]]</f>
        <v>0.44444444444444442</v>
      </c>
      <c r="R94" t="str">
        <f>IF(gemini_code_1787702791259[[#This Row],[Dias_Entrega]]&lt;=gemini_code_1787702791259[[#This Row],[Promesa_SLA_Dias]],"A tiempo","Fuera de SLA")</f>
        <v>Fuera de SLA</v>
      </c>
    </row>
    <row r="95" spans="1:18" x14ac:dyDescent="0.25">
      <c r="A95" t="s">
        <v>30</v>
      </c>
      <c r="B95" s="1">
        <v>46236</v>
      </c>
      <c r="C95" t="s">
        <v>14</v>
      </c>
      <c r="D95" t="s">
        <v>15</v>
      </c>
      <c r="E95" t="s">
        <v>22</v>
      </c>
      <c r="F95" t="s">
        <v>31</v>
      </c>
      <c r="G95" t="s">
        <v>32</v>
      </c>
      <c r="H95">
        <v>4</v>
      </c>
      <c r="I95" s="12">
        <v>110</v>
      </c>
      <c r="J95" s="12">
        <v>60</v>
      </c>
      <c r="K95">
        <v>1</v>
      </c>
      <c r="L95">
        <v>2</v>
      </c>
      <c r="M95">
        <v>400</v>
      </c>
      <c r="N95" s="12">
        <f>+gemini_code_1787702791259[[#This Row],[Cantidad]]*gemini_code_1787702791259[[#This Row],[Precio_Unitario_USD]]</f>
        <v>440</v>
      </c>
      <c r="O95" s="12">
        <f>+gemini_code_1787702791259[[#This Row],[Cantidad]]*gemini_code_1787702791259[[#This Row],[Costo_Unitario_USD]]</f>
        <v>240</v>
      </c>
      <c r="P95" s="12">
        <f>+gemini_code_1787702791259[[#This Row],[venta total]]-gemini_code_1787702791259[[#This Row],[Costo total]]</f>
        <v>200</v>
      </c>
      <c r="Q95" s="2">
        <f>gemini_code_1787702791259[[#This Row],[Ganancia bruta]]/gemini_code_1787702791259[[#This Row],[venta total]]</f>
        <v>0.45454545454545453</v>
      </c>
      <c r="R95" t="str">
        <f>IF(gemini_code_1787702791259[[#This Row],[Dias_Entrega]]&lt;=gemini_code_1787702791259[[#This Row],[Promesa_SLA_Dias]],"A tiempo","Fuera de SLA")</f>
        <v>A tiempo</v>
      </c>
    </row>
    <row r="96" spans="1:18" x14ac:dyDescent="0.25">
      <c r="A96" t="s">
        <v>33</v>
      </c>
      <c r="B96" s="1">
        <v>46236</v>
      </c>
      <c r="C96" t="s">
        <v>20</v>
      </c>
      <c r="D96" t="s">
        <v>21</v>
      </c>
      <c r="E96" t="s">
        <v>16</v>
      </c>
      <c r="F96" t="s">
        <v>17</v>
      </c>
      <c r="G96" t="s">
        <v>34</v>
      </c>
      <c r="H96">
        <v>3</v>
      </c>
      <c r="I96" s="12">
        <v>650</v>
      </c>
      <c r="J96" s="12">
        <v>450</v>
      </c>
      <c r="K96">
        <v>2</v>
      </c>
      <c r="L96">
        <v>3</v>
      </c>
      <c r="M96">
        <v>1800</v>
      </c>
      <c r="N96" s="12">
        <f>+gemini_code_1787702791259[[#This Row],[Cantidad]]*gemini_code_1787702791259[[#This Row],[Precio_Unitario_USD]]</f>
        <v>1950</v>
      </c>
      <c r="O96" s="12">
        <f>+gemini_code_1787702791259[[#This Row],[Cantidad]]*gemini_code_1787702791259[[#This Row],[Costo_Unitario_USD]]</f>
        <v>1350</v>
      </c>
      <c r="P96" s="12">
        <f>+gemini_code_1787702791259[[#This Row],[venta total]]-gemini_code_1787702791259[[#This Row],[Costo total]]</f>
        <v>600</v>
      </c>
      <c r="Q96" s="2">
        <f>gemini_code_1787702791259[[#This Row],[Ganancia bruta]]/gemini_code_1787702791259[[#This Row],[venta total]]</f>
        <v>0.30769230769230771</v>
      </c>
      <c r="R96" t="str">
        <f>IF(gemini_code_1787702791259[[#This Row],[Dias_Entrega]]&lt;=gemini_code_1787702791259[[#This Row],[Promesa_SLA_Dias]],"A tiempo","Fuera de SLA")</f>
        <v>A tiempo</v>
      </c>
    </row>
    <row r="97" spans="1:18" x14ac:dyDescent="0.25">
      <c r="A97" t="s">
        <v>35</v>
      </c>
      <c r="B97" s="1">
        <v>46236</v>
      </c>
      <c r="C97" t="s">
        <v>26</v>
      </c>
      <c r="D97" t="s">
        <v>27</v>
      </c>
      <c r="E97" t="s">
        <v>16</v>
      </c>
      <c r="F97" t="s">
        <v>23</v>
      </c>
      <c r="G97" t="s">
        <v>36</v>
      </c>
      <c r="H97">
        <v>8</v>
      </c>
      <c r="I97" s="12">
        <v>45</v>
      </c>
      <c r="J97" s="12">
        <v>20</v>
      </c>
      <c r="K97">
        <v>5</v>
      </c>
      <c r="L97">
        <v>3</v>
      </c>
      <c r="M97">
        <v>400</v>
      </c>
      <c r="N97" s="12">
        <f>+gemini_code_1787702791259[[#This Row],[Cantidad]]*gemini_code_1787702791259[[#This Row],[Precio_Unitario_USD]]</f>
        <v>360</v>
      </c>
      <c r="O97" s="12">
        <f>+gemini_code_1787702791259[[#This Row],[Cantidad]]*gemini_code_1787702791259[[#This Row],[Costo_Unitario_USD]]</f>
        <v>160</v>
      </c>
      <c r="P97" s="12">
        <f>+gemini_code_1787702791259[[#This Row],[venta total]]-gemini_code_1787702791259[[#This Row],[Costo total]]</f>
        <v>200</v>
      </c>
      <c r="Q97" s="2">
        <f>gemini_code_1787702791259[[#This Row],[Ganancia bruta]]/gemini_code_1787702791259[[#This Row],[venta total]]</f>
        <v>0.55555555555555558</v>
      </c>
      <c r="R97" t="str">
        <f>IF(gemini_code_1787702791259[[#This Row],[Dias_Entrega]]&lt;=gemini_code_1787702791259[[#This Row],[Promesa_SLA_Dias]],"A tiempo","Fuera de SLA")</f>
        <v>Fuera de SLA</v>
      </c>
    </row>
    <row r="98" spans="1:18" x14ac:dyDescent="0.25">
      <c r="A98" t="s">
        <v>37</v>
      </c>
      <c r="B98" s="1">
        <v>46237</v>
      </c>
      <c r="C98" t="s">
        <v>14</v>
      </c>
      <c r="D98" t="s">
        <v>15</v>
      </c>
      <c r="E98" t="s">
        <v>16</v>
      </c>
      <c r="F98" t="s">
        <v>28</v>
      </c>
      <c r="G98" t="s">
        <v>38</v>
      </c>
      <c r="H98">
        <v>2</v>
      </c>
      <c r="I98" s="12">
        <v>280</v>
      </c>
      <c r="J98" s="12">
        <v>180</v>
      </c>
      <c r="K98">
        <v>3</v>
      </c>
      <c r="L98">
        <v>3</v>
      </c>
      <c r="M98">
        <v>500</v>
      </c>
      <c r="N98" s="12">
        <f>+gemini_code_1787702791259[[#This Row],[Cantidad]]*gemini_code_1787702791259[[#This Row],[Precio_Unitario_USD]]</f>
        <v>560</v>
      </c>
      <c r="O98" s="12">
        <f>+gemini_code_1787702791259[[#This Row],[Cantidad]]*gemini_code_1787702791259[[#This Row],[Costo_Unitario_USD]]</f>
        <v>360</v>
      </c>
      <c r="P98" s="12">
        <f>+gemini_code_1787702791259[[#This Row],[venta total]]-gemini_code_1787702791259[[#This Row],[Costo total]]</f>
        <v>200</v>
      </c>
      <c r="Q98" s="2">
        <f>gemini_code_1787702791259[[#This Row],[Ganancia bruta]]/gemini_code_1787702791259[[#This Row],[venta total]]</f>
        <v>0.35714285714285715</v>
      </c>
      <c r="R98" t="str">
        <f>IF(gemini_code_1787702791259[[#This Row],[Dias_Entrega]]&lt;=gemini_code_1787702791259[[#This Row],[Promesa_SLA_Dias]],"A tiempo","Fuera de SLA")</f>
        <v>A tiempo</v>
      </c>
    </row>
    <row r="99" spans="1:18" x14ac:dyDescent="0.25">
      <c r="A99" t="s">
        <v>39</v>
      </c>
      <c r="B99" s="1">
        <v>46237</v>
      </c>
      <c r="C99" t="s">
        <v>20</v>
      </c>
      <c r="D99" t="s">
        <v>21</v>
      </c>
      <c r="E99" t="s">
        <v>22</v>
      </c>
      <c r="F99" t="s">
        <v>31</v>
      </c>
      <c r="G99" t="s">
        <v>40</v>
      </c>
      <c r="H99">
        <v>3</v>
      </c>
      <c r="I99" s="12">
        <v>150</v>
      </c>
      <c r="J99" s="12">
        <v>85</v>
      </c>
      <c r="K99">
        <v>2</v>
      </c>
      <c r="L99">
        <v>2</v>
      </c>
      <c r="M99">
        <v>400</v>
      </c>
      <c r="N99" s="12">
        <f>+gemini_code_1787702791259[[#This Row],[Cantidad]]*gemini_code_1787702791259[[#This Row],[Precio_Unitario_USD]]</f>
        <v>450</v>
      </c>
      <c r="O99" s="12">
        <f>+gemini_code_1787702791259[[#This Row],[Cantidad]]*gemini_code_1787702791259[[#This Row],[Costo_Unitario_USD]]</f>
        <v>255</v>
      </c>
      <c r="P99" s="12">
        <f>+gemini_code_1787702791259[[#This Row],[venta total]]-gemini_code_1787702791259[[#This Row],[Costo total]]</f>
        <v>195</v>
      </c>
      <c r="Q99" s="2">
        <f>gemini_code_1787702791259[[#This Row],[Ganancia bruta]]/gemini_code_1787702791259[[#This Row],[venta total]]</f>
        <v>0.43333333333333335</v>
      </c>
      <c r="R99" t="str">
        <f>IF(gemini_code_1787702791259[[#This Row],[Dias_Entrega]]&lt;=gemini_code_1787702791259[[#This Row],[Promesa_SLA_Dias]],"A tiempo","Fuera de SLA")</f>
        <v>A tiempo</v>
      </c>
    </row>
    <row r="100" spans="1:18" x14ac:dyDescent="0.25">
      <c r="A100" t="s">
        <v>41</v>
      </c>
      <c r="B100" s="1">
        <v>46237</v>
      </c>
      <c r="C100" t="s">
        <v>26</v>
      </c>
      <c r="D100" t="s">
        <v>27</v>
      </c>
      <c r="E100" t="s">
        <v>16</v>
      </c>
      <c r="F100" t="s">
        <v>17</v>
      </c>
      <c r="G100" t="s">
        <v>42</v>
      </c>
      <c r="H100">
        <v>2</v>
      </c>
      <c r="I100" s="12">
        <v>520</v>
      </c>
      <c r="J100" s="12">
        <v>380</v>
      </c>
      <c r="K100">
        <v>7</v>
      </c>
      <c r="L100">
        <v>4</v>
      </c>
      <c r="M100">
        <v>1000</v>
      </c>
      <c r="N100" s="12">
        <f>+gemini_code_1787702791259[[#This Row],[Cantidad]]*gemini_code_1787702791259[[#This Row],[Precio_Unitario_USD]]</f>
        <v>1040</v>
      </c>
      <c r="O100" s="12">
        <f>+gemini_code_1787702791259[[#This Row],[Cantidad]]*gemini_code_1787702791259[[#This Row],[Costo_Unitario_USD]]</f>
        <v>760</v>
      </c>
      <c r="P100" s="12">
        <f>+gemini_code_1787702791259[[#This Row],[venta total]]-gemini_code_1787702791259[[#This Row],[Costo total]]</f>
        <v>280</v>
      </c>
      <c r="Q100" s="2">
        <f>gemini_code_1787702791259[[#This Row],[Ganancia bruta]]/gemini_code_1787702791259[[#This Row],[venta total]]</f>
        <v>0.26923076923076922</v>
      </c>
      <c r="R100" t="str">
        <f>IF(gemini_code_1787702791259[[#This Row],[Dias_Entrega]]&lt;=gemini_code_1787702791259[[#This Row],[Promesa_SLA_Dias]],"A tiempo","Fuera de SLA")</f>
        <v>Fuera de SLA</v>
      </c>
    </row>
    <row r="101" spans="1:18" x14ac:dyDescent="0.25">
      <c r="A101" t="s">
        <v>43</v>
      </c>
      <c r="B101" s="1">
        <v>46238</v>
      </c>
      <c r="C101" t="s">
        <v>14</v>
      </c>
      <c r="D101" t="s">
        <v>15</v>
      </c>
      <c r="E101" t="s">
        <v>22</v>
      </c>
      <c r="F101" t="s">
        <v>23</v>
      </c>
      <c r="G101" t="s">
        <v>44</v>
      </c>
      <c r="H101">
        <v>6</v>
      </c>
      <c r="I101" s="12">
        <v>55</v>
      </c>
      <c r="J101" s="12">
        <v>25</v>
      </c>
      <c r="K101">
        <v>2</v>
      </c>
      <c r="L101">
        <v>3</v>
      </c>
      <c r="M101">
        <v>300</v>
      </c>
      <c r="N101" s="12">
        <f>+gemini_code_1787702791259[[#This Row],[Cantidad]]*gemini_code_1787702791259[[#This Row],[Precio_Unitario_USD]]</f>
        <v>330</v>
      </c>
      <c r="O101" s="12">
        <f>+gemini_code_1787702791259[[#This Row],[Cantidad]]*gemini_code_1787702791259[[#This Row],[Costo_Unitario_USD]]</f>
        <v>150</v>
      </c>
      <c r="P101" s="12">
        <f>+gemini_code_1787702791259[[#This Row],[venta total]]-gemini_code_1787702791259[[#This Row],[Costo total]]</f>
        <v>180</v>
      </c>
      <c r="Q101" s="2">
        <f>gemini_code_1787702791259[[#This Row],[Ganancia bruta]]/gemini_code_1787702791259[[#This Row],[venta total]]</f>
        <v>0.54545454545454541</v>
      </c>
      <c r="R101" t="str">
        <f>IF(gemini_code_1787702791259[[#This Row],[Dias_Entrega]]&lt;=gemini_code_1787702791259[[#This Row],[Promesa_SLA_Dias]],"A tiempo","Fuera de SLA")</f>
        <v>A tiempo</v>
      </c>
    </row>
    <row r="102" spans="1:18" x14ac:dyDescent="0.25">
      <c r="A102" t="s">
        <v>45</v>
      </c>
      <c r="B102" s="1">
        <v>46238</v>
      </c>
      <c r="C102" t="s">
        <v>20</v>
      </c>
      <c r="D102" t="s">
        <v>21</v>
      </c>
      <c r="E102" t="s">
        <v>16</v>
      </c>
      <c r="F102" t="s">
        <v>28</v>
      </c>
      <c r="G102" t="s">
        <v>46</v>
      </c>
      <c r="H102">
        <v>1</v>
      </c>
      <c r="I102" s="12">
        <v>450</v>
      </c>
      <c r="J102" s="12">
        <v>290</v>
      </c>
      <c r="K102">
        <v>4</v>
      </c>
      <c r="L102">
        <v>3</v>
      </c>
      <c r="M102">
        <v>400</v>
      </c>
      <c r="N102" s="12">
        <f>+gemini_code_1787702791259[[#This Row],[Cantidad]]*gemini_code_1787702791259[[#This Row],[Precio_Unitario_USD]]</f>
        <v>450</v>
      </c>
      <c r="O102" s="12">
        <f>+gemini_code_1787702791259[[#This Row],[Cantidad]]*gemini_code_1787702791259[[#This Row],[Costo_Unitario_USD]]</f>
        <v>290</v>
      </c>
      <c r="P102" s="12">
        <f>+gemini_code_1787702791259[[#This Row],[venta total]]-gemini_code_1787702791259[[#This Row],[Costo total]]</f>
        <v>160</v>
      </c>
      <c r="Q102" s="2">
        <f>gemini_code_1787702791259[[#This Row],[Ganancia bruta]]/gemini_code_1787702791259[[#This Row],[venta total]]</f>
        <v>0.35555555555555557</v>
      </c>
      <c r="R102" t="str">
        <f>IF(gemini_code_1787702791259[[#This Row],[Dias_Entrega]]&lt;=gemini_code_1787702791259[[#This Row],[Promesa_SLA_Dias]],"A tiempo","Fuera de SLA")</f>
        <v>Fuera de SLA</v>
      </c>
    </row>
    <row r="103" spans="1:18" x14ac:dyDescent="0.25">
      <c r="A103" t="s">
        <v>47</v>
      </c>
      <c r="B103" s="1">
        <v>46238</v>
      </c>
      <c r="C103" t="s">
        <v>26</v>
      </c>
      <c r="D103" t="s">
        <v>27</v>
      </c>
      <c r="E103" t="s">
        <v>22</v>
      </c>
      <c r="F103" t="s">
        <v>31</v>
      </c>
      <c r="G103" t="s">
        <v>48</v>
      </c>
      <c r="H103">
        <v>10</v>
      </c>
      <c r="I103" s="12">
        <v>35</v>
      </c>
      <c r="J103" s="12">
        <v>15</v>
      </c>
      <c r="K103">
        <v>4</v>
      </c>
      <c r="L103">
        <v>3</v>
      </c>
      <c r="M103">
        <v>300</v>
      </c>
      <c r="N103" s="12">
        <f>+gemini_code_1787702791259[[#This Row],[Cantidad]]*gemini_code_1787702791259[[#This Row],[Precio_Unitario_USD]]</f>
        <v>350</v>
      </c>
      <c r="O103" s="12">
        <f>+gemini_code_1787702791259[[#This Row],[Cantidad]]*gemini_code_1787702791259[[#This Row],[Costo_Unitario_USD]]</f>
        <v>150</v>
      </c>
      <c r="P103" s="12">
        <f>+gemini_code_1787702791259[[#This Row],[venta total]]-gemini_code_1787702791259[[#This Row],[Costo total]]</f>
        <v>200</v>
      </c>
      <c r="Q103" s="2">
        <f>gemini_code_1787702791259[[#This Row],[Ganancia bruta]]/gemini_code_1787702791259[[#This Row],[venta total]]</f>
        <v>0.5714285714285714</v>
      </c>
      <c r="R103" t="str">
        <f>IF(gemini_code_1787702791259[[#This Row],[Dias_Entrega]]&lt;=gemini_code_1787702791259[[#This Row],[Promesa_SLA_Dias]],"A tiempo","Fuera de SLA")</f>
        <v>Fuera de SLA</v>
      </c>
    </row>
    <row r="104" spans="1:18" x14ac:dyDescent="0.25">
      <c r="A104" t="s">
        <v>49</v>
      </c>
      <c r="B104" s="1">
        <v>46239</v>
      </c>
      <c r="C104" t="s">
        <v>14</v>
      </c>
      <c r="D104" t="s">
        <v>15</v>
      </c>
      <c r="E104" t="s">
        <v>16</v>
      </c>
      <c r="F104" t="s">
        <v>17</v>
      </c>
      <c r="G104" t="s">
        <v>50</v>
      </c>
      <c r="H104">
        <v>4</v>
      </c>
      <c r="I104" s="12">
        <v>220</v>
      </c>
      <c r="J104" s="12">
        <v>140</v>
      </c>
      <c r="K104">
        <v>2</v>
      </c>
      <c r="L104">
        <v>3</v>
      </c>
      <c r="M104">
        <v>800</v>
      </c>
      <c r="N104" s="12">
        <f>+gemini_code_1787702791259[[#This Row],[Cantidad]]*gemini_code_1787702791259[[#This Row],[Precio_Unitario_USD]]</f>
        <v>880</v>
      </c>
      <c r="O104" s="12">
        <f>+gemini_code_1787702791259[[#This Row],[Cantidad]]*gemini_code_1787702791259[[#This Row],[Costo_Unitario_USD]]</f>
        <v>560</v>
      </c>
      <c r="P104" s="12">
        <f>+gemini_code_1787702791259[[#This Row],[venta total]]-gemini_code_1787702791259[[#This Row],[Costo total]]</f>
        <v>320</v>
      </c>
      <c r="Q104" s="2">
        <f>gemini_code_1787702791259[[#This Row],[Ganancia bruta]]/gemini_code_1787702791259[[#This Row],[venta total]]</f>
        <v>0.36363636363636365</v>
      </c>
      <c r="R104" t="str">
        <f>IF(gemini_code_1787702791259[[#This Row],[Dias_Entrega]]&lt;=gemini_code_1787702791259[[#This Row],[Promesa_SLA_Dias]],"A tiempo","Fuera de SLA")</f>
        <v>A tiempo</v>
      </c>
    </row>
    <row r="105" spans="1:18" x14ac:dyDescent="0.25">
      <c r="A105" t="s">
        <v>51</v>
      </c>
      <c r="B105" s="1">
        <v>46239</v>
      </c>
      <c r="C105" t="s">
        <v>20</v>
      </c>
      <c r="D105" t="s">
        <v>21</v>
      </c>
      <c r="E105" t="s">
        <v>16</v>
      </c>
      <c r="F105" t="s">
        <v>23</v>
      </c>
      <c r="G105" t="s">
        <v>52</v>
      </c>
      <c r="H105">
        <v>5</v>
      </c>
      <c r="I105" s="12">
        <v>65</v>
      </c>
      <c r="J105" s="12">
        <v>30</v>
      </c>
      <c r="K105">
        <v>2</v>
      </c>
      <c r="L105">
        <v>3</v>
      </c>
      <c r="M105">
        <v>300</v>
      </c>
      <c r="N105" s="12">
        <f>+gemini_code_1787702791259[[#This Row],[Cantidad]]*gemini_code_1787702791259[[#This Row],[Precio_Unitario_USD]]</f>
        <v>325</v>
      </c>
      <c r="O105" s="12">
        <f>+gemini_code_1787702791259[[#This Row],[Cantidad]]*gemini_code_1787702791259[[#This Row],[Costo_Unitario_USD]]</f>
        <v>150</v>
      </c>
      <c r="P105" s="12">
        <f>+gemini_code_1787702791259[[#This Row],[venta total]]-gemini_code_1787702791259[[#This Row],[Costo total]]</f>
        <v>175</v>
      </c>
      <c r="Q105" s="2">
        <f>gemini_code_1787702791259[[#This Row],[Ganancia bruta]]/gemini_code_1787702791259[[#This Row],[venta total]]</f>
        <v>0.53846153846153844</v>
      </c>
      <c r="R105" t="str">
        <f>IF(gemini_code_1787702791259[[#This Row],[Dias_Entrega]]&lt;=gemini_code_1787702791259[[#This Row],[Promesa_SLA_Dias]],"A tiempo","Fuera de SLA")</f>
        <v>A tiempo</v>
      </c>
    </row>
    <row r="106" spans="1:18" x14ac:dyDescent="0.25">
      <c r="A106" t="s">
        <v>53</v>
      </c>
      <c r="B106" s="1">
        <v>46239</v>
      </c>
      <c r="C106" t="s">
        <v>26</v>
      </c>
      <c r="D106" t="s">
        <v>27</v>
      </c>
      <c r="E106" t="s">
        <v>16</v>
      </c>
      <c r="F106" t="s">
        <v>28</v>
      </c>
      <c r="G106" t="s">
        <v>54</v>
      </c>
      <c r="H106">
        <v>2</v>
      </c>
      <c r="I106" s="12">
        <v>180</v>
      </c>
      <c r="J106" s="12">
        <v>110</v>
      </c>
      <c r="K106">
        <v>6</v>
      </c>
      <c r="L106">
        <v>3</v>
      </c>
      <c r="M106">
        <v>350</v>
      </c>
      <c r="N106" s="12">
        <f>+gemini_code_1787702791259[[#This Row],[Cantidad]]*gemini_code_1787702791259[[#This Row],[Precio_Unitario_USD]]</f>
        <v>360</v>
      </c>
      <c r="O106" s="12">
        <f>+gemini_code_1787702791259[[#This Row],[Cantidad]]*gemini_code_1787702791259[[#This Row],[Costo_Unitario_USD]]</f>
        <v>220</v>
      </c>
      <c r="P106" s="12">
        <f>+gemini_code_1787702791259[[#This Row],[venta total]]-gemini_code_1787702791259[[#This Row],[Costo total]]</f>
        <v>140</v>
      </c>
      <c r="Q106" s="2">
        <f>gemini_code_1787702791259[[#This Row],[Ganancia bruta]]/gemini_code_1787702791259[[#This Row],[venta total]]</f>
        <v>0.3888888888888889</v>
      </c>
      <c r="R106" t="str">
        <f>IF(gemini_code_1787702791259[[#This Row],[Dias_Entrega]]&lt;=gemini_code_1787702791259[[#This Row],[Promesa_SLA_Dias]],"A tiempo","Fuera de SLA")</f>
        <v>Fuera de SLA</v>
      </c>
    </row>
    <row r="107" spans="1:18" x14ac:dyDescent="0.25">
      <c r="A107" t="s">
        <v>55</v>
      </c>
      <c r="B107" s="1">
        <v>46240</v>
      </c>
      <c r="C107" t="s">
        <v>14</v>
      </c>
      <c r="D107" t="s">
        <v>15</v>
      </c>
      <c r="E107" t="s">
        <v>22</v>
      </c>
      <c r="F107" t="s">
        <v>31</v>
      </c>
      <c r="G107" t="s">
        <v>56</v>
      </c>
      <c r="H107">
        <v>6</v>
      </c>
      <c r="I107" s="12">
        <v>85</v>
      </c>
      <c r="J107" s="12">
        <v>45</v>
      </c>
      <c r="K107">
        <v>1</v>
      </c>
      <c r="L107">
        <v>2</v>
      </c>
      <c r="M107">
        <v>500</v>
      </c>
      <c r="N107" s="12">
        <f>+gemini_code_1787702791259[[#This Row],[Cantidad]]*gemini_code_1787702791259[[#This Row],[Precio_Unitario_USD]]</f>
        <v>510</v>
      </c>
      <c r="O107" s="12">
        <f>+gemini_code_1787702791259[[#This Row],[Cantidad]]*gemini_code_1787702791259[[#This Row],[Costo_Unitario_USD]]</f>
        <v>270</v>
      </c>
      <c r="P107" s="12">
        <f>+gemini_code_1787702791259[[#This Row],[venta total]]-gemini_code_1787702791259[[#This Row],[Costo total]]</f>
        <v>240</v>
      </c>
      <c r="Q107" s="2">
        <f>gemini_code_1787702791259[[#This Row],[Ganancia bruta]]/gemini_code_1787702791259[[#This Row],[venta total]]</f>
        <v>0.47058823529411764</v>
      </c>
      <c r="R107" t="str">
        <f>IF(gemini_code_1787702791259[[#This Row],[Dias_Entrega]]&lt;=gemini_code_1787702791259[[#This Row],[Promesa_SLA_Dias]],"A tiempo","Fuera de SLA")</f>
        <v>A tiempo</v>
      </c>
    </row>
    <row r="108" spans="1:18" x14ac:dyDescent="0.25">
      <c r="A108" t="s">
        <v>57</v>
      </c>
      <c r="B108" s="1">
        <v>46240</v>
      </c>
      <c r="C108" t="s">
        <v>20</v>
      </c>
      <c r="D108" t="s">
        <v>21</v>
      </c>
      <c r="E108" t="s">
        <v>16</v>
      </c>
      <c r="F108" t="s">
        <v>17</v>
      </c>
      <c r="G108" t="s">
        <v>58</v>
      </c>
      <c r="H108">
        <v>12</v>
      </c>
      <c r="I108" s="12">
        <v>75</v>
      </c>
      <c r="J108" s="12">
        <v>35</v>
      </c>
      <c r="K108">
        <v>1</v>
      </c>
      <c r="L108">
        <v>2</v>
      </c>
      <c r="M108">
        <v>800</v>
      </c>
      <c r="N108" s="12">
        <f>+gemini_code_1787702791259[[#This Row],[Cantidad]]*gemini_code_1787702791259[[#This Row],[Precio_Unitario_USD]]</f>
        <v>900</v>
      </c>
      <c r="O108" s="12">
        <f>+gemini_code_1787702791259[[#This Row],[Cantidad]]*gemini_code_1787702791259[[#This Row],[Costo_Unitario_USD]]</f>
        <v>420</v>
      </c>
      <c r="P108" s="12">
        <f>+gemini_code_1787702791259[[#This Row],[venta total]]-gemini_code_1787702791259[[#This Row],[Costo total]]</f>
        <v>480</v>
      </c>
      <c r="Q108" s="2">
        <f>gemini_code_1787702791259[[#This Row],[Ganancia bruta]]/gemini_code_1787702791259[[#This Row],[venta total]]</f>
        <v>0.53333333333333333</v>
      </c>
      <c r="R108" t="str">
        <f>IF(gemini_code_1787702791259[[#This Row],[Dias_Entrega]]&lt;=gemini_code_1787702791259[[#This Row],[Promesa_SLA_Dias]],"A tiempo","Fuera de SLA")</f>
        <v>A tiempo</v>
      </c>
    </row>
    <row r="109" spans="1:18" x14ac:dyDescent="0.25">
      <c r="A109" t="s">
        <v>59</v>
      </c>
      <c r="B109" s="1">
        <v>46240</v>
      </c>
      <c r="C109" t="s">
        <v>26</v>
      </c>
      <c r="D109" t="s">
        <v>27</v>
      </c>
      <c r="E109" t="s">
        <v>22</v>
      </c>
      <c r="F109" t="s">
        <v>23</v>
      </c>
      <c r="G109" t="s">
        <v>60</v>
      </c>
      <c r="H109">
        <v>4</v>
      </c>
      <c r="I109" s="12">
        <v>110</v>
      </c>
      <c r="J109" s="12">
        <v>55</v>
      </c>
      <c r="K109">
        <v>5</v>
      </c>
      <c r="L109">
        <v>3</v>
      </c>
      <c r="M109">
        <v>400</v>
      </c>
      <c r="N109" s="12">
        <f>+gemini_code_1787702791259[[#This Row],[Cantidad]]*gemini_code_1787702791259[[#This Row],[Precio_Unitario_USD]]</f>
        <v>440</v>
      </c>
      <c r="O109" s="12">
        <f>+gemini_code_1787702791259[[#This Row],[Cantidad]]*gemini_code_1787702791259[[#This Row],[Costo_Unitario_USD]]</f>
        <v>220</v>
      </c>
      <c r="P109" s="12">
        <f>+gemini_code_1787702791259[[#This Row],[venta total]]-gemini_code_1787702791259[[#This Row],[Costo total]]</f>
        <v>220</v>
      </c>
      <c r="Q109" s="2">
        <f>gemini_code_1787702791259[[#This Row],[Ganancia bruta]]/gemini_code_1787702791259[[#This Row],[venta total]]</f>
        <v>0.5</v>
      </c>
      <c r="R109" t="str">
        <f>IF(gemini_code_1787702791259[[#This Row],[Dias_Entrega]]&lt;=gemini_code_1787702791259[[#This Row],[Promesa_SLA_Dias]],"A tiempo","Fuera de SLA")</f>
        <v>Fuera de SLA</v>
      </c>
    </row>
    <row r="110" spans="1:18" x14ac:dyDescent="0.25">
      <c r="A110" t="s">
        <v>61</v>
      </c>
      <c r="B110" s="1">
        <v>46241</v>
      </c>
      <c r="C110" t="s">
        <v>14</v>
      </c>
      <c r="D110" t="s">
        <v>15</v>
      </c>
      <c r="E110" t="s">
        <v>16</v>
      </c>
      <c r="F110" t="s">
        <v>28</v>
      </c>
      <c r="G110" t="s">
        <v>62</v>
      </c>
      <c r="H110">
        <v>15</v>
      </c>
      <c r="I110" s="12">
        <v>25</v>
      </c>
      <c r="J110" s="12">
        <v>10</v>
      </c>
      <c r="K110">
        <v>2</v>
      </c>
      <c r="L110">
        <v>3</v>
      </c>
      <c r="M110">
        <v>300</v>
      </c>
      <c r="N110" s="12">
        <f>+gemini_code_1787702791259[[#This Row],[Cantidad]]*gemini_code_1787702791259[[#This Row],[Precio_Unitario_USD]]</f>
        <v>375</v>
      </c>
      <c r="O110" s="12">
        <f>+gemini_code_1787702791259[[#This Row],[Cantidad]]*gemini_code_1787702791259[[#This Row],[Costo_Unitario_USD]]</f>
        <v>150</v>
      </c>
      <c r="P110" s="12">
        <f>+gemini_code_1787702791259[[#This Row],[venta total]]-gemini_code_1787702791259[[#This Row],[Costo total]]</f>
        <v>225</v>
      </c>
      <c r="Q110" s="2">
        <f>gemini_code_1787702791259[[#This Row],[Ganancia bruta]]/gemini_code_1787702791259[[#This Row],[venta total]]</f>
        <v>0.6</v>
      </c>
      <c r="R110" t="str">
        <f>IF(gemini_code_1787702791259[[#This Row],[Dias_Entrega]]&lt;=gemini_code_1787702791259[[#This Row],[Promesa_SLA_Dias]],"A tiempo","Fuera de SLA")</f>
        <v>A tiempo</v>
      </c>
    </row>
    <row r="111" spans="1:18" x14ac:dyDescent="0.25">
      <c r="A111" t="s">
        <v>63</v>
      </c>
      <c r="B111" s="1">
        <v>46241</v>
      </c>
      <c r="C111" t="s">
        <v>20</v>
      </c>
      <c r="D111" t="s">
        <v>21</v>
      </c>
      <c r="E111" t="s">
        <v>22</v>
      </c>
      <c r="F111" t="s">
        <v>31</v>
      </c>
      <c r="G111" t="s">
        <v>64</v>
      </c>
      <c r="H111">
        <v>5</v>
      </c>
      <c r="I111" s="12">
        <v>130</v>
      </c>
      <c r="J111" s="12">
        <v>70</v>
      </c>
      <c r="K111">
        <v>3</v>
      </c>
      <c r="L111">
        <v>3</v>
      </c>
      <c r="M111">
        <v>600</v>
      </c>
      <c r="N111" s="12">
        <f>+gemini_code_1787702791259[[#This Row],[Cantidad]]*gemini_code_1787702791259[[#This Row],[Precio_Unitario_USD]]</f>
        <v>650</v>
      </c>
      <c r="O111" s="12">
        <f>+gemini_code_1787702791259[[#This Row],[Cantidad]]*gemini_code_1787702791259[[#This Row],[Costo_Unitario_USD]]</f>
        <v>350</v>
      </c>
      <c r="P111" s="12">
        <f>+gemini_code_1787702791259[[#This Row],[venta total]]-gemini_code_1787702791259[[#This Row],[Costo total]]</f>
        <v>300</v>
      </c>
      <c r="Q111" s="2">
        <f>gemini_code_1787702791259[[#This Row],[Ganancia bruta]]/gemini_code_1787702791259[[#This Row],[venta total]]</f>
        <v>0.46153846153846156</v>
      </c>
      <c r="R111" t="str">
        <f>IF(gemini_code_1787702791259[[#This Row],[Dias_Entrega]]&lt;=gemini_code_1787702791259[[#This Row],[Promesa_SLA_Dias]],"A tiempo","Fuera de SLA")</f>
        <v>A tiempo</v>
      </c>
    </row>
    <row r="112" spans="1:18" x14ac:dyDescent="0.25">
      <c r="A112" t="s">
        <v>65</v>
      </c>
      <c r="B112" s="1">
        <v>46241</v>
      </c>
      <c r="C112" t="s">
        <v>26</v>
      </c>
      <c r="D112" t="s">
        <v>27</v>
      </c>
      <c r="E112" t="s">
        <v>16</v>
      </c>
      <c r="F112" t="s">
        <v>17</v>
      </c>
      <c r="G112" t="s">
        <v>66</v>
      </c>
      <c r="H112">
        <v>2</v>
      </c>
      <c r="I112" s="12">
        <v>500</v>
      </c>
      <c r="J112" s="12">
        <v>380</v>
      </c>
      <c r="K112">
        <v>6</v>
      </c>
      <c r="L112">
        <v>4</v>
      </c>
      <c r="M112">
        <v>900</v>
      </c>
      <c r="N112" s="12">
        <f>+gemini_code_1787702791259[[#This Row],[Cantidad]]*gemini_code_1787702791259[[#This Row],[Precio_Unitario_USD]]</f>
        <v>1000</v>
      </c>
      <c r="O112" s="12">
        <f>+gemini_code_1787702791259[[#This Row],[Cantidad]]*gemini_code_1787702791259[[#This Row],[Costo_Unitario_USD]]</f>
        <v>760</v>
      </c>
      <c r="P112" s="12">
        <f>+gemini_code_1787702791259[[#This Row],[venta total]]-gemini_code_1787702791259[[#This Row],[Costo total]]</f>
        <v>240</v>
      </c>
      <c r="Q112" s="2">
        <f>gemini_code_1787702791259[[#This Row],[Ganancia bruta]]/gemini_code_1787702791259[[#This Row],[venta total]]</f>
        <v>0.24</v>
      </c>
      <c r="R112" t="str">
        <f>IF(gemini_code_1787702791259[[#This Row],[Dias_Entrega]]&lt;=gemini_code_1787702791259[[#This Row],[Promesa_SLA_Dias]],"A tiempo","Fuera de SLA")</f>
        <v>Fuera de SLA</v>
      </c>
    </row>
    <row r="113" spans="1:18" x14ac:dyDescent="0.25">
      <c r="A113" t="s">
        <v>67</v>
      </c>
      <c r="B113" s="1">
        <v>46242</v>
      </c>
      <c r="C113" t="s">
        <v>14</v>
      </c>
      <c r="D113" t="s">
        <v>15</v>
      </c>
      <c r="E113" t="s">
        <v>16</v>
      </c>
      <c r="F113" t="s">
        <v>23</v>
      </c>
      <c r="G113" t="s">
        <v>68</v>
      </c>
      <c r="H113">
        <v>3</v>
      </c>
      <c r="I113" s="12">
        <v>95</v>
      </c>
      <c r="J113" s="12">
        <v>45</v>
      </c>
      <c r="K113">
        <v>2</v>
      </c>
      <c r="L113">
        <v>3</v>
      </c>
      <c r="M113">
        <v>300</v>
      </c>
      <c r="N113" s="12">
        <f>+gemini_code_1787702791259[[#This Row],[Cantidad]]*gemini_code_1787702791259[[#This Row],[Precio_Unitario_USD]]</f>
        <v>285</v>
      </c>
      <c r="O113" s="12">
        <f>+gemini_code_1787702791259[[#This Row],[Cantidad]]*gemini_code_1787702791259[[#This Row],[Costo_Unitario_USD]]</f>
        <v>135</v>
      </c>
      <c r="P113" s="12">
        <f>+gemini_code_1787702791259[[#This Row],[venta total]]-gemini_code_1787702791259[[#This Row],[Costo total]]</f>
        <v>150</v>
      </c>
      <c r="Q113" s="2">
        <f>gemini_code_1787702791259[[#This Row],[Ganancia bruta]]/gemini_code_1787702791259[[#This Row],[venta total]]</f>
        <v>0.52631578947368418</v>
      </c>
      <c r="R113" t="str">
        <f>IF(gemini_code_1787702791259[[#This Row],[Dias_Entrega]]&lt;=gemini_code_1787702791259[[#This Row],[Promesa_SLA_Dias]],"A tiempo","Fuera de SLA")</f>
        <v>A tiempo</v>
      </c>
    </row>
    <row r="114" spans="1:18" x14ac:dyDescent="0.25">
      <c r="A114" t="s">
        <v>69</v>
      </c>
      <c r="B114" s="1">
        <v>46242</v>
      </c>
      <c r="C114" t="s">
        <v>20</v>
      </c>
      <c r="D114" t="s">
        <v>21</v>
      </c>
      <c r="E114" t="s">
        <v>16</v>
      </c>
      <c r="F114" t="s">
        <v>28</v>
      </c>
      <c r="G114" t="s">
        <v>70</v>
      </c>
      <c r="H114">
        <v>4</v>
      </c>
      <c r="I114" s="12">
        <v>160</v>
      </c>
      <c r="J114" s="12">
        <v>95</v>
      </c>
      <c r="K114">
        <v>2</v>
      </c>
      <c r="L114">
        <v>3</v>
      </c>
      <c r="M114">
        <v>600</v>
      </c>
      <c r="N114" s="12">
        <f>+gemini_code_1787702791259[[#This Row],[Cantidad]]*gemini_code_1787702791259[[#This Row],[Precio_Unitario_USD]]</f>
        <v>640</v>
      </c>
      <c r="O114" s="12">
        <f>+gemini_code_1787702791259[[#This Row],[Cantidad]]*gemini_code_1787702791259[[#This Row],[Costo_Unitario_USD]]</f>
        <v>380</v>
      </c>
      <c r="P114" s="12">
        <f>+gemini_code_1787702791259[[#This Row],[venta total]]-gemini_code_1787702791259[[#This Row],[Costo total]]</f>
        <v>260</v>
      </c>
      <c r="Q114" s="2">
        <f>gemini_code_1787702791259[[#This Row],[Ganancia bruta]]/gemini_code_1787702791259[[#This Row],[venta total]]</f>
        <v>0.40625</v>
      </c>
      <c r="R114" t="str">
        <f>IF(gemini_code_1787702791259[[#This Row],[Dias_Entrega]]&lt;=gemini_code_1787702791259[[#This Row],[Promesa_SLA_Dias]],"A tiempo","Fuera de SLA")</f>
        <v>A tiempo</v>
      </c>
    </row>
    <row r="115" spans="1:18" x14ac:dyDescent="0.25">
      <c r="A115" t="s">
        <v>71</v>
      </c>
      <c r="B115" s="1">
        <v>46242</v>
      </c>
      <c r="C115" t="s">
        <v>26</v>
      </c>
      <c r="D115" t="s">
        <v>27</v>
      </c>
      <c r="E115" t="s">
        <v>22</v>
      </c>
      <c r="F115" t="s">
        <v>31</v>
      </c>
      <c r="G115" t="s">
        <v>72</v>
      </c>
      <c r="H115">
        <v>7</v>
      </c>
      <c r="I115" s="12">
        <v>90</v>
      </c>
      <c r="J115" s="12">
        <v>45</v>
      </c>
      <c r="K115">
        <v>4</v>
      </c>
      <c r="L115">
        <v>3</v>
      </c>
      <c r="M115">
        <v>600</v>
      </c>
      <c r="N115" s="12">
        <f>+gemini_code_1787702791259[[#This Row],[Cantidad]]*gemini_code_1787702791259[[#This Row],[Precio_Unitario_USD]]</f>
        <v>630</v>
      </c>
      <c r="O115" s="12">
        <f>+gemini_code_1787702791259[[#This Row],[Cantidad]]*gemini_code_1787702791259[[#This Row],[Costo_Unitario_USD]]</f>
        <v>315</v>
      </c>
      <c r="P115" s="12">
        <f>+gemini_code_1787702791259[[#This Row],[venta total]]-gemini_code_1787702791259[[#This Row],[Costo total]]</f>
        <v>315</v>
      </c>
      <c r="Q115" s="2">
        <f>gemini_code_1787702791259[[#This Row],[Ganancia bruta]]/gemini_code_1787702791259[[#This Row],[venta total]]</f>
        <v>0.5</v>
      </c>
      <c r="R115" t="str">
        <f>IF(gemini_code_1787702791259[[#This Row],[Dias_Entrega]]&lt;=gemini_code_1787702791259[[#This Row],[Promesa_SLA_Dias]],"A tiempo","Fuera de SLA")</f>
        <v>Fuera de SLA</v>
      </c>
    </row>
    <row r="116" spans="1:18" x14ac:dyDescent="0.25">
      <c r="A116" t="s">
        <v>73</v>
      </c>
      <c r="B116" s="1">
        <v>46243</v>
      </c>
      <c r="C116" t="s">
        <v>14</v>
      </c>
      <c r="D116" t="s">
        <v>15</v>
      </c>
      <c r="E116" t="s">
        <v>22</v>
      </c>
      <c r="F116" t="s">
        <v>17</v>
      </c>
      <c r="G116" t="s">
        <v>74</v>
      </c>
      <c r="H116">
        <v>3</v>
      </c>
      <c r="I116" s="12">
        <v>310</v>
      </c>
      <c r="J116" s="12">
        <v>210</v>
      </c>
      <c r="K116">
        <v>2</v>
      </c>
      <c r="L116">
        <v>3</v>
      </c>
      <c r="M116">
        <v>900</v>
      </c>
      <c r="N116" s="12">
        <f>+gemini_code_1787702791259[[#This Row],[Cantidad]]*gemini_code_1787702791259[[#This Row],[Precio_Unitario_USD]]</f>
        <v>930</v>
      </c>
      <c r="O116" s="12">
        <f>+gemini_code_1787702791259[[#This Row],[Cantidad]]*gemini_code_1787702791259[[#This Row],[Costo_Unitario_USD]]</f>
        <v>630</v>
      </c>
      <c r="P116" s="12">
        <f>+gemini_code_1787702791259[[#This Row],[venta total]]-gemini_code_1787702791259[[#This Row],[Costo total]]</f>
        <v>300</v>
      </c>
      <c r="Q116" s="2">
        <f>gemini_code_1787702791259[[#This Row],[Ganancia bruta]]/gemini_code_1787702791259[[#This Row],[venta total]]</f>
        <v>0.32258064516129031</v>
      </c>
      <c r="R116" t="str">
        <f>IF(gemini_code_1787702791259[[#This Row],[Dias_Entrega]]&lt;=gemini_code_1787702791259[[#This Row],[Promesa_SLA_Dias]],"A tiempo","Fuera de SLA")</f>
        <v>A tiempo</v>
      </c>
    </row>
    <row r="117" spans="1:18" x14ac:dyDescent="0.25">
      <c r="A117" t="s">
        <v>75</v>
      </c>
      <c r="B117" s="1">
        <v>46243</v>
      </c>
      <c r="C117" t="s">
        <v>20</v>
      </c>
      <c r="D117" t="s">
        <v>21</v>
      </c>
      <c r="E117" t="s">
        <v>16</v>
      </c>
      <c r="F117" t="s">
        <v>23</v>
      </c>
      <c r="G117" t="s">
        <v>76</v>
      </c>
      <c r="H117">
        <v>8</v>
      </c>
      <c r="I117" s="12">
        <v>50</v>
      </c>
      <c r="J117" s="12">
        <v>22</v>
      </c>
      <c r="K117">
        <v>2</v>
      </c>
      <c r="L117">
        <v>3</v>
      </c>
      <c r="M117">
        <v>400</v>
      </c>
      <c r="N117" s="12">
        <f>+gemini_code_1787702791259[[#This Row],[Cantidad]]*gemini_code_1787702791259[[#This Row],[Precio_Unitario_USD]]</f>
        <v>400</v>
      </c>
      <c r="O117" s="12">
        <f>+gemini_code_1787702791259[[#This Row],[Cantidad]]*gemini_code_1787702791259[[#This Row],[Costo_Unitario_USD]]</f>
        <v>176</v>
      </c>
      <c r="P117" s="12">
        <f>+gemini_code_1787702791259[[#This Row],[venta total]]-gemini_code_1787702791259[[#This Row],[Costo total]]</f>
        <v>224</v>
      </c>
      <c r="Q117" s="2">
        <f>gemini_code_1787702791259[[#This Row],[Ganancia bruta]]/gemini_code_1787702791259[[#This Row],[venta total]]</f>
        <v>0.56000000000000005</v>
      </c>
      <c r="R117" t="str">
        <f>IF(gemini_code_1787702791259[[#This Row],[Dias_Entrega]]&lt;=gemini_code_1787702791259[[#This Row],[Promesa_SLA_Dias]],"A tiempo","Fuera de SLA")</f>
        <v>A tiempo</v>
      </c>
    </row>
    <row r="118" spans="1:18" x14ac:dyDescent="0.25">
      <c r="A118" t="s">
        <v>77</v>
      </c>
      <c r="B118" s="1">
        <v>46243</v>
      </c>
      <c r="C118" t="s">
        <v>26</v>
      </c>
      <c r="D118" t="s">
        <v>27</v>
      </c>
      <c r="E118" t="s">
        <v>16</v>
      </c>
      <c r="F118" t="s">
        <v>28</v>
      </c>
      <c r="G118" t="s">
        <v>78</v>
      </c>
      <c r="H118">
        <v>1</v>
      </c>
      <c r="I118" s="12">
        <v>750</v>
      </c>
      <c r="J118" s="12">
        <v>480</v>
      </c>
      <c r="K118">
        <v>8</v>
      </c>
      <c r="L118">
        <v>4</v>
      </c>
      <c r="M118">
        <v>700</v>
      </c>
      <c r="N118" s="12">
        <f>+gemini_code_1787702791259[[#This Row],[Cantidad]]*gemini_code_1787702791259[[#This Row],[Precio_Unitario_USD]]</f>
        <v>750</v>
      </c>
      <c r="O118" s="12">
        <f>+gemini_code_1787702791259[[#This Row],[Cantidad]]*gemini_code_1787702791259[[#This Row],[Costo_Unitario_USD]]</f>
        <v>480</v>
      </c>
      <c r="P118" s="12">
        <f>+gemini_code_1787702791259[[#This Row],[venta total]]-gemini_code_1787702791259[[#This Row],[Costo total]]</f>
        <v>270</v>
      </c>
      <c r="Q118" s="2">
        <f>gemini_code_1787702791259[[#This Row],[Ganancia bruta]]/gemini_code_1787702791259[[#This Row],[venta total]]</f>
        <v>0.36</v>
      </c>
      <c r="R118" t="str">
        <f>IF(gemini_code_1787702791259[[#This Row],[Dias_Entrega]]&lt;=gemini_code_1787702791259[[#This Row],[Promesa_SLA_Dias]],"A tiempo","Fuera de SLA")</f>
        <v>Fuera de SLA</v>
      </c>
    </row>
    <row r="119" spans="1:18" x14ac:dyDescent="0.25">
      <c r="A119" t="s">
        <v>79</v>
      </c>
      <c r="B119" s="1">
        <v>46244</v>
      </c>
      <c r="C119" t="s">
        <v>14</v>
      </c>
      <c r="D119" t="s">
        <v>15</v>
      </c>
      <c r="E119" t="s">
        <v>16</v>
      </c>
      <c r="F119" t="s">
        <v>31</v>
      </c>
      <c r="G119" t="s">
        <v>80</v>
      </c>
      <c r="H119">
        <v>4</v>
      </c>
      <c r="I119" s="12">
        <v>140</v>
      </c>
      <c r="J119" s="12">
        <v>75</v>
      </c>
      <c r="K119">
        <v>3</v>
      </c>
      <c r="L119">
        <v>3</v>
      </c>
      <c r="M119">
        <v>500</v>
      </c>
      <c r="N119" s="12">
        <f>+gemini_code_1787702791259[[#This Row],[Cantidad]]*gemini_code_1787702791259[[#This Row],[Precio_Unitario_USD]]</f>
        <v>560</v>
      </c>
      <c r="O119" s="12">
        <f>+gemini_code_1787702791259[[#This Row],[Cantidad]]*gemini_code_1787702791259[[#This Row],[Costo_Unitario_USD]]</f>
        <v>300</v>
      </c>
      <c r="P119" s="12">
        <f>+gemini_code_1787702791259[[#This Row],[venta total]]-gemini_code_1787702791259[[#This Row],[Costo total]]</f>
        <v>260</v>
      </c>
      <c r="Q119" s="2">
        <f>gemini_code_1787702791259[[#This Row],[Ganancia bruta]]/gemini_code_1787702791259[[#This Row],[venta total]]</f>
        <v>0.4642857142857143</v>
      </c>
      <c r="R119" t="str">
        <f>IF(gemini_code_1787702791259[[#This Row],[Dias_Entrega]]&lt;=gemini_code_1787702791259[[#This Row],[Promesa_SLA_Dias]],"A tiempo","Fuera de SLA")</f>
        <v>A tiempo</v>
      </c>
    </row>
    <row r="120" spans="1:18" x14ac:dyDescent="0.25">
      <c r="A120" t="s">
        <v>81</v>
      </c>
      <c r="B120" s="1">
        <v>46244</v>
      </c>
      <c r="C120" t="s">
        <v>20</v>
      </c>
      <c r="D120" t="s">
        <v>21</v>
      </c>
      <c r="E120" t="s">
        <v>22</v>
      </c>
      <c r="F120" t="s">
        <v>17</v>
      </c>
      <c r="G120" t="s">
        <v>82</v>
      </c>
      <c r="H120">
        <v>6</v>
      </c>
      <c r="I120" s="12">
        <v>90</v>
      </c>
      <c r="J120" s="12">
        <v>50</v>
      </c>
      <c r="K120">
        <v>1</v>
      </c>
      <c r="L120">
        <v>2</v>
      </c>
      <c r="M120">
        <v>500</v>
      </c>
      <c r="N120" s="12">
        <f>+gemini_code_1787702791259[[#This Row],[Cantidad]]*gemini_code_1787702791259[[#This Row],[Precio_Unitario_USD]]</f>
        <v>540</v>
      </c>
      <c r="O120" s="12">
        <f>+gemini_code_1787702791259[[#This Row],[Cantidad]]*gemini_code_1787702791259[[#This Row],[Costo_Unitario_USD]]</f>
        <v>300</v>
      </c>
      <c r="P120" s="12">
        <f>+gemini_code_1787702791259[[#This Row],[venta total]]-gemini_code_1787702791259[[#This Row],[Costo total]]</f>
        <v>240</v>
      </c>
      <c r="Q120" s="2">
        <f>gemini_code_1787702791259[[#This Row],[Ganancia bruta]]/gemini_code_1787702791259[[#This Row],[venta total]]</f>
        <v>0.44444444444444442</v>
      </c>
      <c r="R120" t="str">
        <f>IF(gemini_code_1787702791259[[#This Row],[Dias_Entrega]]&lt;=gemini_code_1787702791259[[#This Row],[Promesa_SLA_Dias]],"A tiempo","Fuera de SLA")</f>
        <v>A tiempo</v>
      </c>
    </row>
    <row r="121" spans="1:18" x14ac:dyDescent="0.25">
      <c r="A121" t="s">
        <v>83</v>
      </c>
      <c r="B121" s="1">
        <v>46244</v>
      </c>
      <c r="C121" t="s">
        <v>26</v>
      </c>
      <c r="D121" t="s">
        <v>27</v>
      </c>
      <c r="E121" t="s">
        <v>16</v>
      </c>
      <c r="F121" t="s">
        <v>23</v>
      </c>
      <c r="G121" t="s">
        <v>84</v>
      </c>
      <c r="H121">
        <v>6</v>
      </c>
      <c r="I121" s="12">
        <v>60</v>
      </c>
      <c r="J121" s="12">
        <v>28</v>
      </c>
      <c r="K121">
        <v>5</v>
      </c>
      <c r="L121">
        <v>3</v>
      </c>
      <c r="M121">
        <v>350</v>
      </c>
      <c r="N121" s="12">
        <f>+gemini_code_1787702791259[[#This Row],[Cantidad]]*gemini_code_1787702791259[[#This Row],[Precio_Unitario_USD]]</f>
        <v>360</v>
      </c>
      <c r="O121" s="12">
        <f>+gemini_code_1787702791259[[#This Row],[Cantidad]]*gemini_code_1787702791259[[#This Row],[Costo_Unitario_USD]]</f>
        <v>168</v>
      </c>
      <c r="P121" s="12">
        <f>+gemini_code_1787702791259[[#This Row],[venta total]]-gemini_code_1787702791259[[#This Row],[Costo total]]</f>
        <v>192</v>
      </c>
      <c r="Q121" s="2">
        <f>gemini_code_1787702791259[[#This Row],[Ganancia bruta]]/gemini_code_1787702791259[[#This Row],[venta total]]</f>
        <v>0.53333333333333333</v>
      </c>
      <c r="R121" t="str">
        <f>IF(gemini_code_1787702791259[[#This Row],[Dias_Entrega]]&lt;=gemini_code_1787702791259[[#This Row],[Promesa_SLA_Dias]],"A tiempo","Fuera de SLA")</f>
        <v>Fuera de SLA</v>
      </c>
    </row>
    <row r="122" spans="1:18" x14ac:dyDescent="0.25">
      <c r="A122" t="s">
        <v>13</v>
      </c>
      <c r="B122" s="1">
        <v>46235</v>
      </c>
      <c r="C122" t="s">
        <v>14</v>
      </c>
      <c r="D122" t="s">
        <v>15</v>
      </c>
      <c r="E122" t="s">
        <v>16</v>
      </c>
      <c r="F122" t="s">
        <v>17</v>
      </c>
      <c r="G122" t="s">
        <v>18</v>
      </c>
      <c r="H122">
        <v>2</v>
      </c>
      <c r="I122" s="12">
        <v>850</v>
      </c>
      <c r="J122" s="12">
        <v>600</v>
      </c>
      <c r="K122">
        <v>2</v>
      </c>
      <c r="L122">
        <v>3</v>
      </c>
      <c r="M122">
        <v>1500</v>
      </c>
      <c r="N122" s="12">
        <f>+gemini_code_1787702791259[[#This Row],[Cantidad]]*gemini_code_1787702791259[[#This Row],[Precio_Unitario_USD]]</f>
        <v>1700</v>
      </c>
      <c r="O122" s="12">
        <f>+gemini_code_1787702791259[[#This Row],[Cantidad]]*gemini_code_1787702791259[[#This Row],[Costo_Unitario_USD]]</f>
        <v>1200</v>
      </c>
      <c r="P122" s="12">
        <f>+gemini_code_1787702791259[[#This Row],[venta total]]-gemini_code_1787702791259[[#This Row],[Costo total]]</f>
        <v>500</v>
      </c>
      <c r="Q122" s="2">
        <f>gemini_code_1787702791259[[#This Row],[Ganancia bruta]]/gemini_code_1787702791259[[#This Row],[venta total]]</f>
        <v>0.29411764705882354</v>
      </c>
      <c r="R122" t="str">
        <f>IF(gemini_code_1787702791259[[#This Row],[Dias_Entrega]]&lt;=gemini_code_1787702791259[[#This Row],[Promesa_SLA_Dias]],"A tiempo","Fuera de SLA")</f>
        <v>A tiempo</v>
      </c>
    </row>
    <row r="123" spans="1:18" x14ac:dyDescent="0.25">
      <c r="A123" t="s">
        <v>19</v>
      </c>
      <c r="B123" s="1">
        <v>46235</v>
      </c>
      <c r="C123" t="s">
        <v>20</v>
      </c>
      <c r="D123" t="s">
        <v>21</v>
      </c>
      <c r="E123" t="s">
        <v>22</v>
      </c>
      <c r="F123" t="s">
        <v>23</v>
      </c>
      <c r="G123" t="s">
        <v>24</v>
      </c>
      <c r="H123">
        <v>5</v>
      </c>
      <c r="I123" s="12">
        <v>120</v>
      </c>
      <c r="J123" s="12">
        <v>70</v>
      </c>
      <c r="K123">
        <v>3</v>
      </c>
      <c r="L123">
        <v>3</v>
      </c>
      <c r="M123">
        <v>500</v>
      </c>
      <c r="N123" s="12">
        <f>+gemini_code_1787702791259[[#This Row],[Cantidad]]*gemini_code_1787702791259[[#This Row],[Precio_Unitario_USD]]</f>
        <v>600</v>
      </c>
      <c r="O123" s="12">
        <f>+gemini_code_1787702791259[[#This Row],[Cantidad]]*gemini_code_1787702791259[[#This Row],[Costo_Unitario_USD]]</f>
        <v>350</v>
      </c>
      <c r="P123" s="12">
        <f>+gemini_code_1787702791259[[#This Row],[venta total]]-gemini_code_1787702791259[[#This Row],[Costo total]]</f>
        <v>250</v>
      </c>
      <c r="Q123" s="2">
        <f>gemini_code_1787702791259[[#This Row],[Ganancia bruta]]/gemini_code_1787702791259[[#This Row],[venta total]]</f>
        <v>0.41666666666666669</v>
      </c>
      <c r="R123" t="str">
        <f>IF(gemini_code_1787702791259[[#This Row],[Dias_Entrega]]&lt;=gemini_code_1787702791259[[#This Row],[Promesa_SLA_Dias]],"A tiempo","Fuera de SLA")</f>
        <v>A tiempo</v>
      </c>
    </row>
    <row r="124" spans="1:18" x14ac:dyDescent="0.25">
      <c r="A124" t="s">
        <v>25</v>
      </c>
      <c r="B124" s="1">
        <v>46235</v>
      </c>
      <c r="C124" t="s">
        <v>26</v>
      </c>
      <c r="D124" t="s">
        <v>27</v>
      </c>
      <c r="E124" t="s">
        <v>16</v>
      </c>
      <c r="F124" t="s">
        <v>28</v>
      </c>
      <c r="G124" t="s">
        <v>29</v>
      </c>
      <c r="H124">
        <v>3</v>
      </c>
      <c r="I124" s="12">
        <v>90</v>
      </c>
      <c r="J124" s="12">
        <v>50</v>
      </c>
      <c r="K124">
        <v>6</v>
      </c>
      <c r="L124">
        <v>4</v>
      </c>
      <c r="M124">
        <v>300</v>
      </c>
      <c r="N124" s="12">
        <f>+gemini_code_1787702791259[[#This Row],[Cantidad]]*gemini_code_1787702791259[[#This Row],[Precio_Unitario_USD]]</f>
        <v>270</v>
      </c>
      <c r="O124" s="12">
        <f>+gemini_code_1787702791259[[#This Row],[Cantidad]]*gemini_code_1787702791259[[#This Row],[Costo_Unitario_USD]]</f>
        <v>150</v>
      </c>
      <c r="P124" s="12">
        <f>+gemini_code_1787702791259[[#This Row],[venta total]]-gemini_code_1787702791259[[#This Row],[Costo total]]</f>
        <v>120</v>
      </c>
      <c r="Q124" s="2">
        <f>gemini_code_1787702791259[[#This Row],[Ganancia bruta]]/gemini_code_1787702791259[[#This Row],[venta total]]</f>
        <v>0.44444444444444442</v>
      </c>
      <c r="R124" t="str">
        <f>IF(gemini_code_1787702791259[[#This Row],[Dias_Entrega]]&lt;=gemini_code_1787702791259[[#This Row],[Promesa_SLA_Dias]],"A tiempo","Fuera de SLA")</f>
        <v>Fuera de SLA</v>
      </c>
    </row>
    <row r="125" spans="1:18" x14ac:dyDescent="0.25">
      <c r="A125" t="s">
        <v>30</v>
      </c>
      <c r="B125" s="1">
        <v>46236</v>
      </c>
      <c r="C125" t="s">
        <v>14</v>
      </c>
      <c r="D125" t="s">
        <v>15</v>
      </c>
      <c r="E125" t="s">
        <v>22</v>
      </c>
      <c r="F125" t="s">
        <v>31</v>
      </c>
      <c r="G125" t="s">
        <v>32</v>
      </c>
      <c r="H125">
        <v>4</v>
      </c>
      <c r="I125" s="12">
        <v>110</v>
      </c>
      <c r="J125" s="12">
        <v>60</v>
      </c>
      <c r="K125">
        <v>1</v>
      </c>
      <c r="L125">
        <v>2</v>
      </c>
      <c r="M125">
        <v>400</v>
      </c>
      <c r="N125" s="12">
        <f>+gemini_code_1787702791259[[#This Row],[Cantidad]]*gemini_code_1787702791259[[#This Row],[Precio_Unitario_USD]]</f>
        <v>440</v>
      </c>
      <c r="O125" s="12">
        <f>+gemini_code_1787702791259[[#This Row],[Cantidad]]*gemini_code_1787702791259[[#This Row],[Costo_Unitario_USD]]</f>
        <v>240</v>
      </c>
      <c r="P125" s="12">
        <f>+gemini_code_1787702791259[[#This Row],[venta total]]-gemini_code_1787702791259[[#This Row],[Costo total]]</f>
        <v>200</v>
      </c>
      <c r="Q125" s="2">
        <f>gemini_code_1787702791259[[#This Row],[Ganancia bruta]]/gemini_code_1787702791259[[#This Row],[venta total]]</f>
        <v>0.45454545454545453</v>
      </c>
      <c r="R125" t="str">
        <f>IF(gemini_code_1787702791259[[#This Row],[Dias_Entrega]]&lt;=gemini_code_1787702791259[[#This Row],[Promesa_SLA_Dias]],"A tiempo","Fuera de SLA")</f>
        <v>A tiempo</v>
      </c>
    </row>
    <row r="126" spans="1:18" x14ac:dyDescent="0.25">
      <c r="A126" t="s">
        <v>33</v>
      </c>
      <c r="B126" s="1">
        <v>46236</v>
      </c>
      <c r="C126" t="s">
        <v>20</v>
      </c>
      <c r="D126" t="s">
        <v>21</v>
      </c>
      <c r="E126" t="s">
        <v>16</v>
      </c>
      <c r="F126" t="s">
        <v>17</v>
      </c>
      <c r="G126" t="s">
        <v>34</v>
      </c>
      <c r="H126">
        <v>3</v>
      </c>
      <c r="I126" s="12">
        <v>650</v>
      </c>
      <c r="J126" s="12">
        <v>450</v>
      </c>
      <c r="K126">
        <v>2</v>
      </c>
      <c r="L126">
        <v>3</v>
      </c>
      <c r="M126">
        <v>1800</v>
      </c>
      <c r="N126" s="12">
        <f>+gemini_code_1787702791259[[#This Row],[Cantidad]]*gemini_code_1787702791259[[#This Row],[Precio_Unitario_USD]]</f>
        <v>1950</v>
      </c>
      <c r="O126" s="12">
        <f>+gemini_code_1787702791259[[#This Row],[Cantidad]]*gemini_code_1787702791259[[#This Row],[Costo_Unitario_USD]]</f>
        <v>1350</v>
      </c>
      <c r="P126" s="12">
        <f>+gemini_code_1787702791259[[#This Row],[venta total]]-gemini_code_1787702791259[[#This Row],[Costo total]]</f>
        <v>600</v>
      </c>
      <c r="Q126" s="2">
        <f>gemini_code_1787702791259[[#This Row],[Ganancia bruta]]/gemini_code_1787702791259[[#This Row],[venta total]]</f>
        <v>0.30769230769230771</v>
      </c>
      <c r="R126" t="str">
        <f>IF(gemini_code_1787702791259[[#This Row],[Dias_Entrega]]&lt;=gemini_code_1787702791259[[#This Row],[Promesa_SLA_Dias]],"A tiempo","Fuera de SLA")</f>
        <v>A tiempo</v>
      </c>
    </row>
    <row r="127" spans="1:18" x14ac:dyDescent="0.25">
      <c r="A127" t="s">
        <v>35</v>
      </c>
      <c r="B127" s="1">
        <v>46236</v>
      </c>
      <c r="C127" t="s">
        <v>26</v>
      </c>
      <c r="D127" t="s">
        <v>27</v>
      </c>
      <c r="E127" t="s">
        <v>16</v>
      </c>
      <c r="F127" t="s">
        <v>23</v>
      </c>
      <c r="G127" t="s">
        <v>36</v>
      </c>
      <c r="H127">
        <v>8</v>
      </c>
      <c r="I127" s="12">
        <v>45</v>
      </c>
      <c r="J127" s="12">
        <v>20</v>
      </c>
      <c r="K127">
        <v>5</v>
      </c>
      <c r="L127">
        <v>3</v>
      </c>
      <c r="M127">
        <v>400</v>
      </c>
      <c r="N127" s="12">
        <f>+gemini_code_1787702791259[[#This Row],[Cantidad]]*gemini_code_1787702791259[[#This Row],[Precio_Unitario_USD]]</f>
        <v>360</v>
      </c>
      <c r="O127" s="12">
        <f>+gemini_code_1787702791259[[#This Row],[Cantidad]]*gemini_code_1787702791259[[#This Row],[Costo_Unitario_USD]]</f>
        <v>160</v>
      </c>
      <c r="P127" s="12">
        <f>+gemini_code_1787702791259[[#This Row],[venta total]]-gemini_code_1787702791259[[#This Row],[Costo total]]</f>
        <v>200</v>
      </c>
      <c r="Q127" s="2">
        <f>gemini_code_1787702791259[[#This Row],[Ganancia bruta]]/gemini_code_1787702791259[[#This Row],[venta total]]</f>
        <v>0.55555555555555558</v>
      </c>
      <c r="R127" t="str">
        <f>IF(gemini_code_1787702791259[[#This Row],[Dias_Entrega]]&lt;=gemini_code_1787702791259[[#This Row],[Promesa_SLA_Dias]],"A tiempo","Fuera de SLA")</f>
        <v>Fuera de SLA</v>
      </c>
    </row>
    <row r="128" spans="1:18" x14ac:dyDescent="0.25">
      <c r="A128" t="s">
        <v>37</v>
      </c>
      <c r="B128" s="1">
        <v>46237</v>
      </c>
      <c r="C128" t="s">
        <v>14</v>
      </c>
      <c r="D128" t="s">
        <v>15</v>
      </c>
      <c r="E128" t="s">
        <v>16</v>
      </c>
      <c r="F128" t="s">
        <v>28</v>
      </c>
      <c r="G128" t="s">
        <v>38</v>
      </c>
      <c r="H128">
        <v>2</v>
      </c>
      <c r="I128" s="12">
        <v>280</v>
      </c>
      <c r="J128" s="12">
        <v>180</v>
      </c>
      <c r="K128">
        <v>3</v>
      </c>
      <c r="L128">
        <v>3</v>
      </c>
      <c r="M128">
        <v>500</v>
      </c>
      <c r="N128" s="12">
        <f>+gemini_code_1787702791259[[#This Row],[Cantidad]]*gemini_code_1787702791259[[#This Row],[Precio_Unitario_USD]]</f>
        <v>560</v>
      </c>
      <c r="O128" s="12">
        <f>+gemini_code_1787702791259[[#This Row],[Cantidad]]*gemini_code_1787702791259[[#This Row],[Costo_Unitario_USD]]</f>
        <v>360</v>
      </c>
      <c r="P128" s="12">
        <f>+gemini_code_1787702791259[[#This Row],[venta total]]-gemini_code_1787702791259[[#This Row],[Costo total]]</f>
        <v>200</v>
      </c>
      <c r="Q128" s="2">
        <f>gemini_code_1787702791259[[#This Row],[Ganancia bruta]]/gemini_code_1787702791259[[#This Row],[venta total]]</f>
        <v>0.35714285714285715</v>
      </c>
      <c r="R128" t="str">
        <f>IF(gemini_code_1787702791259[[#This Row],[Dias_Entrega]]&lt;=gemini_code_1787702791259[[#This Row],[Promesa_SLA_Dias]],"A tiempo","Fuera de SLA")</f>
        <v>A tiempo</v>
      </c>
    </row>
    <row r="129" spans="1:18" x14ac:dyDescent="0.25">
      <c r="A129" t="s">
        <v>39</v>
      </c>
      <c r="B129" s="1">
        <v>46237</v>
      </c>
      <c r="C129" t="s">
        <v>20</v>
      </c>
      <c r="D129" t="s">
        <v>21</v>
      </c>
      <c r="E129" t="s">
        <v>22</v>
      </c>
      <c r="F129" t="s">
        <v>31</v>
      </c>
      <c r="G129" t="s">
        <v>40</v>
      </c>
      <c r="H129">
        <v>3</v>
      </c>
      <c r="I129" s="12">
        <v>150</v>
      </c>
      <c r="J129" s="12">
        <v>85</v>
      </c>
      <c r="K129">
        <v>2</v>
      </c>
      <c r="L129">
        <v>2</v>
      </c>
      <c r="M129">
        <v>400</v>
      </c>
      <c r="N129" s="12">
        <f>+gemini_code_1787702791259[[#This Row],[Cantidad]]*gemini_code_1787702791259[[#This Row],[Precio_Unitario_USD]]</f>
        <v>450</v>
      </c>
      <c r="O129" s="12">
        <f>+gemini_code_1787702791259[[#This Row],[Cantidad]]*gemini_code_1787702791259[[#This Row],[Costo_Unitario_USD]]</f>
        <v>255</v>
      </c>
      <c r="P129" s="12">
        <f>+gemini_code_1787702791259[[#This Row],[venta total]]-gemini_code_1787702791259[[#This Row],[Costo total]]</f>
        <v>195</v>
      </c>
      <c r="Q129" s="2">
        <f>gemini_code_1787702791259[[#This Row],[Ganancia bruta]]/gemini_code_1787702791259[[#This Row],[venta total]]</f>
        <v>0.43333333333333335</v>
      </c>
      <c r="R129" t="str">
        <f>IF(gemini_code_1787702791259[[#This Row],[Dias_Entrega]]&lt;=gemini_code_1787702791259[[#This Row],[Promesa_SLA_Dias]],"A tiempo","Fuera de SLA")</f>
        <v>A tiempo</v>
      </c>
    </row>
    <row r="130" spans="1:18" x14ac:dyDescent="0.25">
      <c r="A130" t="s">
        <v>41</v>
      </c>
      <c r="B130" s="1">
        <v>46237</v>
      </c>
      <c r="C130" t="s">
        <v>26</v>
      </c>
      <c r="D130" t="s">
        <v>27</v>
      </c>
      <c r="E130" t="s">
        <v>16</v>
      </c>
      <c r="F130" t="s">
        <v>17</v>
      </c>
      <c r="G130" t="s">
        <v>42</v>
      </c>
      <c r="H130">
        <v>2</v>
      </c>
      <c r="I130" s="12">
        <v>520</v>
      </c>
      <c r="J130" s="12">
        <v>380</v>
      </c>
      <c r="K130">
        <v>7</v>
      </c>
      <c r="L130">
        <v>4</v>
      </c>
      <c r="M130">
        <v>1000</v>
      </c>
      <c r="N130" s="12">
        <f>+gemini_code_1787702791259[[#This Row],[Cantidad]]*gemini_code_1787702791259[[#This Row],[Precio_Unitario_USD]]</f>
        <v>1040</v>
      </c>
      <c r="O130" s="12">
        <f>+gemini_code_1787702791259[[#This Row],[Cantidad]]*gemini_code_1787702791259[[#This Row],[Costo_Unitario_USD]]</f>
        <v>760</v>
      </c>
      <c r="P130" s="12">
        <f>+gemini_code_1787702791259[[#This Row],[venta total]]-gemini_code_1787702791259[[#This Row],[Costo total]]</f>
        <v>280</v>
      </c>
      <c r="Q130" s="2">
        <f>gemini_code_1787702791259[[#This Row],[Ganancia bruta]]/gemini_code_1787702791259[[#This Row],[venta total]]</f>
        <v>0.26923076923076922</v>
      </c>
      <c r="R130" t="str">
        <f>IF(gemini_code_1787702791259[[#This Row],[Dias_Entrega]]&lt;=gemini_code_1787702791259[[#This Row],[Promesa_SLA_Dias]],"A tiempo","Fuera de SLA")</f>
        <v>Fuera de SLA</v>
      </c>
    </row>
    <row r="131" spans="1:18" x14ac:dyDescent="0.25">
      <c r="A131" t="s">
        <v>43</v>
      </c>
      <c r="B131" s="1">
        <v>46238</v>
      </c>
      <c r="C131" t="s">
        <v>14</v>
      </c>
      <c r="D131" t="s">
        <v>15</v>
      </c>
      <c r="E131" t="s">
        <v>22</v>
      </c>
      <c r="F131" t="s">
        <v>23</v>
      </c>
      <c r="G131" t="s">
        <v>44</v>
      </c>
      <c r="H131">
        <v>6</v>
      </c>
      <c r="I131" s="12">
        <v>55</v>
      </c>
      <c r="J131" s="12">
        <v>25</v>
      </c>
      <c r="K131">
        <v>2</v>
      </c>
      <c r="L131">
        <v>3</v>
      </c>
      <c r="M131">
        <v>300</v>
      </c>
      <c r="N131" s="12">
        <f>+gemini_code_1787702791259[[#This Row],[Cantidad]]*gemini_code_1787702791259[[#This Row],[Precio_Unitario_USD]]</f>
        <v>330</v>
      </c>
      <c r="O131" s="12">
        <f>+gemini_code_1787702791259[[#This Row],[Cantidad]]*gemini_code_1787702791259[[#This Row],[Costo_Unitario_USD]]</f>
        <v>150</v>
      </c>
      <c r="P131" s="12">
        <f>+gemini_code_1787702791259[[#This Row],[venta total]]-gemini_code_1787702791259[[#This Row],[Costo total]]</f>
        <v>180</v>
      </c>
      <c r="Q131" s="2">
        <f>gemini_code_1787702791259[[#This Row],[Ganancia bruta]]/gemini_code_1787702791259[[#This Row],[venta total]]</f>
        <v>0.54545454545454541</v>
      </c>
      <c r="R131" t="str">
        <f>IF(gemini_code_1787702791259[[#This Row],[Dias_Entrega]]&lt;=gemini_code_1787702791259[[#This Row],[Promesa_SLA_Dias]],"A tiempo","Fuera de SLA")</f>
        <v>A tiempo</v>
      </c>
    </row>
    <row r="132" spans="1:18" x14ac:dyDescent="0.25">
      <c r="A132" t="s">
        <v>45</v>
      </c>
      <c r="B132" s="1">
        <v>46238</v>
      </c>
      <c r="C132" t="s">
        <v>20</v>
      </c>
      <c r="D132" t="s">
        <v>21</v>
      </c>
      <c r="E132" t="s">
        <v>16</v>
      </c>
      <c r="F132" t="s">
        <v>28</v>
      </c>
      <c r="G132" t="s">
        <v>46</v>
      </c>
      <c r="H132">
        <v>1</v>
      </c>
      <c r="I132" s="12">
        <v>450</v>
      </c>
      <c r="J132" s="12">
        <v>290</v>
      </c>
      <c r="K132">
        <v>4</v>
      </c>
      <c r="L132">
        <v>3</v>
      </c>
      <c r="M132">
        <v>400</v>
      </c>
      <c r="N132" s="12">
        <f>+gemini_code_1787702791259[[#This Row],[Cantidad]]*gemini_code_1787702791259[[#This Row],[Precio_Unitario_USD]]</f>
        <v>450</v>
      </c>
      <c r="O132" s="12">
        <f>+gemini_code_1787702791259[[#This Row],[Cantidad]]*gemini_code_1787702791259[[#This Row],[Costo_Unitario_USD]]</f>
        <v>290</v>
      </c>
      <c r="P132" s="12">
        <f>+gemini_code_1787702791259[[#This Row],[venta total]]-gemini_code_1787702791259[[#This Row],[Costo total]]</f>
        <v>160</v>
      </c>
      <c r="Q132" s="2">
        <f>gemini_code_1787702791259[[#This Row],[Ganancia bruta]]/gemini_code_1787702791259[[#This Row],[venta total]]</f>
        <v>0.35555555555555557</v>
      </c>
      <c r="R132" t="str">
        <f>IF(gemini_code_1787702791259[[#This Row],[Dias_Entrega]]&lt;=gemini_code_1787702791259[[#This Row],[Promesa_SLA_Dias]],"A tiempo","Fuera de SLA")</f>
        <v>Fuera de SLA</v>
      </c>
    </row>
    <row r="133" spans="1:18" x14ac:dyDescent="0.25">
      <c r="A133" t="s">
        <v>47</v>
      </c>
      <c r="B133" s="1">
        <v>46238</v>
      </c>
      <c r="C133" t="s">
        <v>26</v>
      </c>
      <c r="D133" t="s">
        <v>27</v>
      </c>
      <c r="E133" t="s">
        <v>22</v>
      </c>
      <c r="F133" t="s">
        <v>31</v>
      </c>
      <c r="G133" t="s">
        <v>48</v>
      </c>
      <c r="H133">
        <v>10</v>
      </c>
      <c r="I133" s="12">
        <v>35</v>
      </c>
      <c r="J133" s="12">
        <v>15</v>
      </c>
      <c r="K133">
        <v>4</v>
      </c>
      <c r="L133">
        <v>3</v>
      </c>
      <c r="M133">
        <v>300</v>
      </c>
      <c r="N133" s="12">
        <f>+gemini_code_1787702791259[[#This Row],[Cantidad]]*gemini_code_1787702791259[[#This Row],[Precio_Unitario_USD]]</f>
        <v>350</v>
      </c>
      <c r="O133" s="12">
        <f>+gemini_code_1787702791259[[#This Row],[Cantidad]]*gemini_code_1787702791259[[#This Row],[Costo_Unitario_USD]]</f>
        <v>150</v>
      </c>
      <c r="P133" s="12">
        <f>+gemini_code_1787702791259[[#This Row],[venta total]]-gemini_code_1787702791259[[#This Row],[Costo total]]</f>
        <v>200</v>
      </c>
      <c r="Q133" s="2">
        <f>gemini_code_1787702791259[[#This Row],[Ganancia bruta]]/gemini_code_1787702791259[[#This Row],[venta total]]</f>
        <v>0.5714285714285714</v>
      </c>
      <c r="R133" t="str">
        <f>IF(gemini_code_1787702791259[[#This Row],[Dias_Entrega]]&lt;=gemini_code_1787702791259[[#This Row],[Promesa_SLA_Dias]],"A tiempo","Fuera de SLA")</f>
        <v>Fuera de SLA</v>
      </c>
    </row>
    <row r="134" spans="1:18" x14ac:dyDescent="0.25">
      <c r="A134" t="s">
        <v>49</v>
      </c>
      <c r="B134" s="1">
        <v>46239</v>
      </c>
      <c r="C134" t="s">
        <v>14</v>
      </c>
      <c r="D134" t="s">
        <v>15</v>
      </c>
      <c r="E134" t="s">
        <v>16</v>
      </c>
      <c r="F134" t="s">
        <v>17</v>
      </c>
      <c r="G134" t="s">
        <v>50</v>
      </c>
      <c r="H134">
        <v>4</v>
      </c>
      <c r="I134" s="12">
        <v>220</v>
      </c>
      <c r="J134" s="12">
        <v>140</v>
      </c>
      <c r="K134">
        <v>2</v>
      </c>
      <c r="L134">
        <v>3</v>
      </c>
      <c r="M134">
        <v>800</v>
      </c>
      <c r="N134" s="12">
        <f>+gemini_code_1787702791259[[#This Row],[Cantidad]]*gemini_code_1787702791259[[#This Row],[Precio_Unitario_USD]]</f>
        <v>880</v>
      </c>
      <c r="O134" s="12">
        <f>+gemini_code_1787702791259[[#This Row],[Cantidad]]*gemini_code_1787702791259[[#This Row],[Costo_Unitario_USD]]</f>
        <v>560</v>
      </c>
      <c r="P134" s="12">
        <f>+gemini_code_1787702791259[[#This Row],[venta total]]-gemini_code_1787702791259[[#This Row],[Costo total]]</f>
        <v>320</v>
      </c>
      <c r="Q134" s="2">
        <f>gemini_code_1787702791259[[#This Row],[Ganancia bruta]]/gemini_code_1787702791259[[#This Row],[venta total]]</f>
        <v>0.36363636363636365</v>
      </c>
      <c r="R134" t="str">
        <f>IF(gemini_code_1787702791259[[#This Row],[Dias_Entrega]]&lt;=gemini_code_1787702791259[[#This Row],[Promesa_SLA_Dias]],"A tiempo","Fuera de SLA")</f>
        <v>A tiempo</v>
      </c>
    </row>
    <row r="135" spans="1:18" x14ac:dyDescent="0.25">
      <c r="A135" t="s">
        <v>51</v>
      </c>
      <c r="B135" s="1">
        <v>46239</v>
      </c>
      <c r="C135" t="s">
        <v>20</v>
      </c>
      <c r="D135" t="s">
        <v>21</v>
      </c>
      <c r="E135" t="s">
        <v>16</v>
      </c>
      <c r="F135" t="s">
        <v>23</v>
      </c>
      <c r="G135" t="s">
        <v>52</v>
      </c>
      <c r="H135">
        <v>5</v>
      </c>
      <c r="I135" s="12">
        <v>65</v>
      </c>
      <c r="J135" s="12">
        <v>30</v>
      </c>
      <c r="K135">
        <v>2</v>
      </c>
      <c r="L135">
        <v>3</v>
      </c>
      <c r="M135">
        <v>300</v>
      </c>
      <c r="N135" s="12">
        <f>+gemini_code_1787702791259[[#This Row],[Cantidad]]*gemini_code_1787702791259[[#This Row],[Precio_Unitario_USD]]</f>
        <v>325</v>
      </c>
      <c r="O135" s="12">
        <f>+gemini_code_1787702791259[[#This Row],[Cantidad]]*gemini_code_1787702791259[[#This Row],[Costo_Unitario_USD]]</f>
        <v>150</v>
      </c>
      <c r="P135" s="12">
        <f>+gemini_code_1787702791259[[#This Row],[venta total]]-gemini_code_1787702791259[[#This Row],[Costo total]]</f>
        <v>175</v>
      </c>
      <c r="Q135" s="2">
        <f>gemini_code_1787702791259[[#This Row],[Ganancia bruta]]/gemini_code_1787702791259[[#This Row],[venta total]]</f>
        <v>0.53846153846153844</v>
      </c>
      <c r="R135" t="str">
        <f>IF(gemini_code_1787702791259[[#This Row],[Dias_Entrega]]&lt;=gemini_code_1787702791259[[#This Row],[Promesa_SLA_Dias]],"A tiempo","Fuera de SLA")</f>
        <v>A tiempo</v>
      </c>
    </row>
    <row r="136" spans="1:18" x14ac:dyDescent="0.25">
      <c r="A136" t="s">
        <v>53</v>
      </c>
      <c r="B136" s="1">
        <v>46239</v>
      </c>
      <c r="C136" t="s">
        <v>26</v>
      </c>
      <c r="D136" t="s">
        <v>27</v>
      </c>
      <c r="E136" t="s">
        <v>16</v>
      </c>
      <c r="F136" t="s">
        <v>28</v>
      </c>
      <c r="G136" t="s">
        <v>54</v>
      </c>
      <c r="H136">
        <v>2</v>
      </c>
      <c r="I136" s="12">
        <v>180</v>
      </c>
      <c r="J136" s="12">
        <v>110</v>
      </c>
      <c r="K136">
        <v>6</v>
      </c>
      <c r="L136">
        <v>3</v>
      </c>
      <c r="M136">
        <v>350</v>
      </c>
      <c r="N136" s="12">
        <f>+gemini_code_1787702791259[[#This Row],[Cantidad]]*gemini_code_1787702791259[[#This Row],[Precio_Unitario_USD]]</f>
        <v>360</v>
      </c>
      <c r="O136" s="12">
        <f>+gemini_code_1787702791259[[#This Row],[Cantidad]]*gemini_code_1787702791259[[#This Row],[Costo_Unitario_USD]]</f>
        <v>220</v>
      </c>
      <c r="P136" s="12">
        <f>+gemini_code_1787702791259[[#This Row],[venta total]]-gemini_code_1787702791259[[#This Row],[Costo total]]</f>
        <v>140</v>
      </c>
      <c r="Q136" s="2">
        <f>gemini_code_1787702791259[[#This Row],[Ganancia bruta]]/gemini_code_1787702791259[[#This Row],[venta total]]</f>
        <v>0.3888888888888889</v>
      </c>
      <c r="R136" t="str">
        <f>IF(gemini_code_1787702791259[[#This Row],[Dias_Entrega]]&lt;=gemini_code_1787702791259[[#This Row],[Promesa_SLA_Dias]],"A tiempo","Fuera de SLA")</f>
        <v>Fuera de SLA</v>
      </c>
    </row>
    <row r="137" spans="1:18" x14ac:dyDescent="0.25">
      <c r="A137" t="s">
        <v>55</v>
      </c>
      <c r="B137" s="1">
        <v>46240</v>
      </c>
      <c r="C137" t="s">
        <v>14</v>
      </c>
      <c r="D137" t="s">
        <v>15</v>
      </c>
      <c r="E137" t="s">
        <v>22</v>
      </c>
      <c r="F137" t="s">
        <v>31</v>
      </c>
      <c r="G137" t="s">
        <v>56</v>
      </c>
      <c r="H137">
        <v>6</v>
      </c>
      <c r="I137" s="12">
        <v>85</v>
      </c>
      <c r="J137" s="12">
        <v>45</v>
      </c>
      <c r="K137">
        <v>1</v>
      </c>
      <c r="L137">
        <v>2</v>
      </c>
      <c r="M137">
        <v>500</v>
      </c>
      <c r="N137" s="12">
        <f>+gemini_code_1787702791259[[#This Row],[Cantidad]]*gemini_code_1787702791259[[#This Row],[Precio_Unitario_USD]]</f>
        <v>510</v>
      </c>
      <c r="O137" s="12">
        <f>+gemini_code_1787702791259[[#This Row],[Cantidad]]*gemini_code_1787702791259[[#This Row],[Costo_Unitario_USD]]</f>
        <v>270</v>
      </c>
      <c r="P137" s="12">
        <f>+gemini_code_1787702791259[[#This Row],[venta total]]-gemini_code_1787702791259[[#This Row],[Costo total]]</f>
        <v>240</v>
      </c>
      <c r="Q137" s="2">
        <f>gemini_code_1787702791259[[#This Row],[Ganancia bruta]]/gemini_code_1787702791259[[#This Row],[venta total]]</f>
        <v>0.47058823529411764</v>
      </c>
      <c r="R137" t="str">
        <f>IF(gemini_code_1787702791259[[#This Row],[Dias_Entrega]]&lt;=gemini_code_1787702791259[[#This Row],[Promesa_SLA_Dias]],"A tiempo","Fuera de SLA")</f>
        <v>A tiempo</v>
      </c>
    </row>
    <row r="138" spans="1:18" x14ac:dyDescent="0.25">
      <c r="A138" t="s">
        <v>57</v>
      </c>
      <c r="B138" s="1">
        <v>46240</v>
      </c>
      <c r="C138" t="s">
        <v>20</v>
      </c>
      <c r="D138" t="s">
        <v>21</v>
      </c>
      <c r="E138" t="s">
        <v>16</v>
      </c>
      <c r="F138" t="s">
        <v>17</v>
      </c>
      <c r="G138" t="s">
        <v>58</v>
      </c>
      <c r="H138">
        <v>12</v>
      </c>
      <c r="I138" s="12">
        <v>75</v>
      </c>
      <c r="J138" s="12">
        <v>35</v>
      </c>
      <c r="K138">
        <v>1</v>
      </c>
      <c r="L138">
        <v>2</v>
      </c>
      <c r="M138">
        <v>800</v>
      </c>
      <c r="N138" s="12">
        <f>+gemini_code_1787702791259[[#This Row],[Cantidad]]*gemini_code_1787702791259[[#This Row],[Precio_Unitario_USD]]</f>
        <v>900</v>
      </c>
      <c r="O138" s="12">
        <f>+gemini_code_1787702791259[[#This Row],[Cantidad]]*gemini_code_1787702791259[[#This Row],[Costo_Unitario_USD]]</f>
        <v>420</v>
      </c>
      <c r="P138" s="12">
        <f>+gemini_code_1787702791259[[#This Row],[venta total]]-gemini_code_1787702791259[[#This Row],[Costo total]]</f>
        <v>480</v>
      </c>
      <c r="Q138" s="2">
        <f>gemini_code_1787702791259[[#This Row],[Ganancia bruta]]/gemini_code_1787702791259[[#This Row],[venta total]]</f>
        <v>0.53333333333333333</v>
      </c>
      <c r="R138" t="str">
        <f>IF(gemini_code_1787702791259[[#This Row],[Dias_Entrega]]&lt;=gemini_code_1787702791259[[#This Row],[Promesa_SLA_Dias]],"A tiempo","Fuera de SLA")</f>
        <v>A tiempo</v>
      </c>
    </row>
    <row r="139" spans="1:18" x14ac:dyDescent="0.25">
      <c r="A139" t="s">
        <v>59</v>
      </c>
      <c r="B139" s="1">
        <v>46240</v>
      </c>
      <c r="C139" t="s">
        <v>26</v>
      </c>
      <c r="D139" t="s">
        <v>27</v>
      </c>
      <c r="E139" t="s">
        <v>22</v>
      </c>
      <c r="F139" t="s">
        <v>23</v>
      </c>
      <c r="G139" t="s">
        <v>60</v>
      </c>
      <c r="H139">
        <v>4</v>
      </c>
      <c r="I139" s="12">
        <v>110</v>
      </c>
      <c r="J139" s="12">
        <v>55</v>
      </c>
      <c r="K139">
        <v>5</v>
      </c>
      <c r="L139">
        <v>3</v>
      </c>
      <c r="M139">
        <v>400</v>
      </c>
      <c r="N139" s="12">
        <f>+gemini_code_1787702791259[[#This Row],[Cantidad]]*gemini_code_1787702791259[[#This Row],[Precio_Unitario_USD]]</f>
        <v>440</v>
      </c>
      <c r="O139" s="12">
        <f>+gemini_code_1787702791259[[#This Row],[Cantidad]]*gemini_code_1787702791259[[#This Row],[Costo_Unitario_USD]]</f>
        <v>220</v>
      </c>
      <c r="P139" s="12">
        <f>+gemini_code_1787702791259[[#This Row],[venta total]]-gemini_code_1787702791259[[#This Row],[Costo total]]</f>
        <v>220</v>
      </c>
      <c r="Q139" s="2">
        <f>gemini_code_1787702791259[[#This Row],[Ganancia bruta]]/gemini_code_1787702791259[[#This Row],[venta total]]</f>
        <v>0.5</v>
      </c>
      <c r="R139" t="str">
        <f>IF(gemini_code_1787702791259[[#This Row],[Dias_Entrega]]&lt;=gemini_code_1787702791259[[#This Row],[Promesa_SLA_Dias]],"A tiempo","Fuera de SLA")</f>
        <v>Fuera de SLA</v>
      </c>
    </row>
    <row r="140" spans="1:18" x14ac:dyDescent="0.25">
      <c r="A140" t="s">
        <v>61</v>
      </c>
      <c r="B140" s="1">
        <v>46241</v>
      </c>
      <c r="C140" t="s">
        <v>14</v>
      </c>
      <c r="D140" t="s">
        <v>15</v>
      </c>
      <c r="E140" t="s">
        <v>16</v>
      </c>
      <c r="F140" t="s">
        <v>28</v>
      </c>
      <c r="G140" t="s">
        <v>62</v>
      </c>
      <c r="H140">
        <v>15</v>
      </c>
      <c r="I140" s="12">
        <v>25</v>
      </c>
      <c r="J140" s="12">
        <v>10</v>
      </c>
      <c r="K140">
        <v>2</v>
      </c>
      <c r="L140">
        <v>3</v>
      </c>
      <c r="M140">
        <v>300</v>
      </c>
      <c r="N140" s="12">
        <f>+gemini_code_1787702791259[[#This Row],[Cantidad]]*gemini_code_1787702791259[[#This Row],[Precio_Unitario_USD]]</f>
        <v>375</v>
      </c>
      <c r="O140" s="12">
        <f>+gemini_code_1787702791259[[#This Row],[Cantidad]]*gemini_code_1787702791259[[#This Row],[Costo_Unitario_USD]]</f>
        <v>150</v>
      </c>
      <c r="P140" s="12">
        <f>+gemini_code_1787702791259[[#This Row],[venta total]]-gemini_code_1787702791259[[#This Row],[Costo total]]</f>
        <v>225</v>
      </c>
      <c r="Q140" s="2">
        <f>gemini_code_1787702791259[[#This Row],[Ganancia bruta]]/gemini_code_1787702791259[[#This Row],[venta total]]</f>
        <v>0.6</v>
      </c>
      <c r="R140" t="str">
        <f>IF(gemini_code_1787702791259[[#This Row],[Dias_Entrega]]&lt;=gemini_code_1787702791259[[#This Row],[Promesa_SLA_Dias]],"A tiempo","Fuera de SLA")</f>
        <v>A tiempo</v>
      </c>
    </row>
    <row r="141" spans="1:18" x14ac:dyDescent="0.25">
      <c r="A141" t="s">
        <v>63</v>
      </c>
      <c r="B141" s="1">
        <v>46241</v>
      </c>
      <c r="C141" t="s">
        <v>20</v>
      </c>
      <c r="D141" t="s">
        <v>21</v>
      </c>
      <c r="E141" t="s">
        <v>22</v>
      </c>
      <c r="F141" t="s">
        <v>31</v>
      </c>
      <c r="G141" t="s">
        <v>64</v>
      </c>
      <c r="H141">
        <v>5</v>
      </c>
      <c r="I141" s="12">
        <v>130</v>
      </c>
      <c r="J141" s="12">
        <v>70</v>
      </c>
      <c r="K141">
        <v>3</v>
      </c>
      <c r="L141">
        <v>3</v>
      </c>
      <c r="M141">
        <v>600</v>
      </c>
      <c r="N141" s="12">
        <f>+gemini_code_1787702791259[[#This Row],[Cantidad]]*gemini_code_1787702791259[[#This Row],[Precio_Unitario_USD]]</f>
        <v>650</v>
      </c>
      <c r="O141" s="12">
        <f>+gemini_code_1787702791259[[#This Row],[Cantidad]]*gemini_code_1787702791259[[#This Row],[Costo_Unitario_USD]]</f>
        <v>350</v>
      </c>
      <c r="P141" s="12">
        <f>+gemini_code_1787702791259[[#This Row],[venta total]]-gemini_code_1787702791259[[#This Row],[Costo total]]</f>
        <v>300</v>
      </c>
      <c r="Q141" s="2">
        <f>gemini_code_1787702791259[[#This Row],[Ganancia bruta]]/gemini_code_1787702791259[[#This Row],[venta total]]</f>
        <v>0.46153846153846156</v>
      </c>
      <c r="R141" t="str">
        <f>IF(gemini_code_1787702791259[[#This Row],[Dias_Entrega]]&lt;=gemini_code_1787702791259[[#This Row],[Promesa_SLA_Dias]],"A tiempo","Fuera de SLA")</f>
        <v>A tiempo</v>
      </c>
    </row>
    <row r="142" spans="1:18" x14ac:dyDescent="0.25">
      <c r="A142" t="s">
        <v>65</v>
      </c>
      <c r="B142" s="1">
        <v>46241</v>
      </c>
      <c r="C142" t="s">
        <v>26</v>
      </c>
      <c r="D142" t="s">
        <v>27</v>
      </c>
      <c r="E142" t="s">
        <v>16</v>
      </c>
      <c r="F142" t="s">
        <v>17</v>
      </c>
      <c r="G142" t="s">
        <v>66</v>
      </c>
      <c r="H142">
        <v>2</v>
      </c>
      <c r="I142" s="12">
        <v>500</v>
      </c>
      <c r="J142" s="12">
        <v>380</v>
      </c>
      <c r="K142">
        <v>6</v>
      </c>
      <c r="L142">
        <v>4</v>
      </c>
      <c r="M142">
        <v>900</v>
      </c>
      <c r="N142" s="12">
        <f>+gemini_code_1787702791259[[#This Row],[Cantidad]]*gemini_code_1787702791259[[#This Row],[Precio_Unitario_USD]]</f>
        <v>1000</v>
      </c>
      <c r="O142" s="12">
        <f>+gemini_code_1787702791259[[#This Row],[Cantidad]]*gemini_code_1787702791259[[#This Row],[Costo_Unitario_USD]]</f>
        <v>760</v>
      </c>
      <c r="P142" s="12">
        <f>+gemini_code_1787702791259[[#This Row],[venta total]]-gemini_code_1787702791259[[#This Row],[Costo total]]</f>
        <v>240</v>
      </c>
      <c r="Q142" s="2">
        <f>gemini_code_1787702791259[[#This Row],[Ganancia bruta]]/gemini_code_1787702791259[[#This Row],[venta total]]</f>
        <v>0.24</v>
      </c>
      <c r="R142" t="str">
        <f>IF(gemini_code_1787702791259[[#This Row],[Dias_Entrega]]&lt;=gemini_code_1787702791259[[#This Row],[Promesa_SLA_Dias]],"A tiempo","Fuera de SLA")</f>
        <v>Fuera de SLA</v>
      </c>
    </row>
    <row r="143" spans="1:18" x14ac:dyDescent="0.25">
      <c r="A143" t="s">
        <v>67</v>
      </c>
      <c r="B143" s="1">
        <v>46242</v>
      </c>
      <c r="C143" t="s">
        <v>14</v>
      </c>
      <c r="D143" t="s">
        <v>15</v>
      </c>
      <c r="E143" t="s">
        <v>16</v>
      </c>
      <c r="F143" t="s">
        <v>23</v>
      </c>
      <c r="G143" t="s">
        <v>68</v>
      </c>
      <c r="H143">
        <v>3</v>
      </c>
      <c r="I143" s="12">
        <v>95</v>
      </c>
      <c r="J143" s="12">
        <v>45</v>
      </c>
      <c r="K143">
        <v>2</v>
      </c>
      <c r="L143">
        <v>3</v>
      </c>
      <c r="M143">
        <v>300</v>
      </c>
      <c r="N143" s="12">
        <f>+gemini_code_1787702791259[[#This Row],[Cantidad]]*gemini_code_1787702791259[[#This Row],[Precio_Unitario_USD]]</f>
        <v>285</v>
      </c>
      <c r="O143" s="12">
        <f>+gemini_code_1787702791259[[#This Row],[Cantidad]]*gemini_code_1787702791259[[#This Row],[Costo_Unitario_USD]]</f>
        <v>135</v>
      </c>
      <c r="P143" s="12">
        <f>+gemini_code_1787702791259[[#This Row],[venta total]]-gemini_code_1787702791259[[#This Row],[Costo total]]</f>
        <v>150</v>
      </c>
      <c r="Q143" s="2">
        <f>gemini_code_1787702791259[[#This Row],[Ganancia bruta]]/gemini_code_1787702791259[[#This Row],[venta total]]</f>
        <v>0.52631578947368418</v>
      </c>
      <c r="R143" t="str">
        <f>IF(gemini_code_1787702791259[[#This Row],[Dias_Entrega]]&lt;=gemini_code_1787702791259[[#This Row],[Promesa_SLA_Dias]],"A tiempo","Fuera de SLA")</f>
        <v>A tiempo</v>
      </c>
    </row>
    <row r="144" spans="1:18" x14ac:dyDescent="0.25">
      <c r="A144" t="s">
        <v>69</v>
      </c>
      <c r="B144" s="1">
        <v>46242</v>
      </c>
      <c r="C144" t="s">
        <v>20</v>
      </c>
      <c r="D144" t="s">
        <v>21</v>
      </c>
      <c r="E144" t="s">
        <v>16</v>
      </c>
      <c r="F144" t="s">
        <v>28</v>
      </c>
      <c r="G144" t="s">
        <v>70</v>
      </c>
      <c r="H144">
        <v>4</v>
      </c>
      <c r="I144" s="12">
        <v>160</v>
      </c>
      <c r="J144" s="12">
        <v>95</v>
      </c>
      <c r="K144">
        <v>2</v>
      </c>
      <c r="L144">
        <v>3</v>
      </c>
      <c r="M144">
        <v>600</v>
      </c>
      <c r="N144" s="12">
        <f>+gemini_code_1787702791259[[#This Row],[Cantidad]]*gemini_code_1787702791259[[#This Row],[Precio_Unitario_USD]]</f>
        <v>640</v>
      </c>
      <c r="O144" s="12">
        <f>+gemini_code_1787702791259[[#This Row],[Cantidad]]*gemini_code_1787702791259[[#This Row],[Costo_Unitario_USD]]</f>
        <v>380</v>
      </c>
      <c r="P144" s="12">
        <f>+gemini_code_1787702791259[[#This Row],[venta total]]-gemini_code_1787702791259[[#This Row],[Costo total]]</f>
        <v>260</v>
      </c>
      <c r="Q144" s="2">
        <f>gemini_code_1787702791259[[#This Row],[Ganancia bruta]]/gemini_code_1787702791259[[#This Row],[venta total]]</f>
        <v>0.40625</v>
      </c>
      <c r="R144" t="str">
        <f>IF(gemini_code_1787702791259[[#This Row],[Dias_Entrega]]&lt;=gemini_code_1787702791259[[#This Row],[Promesa_SLA_Dias]],"A tiempo","Fuera de SLA")</f>
        <v>A tiempo</v>
      </c>
    </row>
    <row r="145" spans="1:18" x14ac:dyDescent="0.25">
      <c r="A145" t="s">
        <v>71</v>
      </c>
      <c r="B145" s="1">
        <v>46242</v>
      </c>
      <c r="C145" t="s">
        <v>26</v>
      </c>
      <c r="D145" t="s">
        <v>27</v>
      </c>
      <c r="E145" t="s">
        <v>22</v>
      </c>
      <c r="F145" t="s">
        <v>31</v>
      </c>
      <c r="G145" t="s">
        <v>72</v>
      </c>
      <c r="H145">
        <v>7</v>
      </c>
      <c r="I145" s="12">
        <v>90</v>
      </c>
      <c r="J145" s="12">
        <v>45</v>
      </c>
      <c r="K145">
        <v>4</v>
      </c>
      <c r="L145">
        <v>3</v>
      </c>
      <c r="M145">
        <v>600</v>
      </c>
      <c r="N145" s="12">
        <f>+gemini_code_1787702791259[[#This Row],[Cantidad]]*gemini_code_1787702791259[[#This Row],[Precio_Unitario_USD]]</f>
        <v>630</v>
      </c>
      <c r="O145" s="12">
        <f>+gemini_code_1787702791259[[#This Row],[Cantidad]]*gemini_code_1787702791259[[#This Row],[Costo_Unitario_USD]]</f>
        <v>315</v>
      </c>
      <c r="P145" s="12">
        <f>+gemini_code_1787702791259[[#This Row],[venta total]]-gemini_code_1787702791259[[#This Row],[Costo total]]</f>
        <v>315</v>
      </c>
      <c r="Q145" s="2">
        <f>gemini_code_1787702791259[[#This Row],[Ganancia bruta]]/gemini_code_1787702791259[[#This Row],[venta total]]</f>
        <v>0.5</v>
      </c>
      <c r="R145" t="str">
        <f>IF(gemini_code_1787702791259[[#This Row],[Dias_Entrega]]&lt;=gemini_code_1787702791259[[#This Row],[Promesa_SLA_Dias]],"A tiempo","Fuera de SLA")</f>
        <v>Fuera de SLA</v>
      </c>
    </row>
    <row r="146" spans="1:18" x14ac:dyDescent="0.25">
      <c r="A146" t="s">
        <v>73</v>
      </c>
      <c r="B146" s="1">
        <v>46243</v>
      </c>
      <c r="C146" t="s">
        <v>14</v>
      </c>
      <c r="D146" t="s">
        <v>15</v>
      </c>
      <c r="E146" t="s">
        <v>22</v>
      </c>
      <c r="F146" t="s">
        <v>17</v>
      </c>
      <c r="G146" t="s">
        <v>74</v>
      </c>
      <c r="H146">
        <v>3</v>
      </c>
      <c r="I146" s="12">
        <v>310</v>
      </c>
      <c r="J146" s="12">
        <v>210</v>
      </c>
      <c r="K146">
        <v>2</v>
      </c>
      <c r="L146">
        <v>3</v>
      </c>
      <c r="M146">
        <v>900</v>
      </c>
      <c r="N146" s="12">
        <f>+gemini_code_1787702791259[[#This Row],[Cantidad]]*gemini_code_1787702791259[[#This Row],[Precio_Unitario_USD]]</f>
        <v>930</v>
      </c>
      <c r="O146" s="12">
        <f>+gemini_code_1787702791259[[#This Row],[Cantidad]]*gemini_code_1787702791259[[#This Row],[Costo_Unitario_USD]]</f>
        <v>630</v>
      </c>
      <c r="P146" s="12">
        <f>+gemini_code_1787702791259[[#This Row],[venta total]]-gemini_code_1787702791259[[#This Row],[Costo total]]</f>
        <v>300</v>
      </c>
      <c r="Q146" s="2">
        <f>gemini_code_1787702791259[[#This Row],[Ganancia bruta]]/gemini_code_1787702791259[[#This Row],[venta total]]</f>
        <v>0.32258064516129031</v>
      </c>
      <c r="R146" t="str">
        <f>IF(gemini_code_1787702791259[[#This Row],[Dias_Entrega]]&lt;=gemini_code_1787702791259[[#This Row],[Promesa_SLA_Dias]],"A tiempo","Fuera de SLA")</f>
        <v>A tiempo</v>
      </c>
    </row>
    <row r="147" spans="1:18" x14ac:dyDescent="0.25">
      <c r="A147" t="s">
        <v>75</v>
      </c>
      <c r="B147" s="1">
        <v>46243</v>
      </c>
      <c r="C147" t="s">
        <v>20</v>
      </c>
      <c r="D147" t="s">
        <v>21</v>
      </c>
      <c r="E147" t="s">
        <v>16</v>
      </c>
      <c r="F147" t="s">
        <v>23</v>
      </c>
      <c r="G147" t="s">
        <v>76</v>
      </c>
      <c r="H147">
        <v>8</v>
      </c>
      <c r="I147" s="12">
        <v>50</v>
      </c>
      <c r="J147" s="12">
        <v>22</v>
      </c>
      <c r="K147">
        <v>2</v>
      </c>
      <c r="L147">
        <v>3</v>
      </c>
      <c r="M147">
        <v>400</v>
      </c>
      <c r="N147" s="12">
        <f>+gemini_code_1787702791259[[#This Row],[Cantidad]]*gemini_code_1787702791259[[#This Row],[Precio_Unitario_USD]]</f>
        <v>400</v>
      </c>
      <c r="O147" s="12">
        <f>+gemini_code_1787702791259[[#This Row],[Cantidad]]*gemini_code_1787702791259[[#This Row],[Costo_Unitario_USD]]</f>
        <v>176</v>
      </c>
      <c r="P147" s="12">
        <f>+gemini_code_1787702791259[[#This Row],[venta total]]-gemini_code_1787702791259[[#This Row],[Costo total]]</f>
        <v>224</v>
      </c>
      <c r="Q147" s="2">
        <f>gemini_code_1787702791259[[#This Row],[Ganancia bruta]]/gemini_code_1787702791259[[#This Row],[venta total]]</f>
        <v>0.56000000000000005</v>
      </c>
      <c r="R147" t="str">
        <f>IF(gemini_code_1787702791259[[#This Row],[Dias_Entrega]]&lt;=gemini_code_1787702791259[[#This Row],[Promesa_SLA_Dias]],"A tiempo","Fuera de SLA")</f>
        <v>A tiempo</v>
      </c>
    </row>
    <row r="148" spans="1:18" x14ac:dyDescent="0.25">
      <c r="A148" t="s">
        <v>77</v>
      </c>
      <c r="B148" s="1">
        <v>46243</v>
      </c>
      <c r="C148" t="s">
        <v>26</v>
      </c>
      <c r="D148" t="s">
        <v>27</v>
      </c>
      <c r="E148" t="s">
        <v>16</v>
      </c>
      <c r="F148" t="s">
        <v>28</v>
      </c>
      <c r="G148" t="s">
        <v>78</v>
      </c>
      <c r="H148">
        <v>1</v>
      </c>
      <c r="I148" s="12">
        <v>750</v>
      </c>
      <c r="J148" s="12">
        <v>480</v>
      </c>
      <c r="K148">
        <v>8</v>
      </c>
      <c r="L148">
        <v>4</v>
      </c>
      <c r="M148">
        <v>700</v>
      </c>
      <c r="N148" s="12">
        <f>+gemini_code_1787702791259[[#This Row],[Cantidad]]*gemini_code_1787702791259[[#This Row],[Precio_Unitario_USD]]</f>
        <v>750</v>
      </c>
      <c r="O148" s="12">
        <f>+gemini_code_1787702791259[[#This Row],[Cantidad]]*gemini_code_1787702791259[[#This Row],[Costo_Unitario_USD]]</f>
        <v>480</v>
      </c>
      <c r="P148" s="12">
        <f>+gemini_code_1787702791259[[#This Row],[venta total]]-gemini_code_1787702791259[[#This Row],[Costo total]]</f>
        <v>270</v>
      </c>
      <c r="Q148" s="2">
        <f>gemini_code_1787702791259[[#This Row],[Ganancia bruta]]/gemini_code_1787702791259[[#This Row],[venta total]]</f>
        <v>0.36</v>
      </c>
      <c r="R148" t="str">
        <f>IF(gemini_code_1787702791259[[#This Row],[Dias_Entrega]]&lt;=gemini_code_1787702791259[[#This Row],[Promesa_SLA_Dias]],"A tiempo","Fuera de SLA")</f>
        <v>Fuera de SLA</v>
      </c>
    </row>
    <row r="149" spans="1:18" x14ac:dyDescent="0.25">
      <c r="A149" t="s">
        <v>79</v>
      </c>
      <c r="B149" s="1">
        <v>46244</v>
      </c>
      <c r="C149" t="s">
        <v>14</v>
      </c>
      <c r="D149" t="s">
        <v>15</v>
      </c>
      <c r="E149" t="s">
        <v>16</v>
      </c>
      <c r="F149" t="s">
        <v>31</v>
      </c>
      <c r="G149" t="s">
        <v>80</v>
      </c>
      <c r="H149">
        <v>4</v>
      </c>
      <c r="I149" s="12">
        <v>140</v>
      </c>
      <c r="J149" s="12">
        <v>75</v>
      </c>
      <c r="K149">
        <v>3</v>
      </c>
      <c r="L149">
        <v>3</v>
      </c>
      <c r="M149">
        <v>500</v>
      </c>
      <c r="N149" s="12">
        <f>+gemini_code_1787702791259[[#This Row],[Cantidad]]*gemini_code_1787702791259[[#This Row],[Precio_Unitario_USD]]</f>
        <v>560</v>
      </c>
      <c r="O149" s="12">
        <f>+gemini_code_1787702791259[[#This Row],[Cantidad]]*gemini_code_1787702791259[[#This Row],[Costo_Unitario_USD]]</f>
        <v>300</v>
      </c>
      <c r="P149" s="12">
        <f>+gemini_code_1787702791259[[#This Row],[venta total]]-gemini_code_1787702791259[[#This Row],[Costo total]]</f>
        <v>260</v>
      </c>
      <c r="Q149" s="2">
        <f>gemini_code_1787702791259[[#This Row],[Ganancia bruta]]/gemini_code_1787702791259[[#This Row],[venta total]]</f>
        <v>0.4642857142857143</v>
      </c>
      <c r="R149" t="str">
        <f>IF(gemini_code_1787702791259[[#This Row],[Dias_Entrega]]&lt;=gemini_code_1787702791259[[#This Row],[Promesa_SLA_Dias]],"A tiempo","Fuera de SLA")</f>
        <v>A tiempo</v>
      </c>
    </row>
    <row r="150" spans="1:18" x14ac:dyDescent="0.25">
      <c r="A150" t="s">
        <v>81</v>
      </c>
      <c r="B150" s="1">
        <v>46244</v>
      </c>
      <c r="C150" t="s">
        <v>20</v>
      </c>
      <c r="D150" t="s">
        <v>21</v>
      </c>
      <c r="E150" t="s">
        <v>22</v>
      </c>
      <c r="F150" t="s">
        <v>17</v>
      </c>
      <c r="G150" t="s">
        <v>82</v>
      </c>
      <c r="H150">
        <v>6</v>
      </c>
      <c r="I150" s="12">
        <v>90</v>
      </c>
      <c r="J150" s="12">
        <v>50</v>
      </c>
      <c r="K150">
        <v>1</v>
      </c>
      <c r="L150">
        <v>2</v>
      </c>
      <c r="M150">
        <v>500</v>
      </c>
      <c r="N150" s="12">
        <f>+gemini_code_1787702791259[[#This Row],[Cantidad]]*gemini_code_1787702791259[[#This Row],[Precio_Unitario_USD]]</f>
        <v>540</v>
      </c>
      <c r="O150" s="12">
        <f>+gemini_code_1787702791259[[#This Row],[Cantidad]]*gemini_code_1787702791259[[#This Row],[Costo_Unitario_USD]]</f>
        <v>300</v>
      </c>
      <c r="P150" s="12">
        <f>+gemini_code_1787702791259[[#This Row],[venta total]]-gemini_code_1787702791259[[#This Row],[Costo total]]</f>
        <v>240</v>
      </c>
      <c r="Q150" s="2">
        <f>gemini_code_1787702791259[[#This Row],[Ganancia bruta]]/gemini_code_1787702791259[[#This Row],[venta total]]</f>
        <v>0.44444444444444442</v>
      </c>
      <c r="R150" t="str">
        <f>IF(gemini_code_1787702791259[[#This Row],[Dias_Entrega]]&lt;=gemini_code_1787702791259[[#This Row],[Promesa_SLA_Dias]],"A tiempo","Fuera de SLA")</f>
        <v>A tiempo</v>
      </c>
    </row>
    <row r="151" spans="1:18" x14ac:dyDescent="0.25">
      <c r="A151" t="s">
        <v>83</v>
      </c>
      <c r="B151" s="1">
        <v>46244</v>
      </c>
      <c r="C151" t="s">
        <v>26</v>
      </c>
      <c r="D151" t="s">
        <v>27</v>
      </c>
      <c r="E151" t="s">
        <v>16</v>
      </c>
      <c r="F151" t="s">
        <v>23</v>
      </c>
      <c r="G151" t="s">
        <v>84</v>
      </c>
      <c r="H151">
        <v>6</v>
      </c>
      <c r="I151" s="12">
        <v>60</v>
      </c>
      <c r="J151" s="12">
        <v>28</v>
      </c>
      <c r="K151">
        <v>5</v>
      </c>
      <c r="L151">
        <v>3</v>
      </c>
      <c r="M151">
        <v>350</v>
      </c>
      <c r="N151" s="12">
        <f>+gemini_code_1787702791259[[#This Row],[Cantidad]]*gemini_code_1787702791259[[#This Row],[Precio_Unitario_USD]]</f>
        <v>360</v>
      </c>
      <c r="O151" s="12">
        <f>+gemini_code_1787702791259[[#This Row],[Cantidad]]*gemini_code_1787702791259[[#This Row],[Costo_Unitario_USD]]</f>
        <v>168</v>
      </c>
      <c r="P151" s="12">
        <f>+gemini_code_1787702791259[[#This Row],[venta total]]-gemini_code_1787702791259[[#This Row],[Costo total]]</f>
        <v>192</v>
      </c>
      <c r="Q151" s="2">
        <f>gemini_code_1787702791259[[#This Row],[Ganancia bruta]]/gemini_code_1787702791259[[#This Row],[venta total]]</f>
        <v>0.53333333333333333</v>
      </c>
      <c r="R151" t="str">
        <f>IF(gemini_code_1787702791259[[#This Row],[Dias_Entrega]]&lt;=gemini_code_1787702791259[[#This Row],[Promesa_SLA_Dias]],"A tiempo","Fuera de SLA")</f>
        <v>Fuera de SLA</v>
      </c>
    </row>
    <row r="152" spans="1:18" x14ac:dyDescent="0.25">
      <c r="A152" t="s">
        <v>13</v>
      </c>
      <c r="B152" s="1">
        <v>46235</v>
      </c>
      <c r="C152" t="s">
        <v>14</v>
      </c>
      <c r="D152" t="s">
        <v>15</v>
      </c>
      <c r="E152" t="s">
        <v>16</v>
      </c>
      <c r="F152" t="s">
        <v>17</v>
      </c>
      <c r="G152" t="s">
        <v>18</v>
      </c>
      <c r="H152">
        <v>2</v>
      </c>
      <c r="I152" s="12">
        <v>850</v>
      </c>
      <c r="J152" s="12">
        <v>600</v>
      </c>
      <c r="K152">
        <v>2</v>
      </c>
      <c r="L152">
        <v>3</v>
      </c>
      <c r="M152">
        <v>1500</v>
      </c>
      <c r="N152" s="12">
        <f>+gemini_code_1787702791259[[#This Row],[Cantidad]]*gemini_code_1787702791259[[#This Row],[Precio_Unitario_USD]]</f>
        <v>1700</v>
      </c>
      <c r="O152" s="12">
        <f>+gemini_code_1787702791259[[#This Row],[Cantidad]]*gemini_code_1787702791259[[#This Row],[Costo_Unitario_USD]]</f>
        <v>1200</v>
      </c>
      <c r="P152" s="12">
        <f>+gemini_code_1787702791259[[#This Row],[venta total]]-gemini_code_1787702791259[[#This Row],[Costo total]]</f>
        <v>500</v>
      </c>
      <c r="Q152" s="2">
        <f>gemini_code_1787702791259[[#This Row],[Ganancia bruta]]/gemini_code_1787702791259[[#This Row],[venta total]]</f>
        <v>0.29411764705882354</v>
      </c>
      <c r="R152" t="str">
        <f>IF(gemini_code_1787702791259[[#This Row],[Dias_Entrega]]&lt;=gemini_code_1787702791259[[#This Row],[Promesa_SLA_Dias]],"A tiempo","Fuera de SLA")</f>
        <v>A tiempo</v>
      </c>
    </row>
    <row r="153" spans="1:18" x14ac:dyDescent="0.25">
      <c r="A153" t="s">
        <v>19</v>
      </c>
      <c r="B153" s="1">
        <v>46235</v>
      </c>
      <c r="C153" t="s">
        <v>20</v>
      </c>
      <c r="D153" t="s">
        <v>21</v>
      </c>
      <c r="E153" t="s">
        <v>22</v>
      </c>
      <c r="F153" t="s">
        <v>23</v>
      </c>
      <c r="G153" t="s">
        <v>24</v>
      </c>
      <c r="H153">
        <v>5</v>
      </c>
      <c r="I153" s="12">
        <v>120</v>
      </c>
      <c r="J153" s="12">
        <v>70</v>
      </c>
      <c r="K153">
        <v>3</v>
      </c>
      <c r="L153">
        <v>3</v>
      </c>
      <c r="M153">
        <v>500</v>
      </c>
      <c r="N153" s="12">
        <f>+gemini_code_1787702791259[[#This Row],[Cantidad]]*gemini_code_1787702791259[[#This Row],[Precio_Unitario_USD]]</f>
        <v>600</v>
      </c>
      <c r="O153" s="12">
        <f>+gemini_code_1787702791259[[#This Row],[Cantidad]]*gemini_code_1787702791259[[#This Row],[Costo_Unitario_USD]]</f>
        <v>350</v>
      </c>
      <c r="P153" s="12">
        <f>+gemini_code_1787702791259[[#This Row],[venta total]]-gemini_code_1787702791259[[#This Row],[Costo total]]</f>
        <v>250</v>
      </c>
      <c r="Q153" s="2">
        <f>gemini_code_1787702791259[[#This Row],[Ganancia bruta]]/gemini_code_1787702791259[[#This Row],[venta total]]</f>
        <v>0.41666666666666669</v>
      </c>
      <c r="R153" t="str">
        <f>IF(gemini_code_1787702791259[[#This Row],[Dias_Entrega]]&lt;=gemini_code_1787702791259[[#This Row],[Promesa_SLA_Dias]],"A tiempo","Fuera de SLA")</f>
        <v>A tiempo</v>
      </c>
    </row>
    <row r="154" spans="1:18" x14ac:dyDescent="0.25">
      <c r="A154" t="s">
        <v>25</v>
      </c>
      <c r="B154" s="1">
        <v>46235</v>
      </c>
      <c r="C154" t="s">
        <v>26</v>
      </c>
      <c r="D154" t="s">
        <v>27</v>
      </c>
      <c r="E154" t="s">
        <v>16</v>
      </c>
      <c r="F154" t="s">
        <v>28</v>
      </c>
      <c r="G154" t="s">
        <v>29</v>
      </c>
      <c r="H154">
        <v>3</v>
      </c>
      <c r="I154" s="12">
        <v>90</v>
      </c>
      <c r="J154" s="12">
        <v>50</v>
      </c>
      <c r="K154">
        <v>6</v>
      </c>
      <c r="L154">
        <v>4</v>
      </c>
      <c r="M154">
        <v>300</v>
      </c>
      <c r="N154" s="12">
        <f>+gemini_code_1787702791259[[#This Row],[Cantidad]]*gemini_code_1787702791259[[#This Row],[Precio_Unitario_USD]]</f>
        <v>270</v>
      </c>
      <c r="O154" s="12">
        <f>+gemini_code_1787702791259[[#This Row],[Cantidad]]*gemini_code_1787702791259[[#This Row],[Costo_Unitario_USD]]</f>
        <v>150</v>
      </c>
      <c r="P154" s="12">
        <f>+gemini_code_1787702791259[[#This Row],[venta total]]-gemini_code_1787702791259[[#This Row],[Costo total]]</f>
        <v>120</v>
      </c>
      <c r="Q154" s="2">
        <f>gemini_code_1787702791259[[#This Row],[Ganancia bruta]]/gemini_code_1787702791259[[#This Row],[venta total]]</f>
        <v>0.44444444444444442</v>
      </c>
      <c r="R154" t="str">
        <f>IF(gemini_code_1787702791259[[#This Row],[Dias_Entrega]]&lt;=gemini_code_1787702791259[[#This Row],[Promesa_SLA_Dias]],"A tiempo","Fuera de SLA")</f>
        <v>Fuera de SLA</v>
      </c>
    </row>
    <row r="155" spans="1:18" x14ac:dyDescent="0.25">
      <c r="A155" t="s">
        <v>30</v>
      </c>
      <c r="B155" s="1">
        <v>46236</v>
      </c>
      <c r="C155" t="s">
        <v>14</v>
      </c>
      <c r="D155" t="s">
        <v>15</v>
      </c>
      <c r="E155" t="s">
        <v>22</v>
      </c>
      <c r="F155" t="s">
        <v>31</v>
      </c>
      <c r="G155" t="s">
        <v>32</v>
      </c>
      <c r="H155">
        <v>4</v>
      </c>
      <c r="I155" s="12">
        <v>110</v>
      </c>
      <c r="J155" s="12">
        <v>60</v>
      </c>
      <c r="K155">
        <v>1</v>
      </c>
      <c r="L155">
        <v>2</v>
      </c>
      <c r="M155">
        <v>400</v>
      </c>
      <c r="N155" s="12">
        <f>+gemini_code_1787702791259[[#This Row],[Cantidad]]*gemini_code_1787702791259[[#This Row],[Precio_Unitario_USD]]</f>
        <v>440</v>
      </c>
      <c r="O155" s="12">
        <f>+gemini_code_1787702791259[[#This Row],[Cantidad]]*gemini_code_1787702791259[[#This Row],[Costo_Unitario_USD]]</f>
        <v>240</v>
      </c>
      <c r="P155" s="12">
        <f>+gemini_code_1787702791259[[#This Row],[venta total]]-gemini_code_1787702791259[[#This Row],[Costo total]]</f>
        <v>200</v>
      </c>
      <c r="Q155" s="2">
        <f>gemini_code_1787702791259[[#This Row],[Ganancia bruta]]/gemini_code_1787702791259[[#This Row],[venta total]]</f>
        <v>0.45454545454545453</v>
      </c>
      <c r="R155" t="str">
        <f>IF(gemini_code_1787702791259[[#This Row],[Dias_Entrega]]&lt;=gemini_code_1787702791259[[#This Row],[Promesa_SLA_Dias]],"A tiempo","Fuera de SLA")</f>
        <v>A tiempo</v>
      </c>
    </row>
    <row r="156" spans="1:18" x14ac:dyDescent="0.25">
      <c r="A156" t="s">
        <v>33</v>
      </c>
      <c r="B156" s="1">
        <v>46236</v>
      </c>
      <c r="C156" t="s">
        <v>20</v>
      </c>
      <c r="D156" t="s">
        <v>21</v>
      </c>
      <c r="E156" t="s">
        <v>16</v>
      </c>
      <c r="F156" t="s">
        <v>17</v>
      </c>
      <c r="G156" t="s">
        <v>34</v>
      </c>
      <c r="H156">
        <v>3</v>
      </c>
      <c r="I156" s="12">
        <v>650</v>
      </c>
      <c r="J156" s="12">
        <v>450</v>
      </c>
      <c r="K156">
        <v>2</v>
      </c>
      <c r="L156">
        <v>3</v>
      </c>
      <c r="M156">
        <v>1800</v>
      </c>
      <c r="N156" s="12">
        <f>+gemini_code_1787702791259[[#This Row],[Cantidad]]*gemini_code_1787702791259[[#This Row],[Precio_Unitario_USD]]</f>
        <v>1950</v>
      </c>
      <c r="O156" s="12">
        <f>+gemini_code_1787702791259[[#This Row],[Cantidad]]*gemini_code_1787702791259[[#This Row],[Costo_Unitario_USD]]</f>
        <v>1350</v>
      </c>
      <c r="P156" s="12">
        <f>+gemini_code_1787702791259[[#This Row],[venta total]]-gemini_code_1787702791259[[#This Row],[Costo total]]</f>
        <v>600</v>
      </c>
      <c r="Q156" s="2">
        <f>gemini_code_1787702791259[[#This Row],[Ganancia bruta]]/gemini_code_1787702791259[[#This Row],[venta total]]</f>
        <v>0.30769230769230771</v>
      </c>
      <c r="R156" t="str">
        <f>IF(gemini_code_1787702791259[[#This Row],[Dias_Entrega]]&lt;=gemini_code_1787702791259[[#This Row],[Promesa_SLA_Dias]],"A tiempo","Fuera de SLA")</f>
        <v>A tiempo</v>
      </c>
    </row>
    <row r="157" spans="1:18" x14ac:dyDescent="0.25">
      <c r="A157" t="s">
        <v>35</v>
      </c>
      <c r="B157" s="1">
        <v>46236</v>
      </c>
      <c r="C157" t="s">
        <v>26</v>
      </c>
      <c r="D157" t="s">
        <v>27</v>
      </c>
      <c r="E157" t="s">
        <v>16</v>
      </c>
      <c r="F157" t="s">
        <v>23</v>
      </c>
      <c r="G157" t="s">
        <v>36</v>
      </c>
      <c r="H157">
        <v>8</v>
      </c>
      <c r="I157" s="12">
        <v>45</v>
      </c>
      <c r="J157" s="12">
        <v>20</v>
      </c>
      <c r="K157">
        <v>5</v>
      </c>
      <c r="L157">
        <v>3</v>
      </c>
      <c r="M157">
        <v>400</v>
      </c>
      <c r="N157" s="12">
        <f>+gemini_code_1787702791259[[#This Row],[Cantidad]]*gemini_code_1787702791259[[#This Row],[Precio_Unitario_USD]]</f>
        <v>360</v>
      </c>
      <c r="O157" s="12">
        <f>+gemini_code_1787702791259[[#This Row],[Cantidad]]*gemini_code_1787702791259[[#This Row],[Costo_Unitario_USD]]</f>
        <v>160</v>
      </c>
      <c r="P157" s="12">
        <f>+gemini_code_1787702791259[[#This Row],[venta total]]-gemini_code_1787702791259[[#This Row],[Costo total]]</f>
        <v>200</v>
      </c>
      <c r="Q157" s="2">
        <f>gemini_code_1787702791259[[#This Row],[Ganancia bruta]]/gemini_code_1787702791259[[#This Row],[venta total]]</f>
        <v>0.55555555555555558</v>
      </c>
      <c r="R157" t="str">
        <f>IF(gemini_code_1787702791259[[#This Row],[Dias_Entrega]]&lt;=gemini_code_1787702791259[[#This Row],[Promesa_SLA_Dias]],"A tiempo","Fuera de SLA")</f>
        <v>Fuera de SLA</v>
      </c>
    </row>
    <row r="158" spans="1:18" x14ac:dyDescent="0.25">
      <c r="A158" t="s">
        <v>37</v>
      </c>
      <c r="B158" s="1">
        <v>46237</v>
      </c>
      <c r="C158" t="s">
        <v>14</v>
      </c>
      <c r="D158" t="s">
        <v>15</v>
      </c>
      <c r="E158" t="s">
        <v>16</v>
      </c>
      <c r="F158" t="s">
        <v>28</v>
      </c>
      <c r="G158" t="s">
        <v>38</v>
      </c>
      <c r="H158">
        <v>2</v>
      </c>
      <c r="I158" s="12">
        <v>280</v>
      </c>
      <c r="J158" s="12">
        <v>180</v>
      </c>
      <c r="K158">
        <v>3</v>
      </c>
      <c r="L158">
        <v>3</v>
      </c>
      <c r="M158">
        <v>500</v>
      </c>
      <c r="N158" s="12">
        <f>+gemini_code_1787702791259[[#This Row],[Cantidad]]*gemini_code_1787702791259[[#This Row],[Precio_Unitario_USD]]</f>
        <v>560</v>
      </c>
      <c r="O158" s="12">
        <f>+gemini_code_1787702791259[[#This Row],[Cantidad]]*gemini_code_1787702791259[[#This Row],[Costo_Unitario_USD]]</f>
        <v>360</v>
      </c>
      <c r="P158" s="12">
        <f>+gemini_code_1787702791259[[#This Row],[venta total]]-gemini_code_1787702791259[[#This Row],[Costo total]]</f>
        <v>200</v>
      </c>
      <c r="Q158" s="2">
        <f>gemini_code_1787702791259[[#This Row],[Ganancia bruta]]/gemini_code_1787702791259[[#This Row],[venta total]]</f>
        <v>0.35714285714285715</v>
      </c>
      <c r="R158" t="str">
        <f>IF(gemini_code_1787702791259[[#This Row],[Dias_Entrega]]&lt;=gemini_code_1787702791259[[#This Row],[Promesa_SLA_Dias]],"A tiempo","Fuera de SLA")</f>
        <v>A tiempo</v>
      </c>
    </row>
    <row r="159" spans="1:18" x14ac:dyDescent="0.25">
      <c r="A159" t="s">
        <v>39</v>
      </c>
      <c r="B159" s="1">
        <v>46237</v>
      </c>
      <c r="C159" t="s">
        <v>20</v>
      </c>
      <c r="D159" t="s">
        <v>21</v>
      </c>
      <c r="E159" t="s">
        <v>22</v>
      </c>
      <c r="F159" t="s">
        <v>31</v>
      </c>
      <c r="G159" t="s">
        <v>40</v>
      </c>
      <c r="H159">
        <v>3</v>
      </c>
      <c r="I159" s="12">
        <v>150</v>
      </c>
      <c r="J159" s="12">
        <v>85</v>
      </c>
      <c r="K159">
        <v>2</v>
      </c>
      <c r="L159">
        <v>2</v>
      </c>
      <c r="M159">
        <v>400</v>
      </c>
      <c r="N159" s="12">
        <f>+gemini_code_1787702791259[[#This Row],[Cantidad]]*gemini_code_1787702791259[[#This Row],[Precio_Unitario_USD]]</f>
        <v>450</v>
      </c>
      <c r="O159" s="12">
        <f>+gemini_code_1787702791259[[#This Row],[Cantidad]]*gemini_code_1787702791259[[#This Row],[Costo_Unitario_USD]]</f>
        <v>255</v>
      </c>
      <c r="P159" s="12">
        <f>+gemini_code_1787702791259[[#This Row],[venta total]]-gemini_code_1787702791259[[#This Row],[Costo total]]</f>
        <v>195</v>
      </c>
      <c r="Q159" s="2">
        <f>gemini_code_1787702791259[[#This Row],[Ganancia bruta]]/gemini_code_1787702791259[[#This Row],[venta total]]</f>
        <v>0.43333333333333335</v>
      </c>
      <c r="R159" t="str">
        <f>IF(gemini_code_1787702791259[[#This Row],[Dias_Entrega]]&lt;=gemini_code_1787702791259[[#This Row],[Promesa_SLA_Dias]],"A tiempo","Fuera de SLA")</f>
        <v>A tiempo</v>
      </c>
    </row>
    <row r="160" spans="1:18" x14ac:dyDescent="0.25">
      <c r="A160" t="s">
        <v>41</v>
      </c>
      <c r="B160" s="1">
        <v>46237</v>
      </c>
      <c r="C160" t="s">
        <v>26</v>
      </c>
      <c r="D160" t="s">
        <v>27</v>
      </c>
      <c r="E160" t="s">
        <v>16</v>
      </c>
      <c r="F160" t="s">
        <v>17</v>
      </c>
      <c r="G160" t="s">
        <v>42</v>
      </c>
      <c r="H160">
        <v>2</v>
      </c>
      <c r="I160" s="12">
        <v>520</v>
      </c>
      <c r="J160" s="12">
        <v>380</v>
      </c>
      <c r="K160">
        <v>7</v>
      </c>
      <c r="L160">
        <v>4</v>
      </c>
      <c r="M160">
        <v>1000</v>
      </c>
      <c r="N160" s="12">
        <f>+gemini_code_1787702791259[[#This Row],[Cantidad]]*gemini_code_1787702791259[[#This Row],[Precio_Unitario_USD]]</f>
        <v>1040</v>
      </c>
      <c r="O160" s="12">
        <f>+gemini_code_1787702791259[[#This Row],[Cantidad]]*gemini_code_1787702791259[[#This Row],[Costo_Unitario_USD]]</f>
        <v>760</v>
      </c>
      <c r="P160" s="12">
        <f>+gemini_code_1787702791259[[#This Row],[venta total]]-gemini_code_1787702791259[[#This Row],[Costo total]]</f>
        <v>280</v>
      </c>
      <c r="Q160" s="2">
        <f>gemini_code_1787702791259[[#This Row],[Ganancia bruta]]/gemini_code_1787702791259[[#This Row],[venta total]]</f>
        <v>0.26923076923076922</v>
      </c>
      <c r="R160" t="str">
        <f>IF(gemini_code_1787702791259[[#This Row],[Dias_Entrega]]&lt;=gemini_code_1787702791259[[#This Row],[Promesa_SLA_Dias]],"A tiempo","Fuera de SLA")</f>
        <v>Fuera de SLA</v>
      </c>
    </row>
    <row r="161" spans="1:18" x14ac:dyDescent="0.25">
      <c r="A161" t="s">
        <v>43</v>
      </c>
      <c r="B161" s="1">
        <v>46238</v>
      </c>
      <c r="C161" t="s">
        <v>14</v>
      </c>
      <c r="D161" t="s">
        <v>15</v>
      </c>
      <c r="E161" t="s">
        <v>22</v>
      </c>
      <c r="F161" t="s">
        <v>23</v>
      </c>
      <c r="G161" t="s">
        <v>44</v>
      </c>
      <c r="H161">
        <v>6</v>
      </c>
      <c r="I161" s="12">
        <v>55</v>
      </c>
      <c r="J161" s="12">
        <v>25</v>
      </c>
      <c r="K161">
        <v>2</v>
      </c>
      <c r="L161">
        <v>3</v>
      </c>
      <c r="M161">
        <v>300</v>
      </c>
      <c r="N161" s="12">
        <f>+gemini_code_1787702791259[[#This Row],[Cantidad]]*gemini_code_1787702791259[[#This Row],[Precio_Unitario_USD]]</f>
        <v>330</v>
      </c>
      <c r="O161" s="12">
        <f>+gemini_code_1787702791259[[#This Row],[Cantidad]]*gemini_code_1787702791259[[#This Row],[Costo_Unitario_USD]]</f>
        <v>150</v>
      </c>
      <c r="P161" s="12">
        <f>+gemini_code_1787702791259[[#This Row],[venta total]]-gemini_code_1787702791259[[#This Row],[Costo total]]</f>
        <v>180</v>
      </c>
      <c r="Q161" s="2">
        <f>gemini_code_1787702791259[[#This Row],[Ganancia bruta]]/gemini_code_1787702791259[[#This Row],[venta total]]</f>
        <v>0.54545454545454541</v>
      </c>
      <c r="R161" t="str">
        <f>IF(gemini_code_1787702791259[[#This Row],[Dias_Entrega]]&lt;=gemini_code_1787702791259[[#This Row],[Promesa_SLA_Dias]],"A tiempo","Fuera de SLA")</f>
        <v>A tiempo</v>
      </c>
    </row>
    <row r="162" spans="1:18" x14ac:dyDescent="0.25">
      <c r="A162" t="s">
        <v>45</v>
      </c>
      <c r="B162" s="1">
        <v>46238</v>
      </c>
      <c r="C162" t="s">
        <v>20</v>
      </c>
      <c r="D162" t="s">
        <v>21</v>
      </c>
      <c r="E162" t="s">
        <v>16</v>
      </c>
      <c r="F162" t="s">
        <v>28</v>
      </c>
      <c r="G162" t="s">
        <v>46</v>
      </c>
      <c r="H162">
        <v>1</v>
      </c>
      <c r="I162" s="12">
        <v>450</v>
      </c>
      <c r="J162" s="12">
        <v>290</v>
      </c>
      <c r="K162">
        <v>4</v>
      </c>
      <c r="L162">
        <v>3</v>
      </c>
      <c r="M162">
        <v>400</v>
      </c>
      <c r="N162" s="12">
        <f>+gemini_code_1787702791259[[#This Row],[Cantidad]]*gemini_code_1787702791259[[#This Row],[Precio_Unitario_USD]]</f>
        <v>450</v>
      </c>
      <c r="O162" s="12">
        <f>+gemini_code_1787702791259[[#This Row],[Cantidad]]*gemini_code_1787702791259[[#This Row],[Costo_Unitario_USD]]</f>
        <v>290</v>
      </c>
      <c r="P162" s="12">
        <f>+gemini_code_1787702791259[[#This Row],[venta total]]-gemini_code_1787702791259[[#This Row],[Costo total]]</f>
        <v>160</v>
      </c>
      <c r="Q162" s="2">
        <f>gemini_code_1787702791259[[#This Row],[Ganancia bruta]]/gemini_code_1787702791259[[#This Row],[venta total]]</f>
        <v>0.35555555555555557</v>
      </c>
      <c r="R162" t="str">
        <f>IF(gemini_code_1787702791259[[#This Row],[Dias_Entrega]]&lt;=gemini_code_1787702791259[[#This Row],[Promesa_SLA_Dias]],"A tiempo","Fuera de SLA")</f>
        <v>Fuera de SLA</v>
      </c>
    </row>
    <row r="163" spans="1:18" x14ac:dyDescent="0.25">
      <c r="A163" t="s">
        <v>47</v>
      </c>
      <c r="B163" s="1">
        <v>46238</v>
      </c>
      <c r="C163" t="s">
        <v>26</v>
      </c>
      <c r="D163" t="s">
        <v>27</v>
      </c>
      <c r="E163" t="s">
        <v>22</v>
      </c>
      <c r="F163" t="s">
        <v>31</v>
      </c>
      <c r="G163" t="s">
        <v>48</v>
      </c>
      <c r="H163">
        <v>10</v>
      </c>
      <c r="I163" s="12">
        <v>35</v>
      </c>
      <c r="J163" s="12">
        <v>15</v>
      </c>
      <c r="K163">
        <v>4</v>
      </c>
      <c r="L163">
        <v>3</v>
      </c>
      <c r="M163">
        <v>300</v>
      </c>
      <c r="N163" s="12">
        <f>+gemini_code_1787702791259[[#This Row],[Cantidad]]*gemini_code_1787702791259[[#This Row],[Precio_Unitario_USD]]</f>
        <v>350</v>
      </c>
      <c r="O163" s="12">
        <f>+gemini_code_1787702791259[[#This Row],[Cantidad]]*gemini_code_1787702791259[[#This Row],[Costo_Unitario_USD]]</f>
        <v>150</v>
      </c>
      <c r="P163" s="12">
        <f>+gemini_code_1787702791259[[#This Row],[venta total]]-gemini_code_1787702791259[[#This Row],[Costo total]]</f>
        <v>200</v>
      </c>
      <c r="Q163" s="2">
        <f>gemini_code_1787702791259[[#This Row],[Ganancia bruta]]/gemini_code_1787702791259[[#This Row],[venta total]]</f>
        <v>0.5714285714285714</v>
      </c>
      <c r="R163" t="str">
        <f>IF(gemini_code_1787702791259[[#This Row],[Dias_Entrega]]&lt;=gemini_code_1787702791259[[#This Row],[Promesa_SLA_Dias]],"A tiempo","Fuera de SLA")</f>
        <v>Fuera de SLA</v>
      </c>
    </row>
    <row r="164" spans="1:18" x14ac:dyDescent="0.25">
      <c r="A164" t="s">
        <v>49</v>
      </c>
      <c r="B164" s="1">
        <v>46239</v>
      </c>
      <c r="C164" t="s">
        <v>14</v>
      </c>
      <c r="D164" t="s">
        <v>15</v>
      </c>
      <c r="E164" t="s">
        <v>16</v>
      </c>
      <c r="F164" t="s">
        <v>17</v>
      </c>
      <c r="G164" t="s">
        <v>50</v>
      </c>
      <c r="H164">
        <v>4</v>
      </c>
      <c r="I164" s="12">
        <v>220</v>
      </c>
      <c r="J164" s="12">
        <v>140</v>
      </c>
      <c r="K164">
        <v>2</v>
      </c>
      <c r="L164">
        <v>3</v>
      </c>
      <c r="M164">
        <v>800</v>
      </c>
      <c r="N164" s="12">
        <f>+gemini_code_1787702791259[[#This Row],[Cantidad]]*gemini_code_1787702791259[[#This Row],[Precio_Unitario_USD]]</f>
        <v>880</v>
      </c>
      <c r="O164" s="12">
        <f>+gemini_code_1787702791259[[#This Row],[Cantidad]]*gemini_code_1787702791259[[#This Row],[Costo_Unitario_USD]]</f>
        <v>560</v>
      </c>
      <c r="P164" s="12">
        <f>+gemini_code_1787702791259[[#This Row],[venta total]]-gemini_code_1787702791259[[#This Row],[Costo total]]</f>
        <v>320</v>
      </c>
      <c r="Q164" s="2">
        <f>gemini_code_1787702791259[[#This Row],[Ganancia bruta]]/gemini_code_1787702791259[[#This Row],[venta total]]</f>
        <v>0.36363636363636365</v>
      </c>
      <c r="R164" t="str">
        <f>IF(gemini_code_1787702791259[[#This Row],[Dias_Entrega]]&lt;=gemini_code_1787702791259[[#This Row],[Promesa_SLA_Dias]],"A tiempo","Fuera de SLA")</f>
        <v>A tiempo</v>
      </c>
    </row>
    <row r="165" spans="1:18" x14ac:dyDescent="0.25">
      <c r="A165" t="s">
        <v>51</v>
      </c>
      <c r="B165" s="1">
        <v>46239</v>
      </c>
      <c r="C165" t="s">
        <v>20</v>
      </c>
      <c r="D165" t="s">
        <v>21</v>
      </c>
      <c r="E165" t="s">
        <v>16</v>
      </c>
      <c r="F165" t="s">
        <v>23</v>
      </c>
      <c r="G165" t="s">
        <v>52</v>
      </c>
      <c r="H165">
        <v>5</v>
      </c>
      <c r="I165" s="12">
        <v>65</v>
      </c>
      <c r="J165" s="12">
        <v>30</v>
      </c>
      <c r="K165">
        <v>2</v>
      </c>
      <c r="L165">
        <v>3</v>
      </c>
      <c r="M165">
        <v>300</v>
      </c>
      <c r="N165" s="12">
        <f>+gemini_code_1787702791259[[#This Row],[Cantidad]]*gemini_code_1787702791259[[#This Row],[Precio_Unitario_USD]]</f>
        <v>325</v>
      </c>
      <c r="O165" s="12">
        <f>+gemini_code_1787702791259[[#This Row],[Cantidad]]*gemini_code_1787702791259[[#This Row],[Costo_Unitario_USD]]</f>
        <v>150</v>
      </c>
      <c r="P165" s="12">
        <f>+gemini_code_1787702791259[[#This Row],[venta total]]-gemini_code_1787702791259[[#This Row],[Costo total]]</f>
        <v>175</v>
      </c>
      <c r="Q165" s="2">
        <f>gemini_code_1787702791259[[#This Row],[Ganancia bruta]]/gemini_code_1787702791259[[#This Row],[venta total]]</f>
        <v>0.53846153846153844</v>
      </c>
      <c r="R165" t="str">
        <f>IF(gemini_code_1787702791259[[#This Row],[Dias_Entrega]]&lt;=gemini_code_1787702791259[[#This Row],[Promesa_SLA_Dias]],"A tiempo","Fuera de SLA")</f>
        <v>A tiempo</v>
      </c>
    </row>
    <row r="166" spans="1:18" x14ac:dyDescent="0.25">
      <c r="A166" t="s">
        <v>53</v>
      </c>
      <c r="B166" s="1">
        <v>46239</v>
      </c>
      <c r="C166" t="s">
        <v>26</v>
      </c>
      <c r="D166" t="s">
        <v>27</v>
      </c>
      <c r="E166" t="s">
        <v>16</v>
      </c>
      <c r="F166" t="s">
        <v>28</v>
      </c>
      <c r="G166" t="s">
        <v>54</v>
      </c>
      <c r="H166">
        <v>2</v>
      </c>
      <c r="I166" s="12">
        <v>180</v>
      </c>
      <c r="J166" s="12">
        <v>110</v>
      </c>
      <c r="K166">
        <v>6</v>
      </c>
      <c r="L166">
        <v>3</v>
      </c>
      <c r="M166">
        <v>350</v>
      </c>
      <c r="N166" s="12">
        <f>+gemini_code_1787702791259[[#This Row],[Cantidad]]*gemini_code_1787702791259[[#This Row],[Precio_Unitario_USD]]</f>
        <v>360</v>
      </c>
      <c r="O166" s="12">
        <f>+gemini_code_1787702791259[[#This Row],[Cantidad]]*gemini_code_1787702791259[[#This Row],[Costo_Unitario_USD]]</f>
        <v>220</v>
      </c>
      <c r="P166" s="12">
        <f>+gemini_code_1787702791259[[#This Row],[venta total]]-gemini_code_1787702791259[[#This Row],[Costo total]]</f>
        <v>140</v>
      </c>
      <c r="Q166" s="2">
        <f>gemini_code_1787702791259[[#This Row],[Ganancia bruta]]/gemini_code_1787702791259[[#This Row],[venta total]]</f>
        <v>0.3888888888888889</v>
      </c>
      <c r="R166" t="str">
        <f>IF(gemini_code_1787702791259[[#This Row],[Dias_Entrega]]&lt;=gemini_code_1787702791259[[#This Row],[Promesa_SLA_Dias]],"A tiempo","Fuera de SLA")</f>
        <v>Fuera de SLA</v>
      </c>
    </row>
    <row r="167" spans="1:18" x14ac:dyDescent="0.25">
      <c r="A167" t="s">
        <v>55</v>
      </c>
      <c r="B167" s="1">
        <v>46240</v>
      </c>
      <c r="C167" t="s">
        <v>14</v>
      </c>
      <c r="D167" t="s">
        <v>15</v>
      </c>
      <c r="E167" t="s">
        <v>22</v>
      </c>
      <c r="F167" t="s">
        <v>31</v>
      </c>
      <c r="G167" t="s">
        <v>56</v>
      </c>
      <c r="H167">
        <v>6</v>
      </c>
      <c r="I167" s="12">
        <v>85</v>
      </c>
      <c r="J167" s="12">
        <v>45</v>
      </c>
      <c r="K167">
        <v>1</v>
      </c>
      <c r="L167">
        <v>2</v>
      </c>
      <c r="M167">
        <v>500</v>
      </c>
      <c r="N167" s="12">
        <f>+gemini_code_1787702791259[[#This Row],[Cantidad]]*gemini_code_1787702791259[[#This Row],[Precio_Unitario_USD]]</f>
        <v>510</v>
      </c>
      <c r="O167" s="12">
        <f>+gemini_code_1787702791259[[#This Row],[Cantidad]]*gemini_code_1787702791259[[#This Row],[Costo_Unitario_USD]]</f>
        <v>270</v>
      </c>
      <c r="P167" s="12">
        <f>+gemini_code_1787702791259[[#This Row],[venta total]]-gemini_code_1787702791259[[#This Row],[Costo total]]</f>
        <v>240</v>
      </c>
      <c r="Q167" s="2">
        <f>gemini_code_1787702791259[[#This Row],[Ganancia bruta]]/gemini_code_1787702791259[[#This Row],[venta total]]</f>
        <v>0.47058823529411764</v>
      </c>
      <c r="R167" t="str">
        <f>IF(gemini_code_1787702791259[[#This Row],[Dias_Entrega]]&lt;=gemini_code_1787702791259[[#This Row],[Promesa_SLA_Dias]],"A tiempo","Fuera de SLA")</f>
        <v>A tiempo</v>
      </c>
    </row>
    <row r="168" spans="1:18" x14ac:dyDescent="0.25">
      <c r="A168" t="s">
        <v>57</v>
      </c>
      <c r="B168" s="1">
        <v>46240</v>
      </c>
      <c r="C168" t="s">
        <v>20</v>
      </c>
      <c r="D168" t="s">
        <v>21</v>
      </c>
      <c r="E168" t="s">
        <v>16</v>
      </c>
      <c r="F168" t="s">
        <v>17</v>
      </c>
      <c r="G168" t="s">
        <v>58</v>
      </c>
      <c r="H168">
        <v>12</v>
      </c>
      <c r="I168" s="12">
        <v>75</v>
      </c>
      <c r="J168" s="12">
        <v>35</v>
      </c>
      <c r="K168">
        <v>1</v>
      </c>
      <c r="L168">
        <v>2</v>
      </c>
      <c r="M168">
        <v>800</v>
      </c>
      <c r="N168" s="12">
        <f>+gemini_code_1787702791259[[#This Row],[Cantidad]]*gemini_code_1787702791259[[#This Row],[Precio_Unitario_USD]]</f>
        <v>900</v>
      </c>
      <c r="O168" s="12">
        <f>+gemini_code_1787702791259[[#This Row],[Cantidad]]*gemini_code_1787702791259[[#This Row],[Costo_Unitario_USD]]</f>
        <v>420</v>
      </c>
      <c r="P168" s="12">
        <f>+gemini_code_1787702791259[[#This Row],[venta total]]-gemini_code_1787702791259[[#This Row],[Costo total]]</f>
        <v>480</v>
      </c>
      <c r="Q168" s="2">
        <f>gemini_code_1787702791259[[#This Row],[Ganancia bruta]]/gemini_code_1787702791259[[#This Row],[venta total]]</f>
        <v>0.53333333333333333</v>
      </c>
      <c r="R168" t="str">
        <f>IF(gemini_code_1787702791259[[#This Row],[Dias_Entrega]]&lt;=gemini_code_1787702791259[[#This Row],[Promesa_SLA_Dias]],"A tiempo","Fuera de SLA")</f>
        <v>A tiempo</v>
      </c>
    </row>
    <row r="169" spans="1:18" x14ac:dyDescent="0.25">
      <c r="A169" t="s">
        <v>59</v>
      </c>
      <c r="B169" s="1">
        <v>46240</v>
      </c>
      <c r="C169" t="s">
        <v>26</v>
      </c>
      <c r="D169" t="s">
        <v>27</v>
      </c>
      <c r="E169" t="s">
        <v>22</v>
      </c>
      <c r="F169" t="s">
        <v>23</v>
      </c>
      <c r="G169" t="s">
        <v>60</v>
      </c>
      <c r="H169">
        <v>4</v>
      </c>
      <c r="I169" s="12">
        <v>110</v>
      </c>
      <c r="J169" s="12">
        <v>55</v>
      </c>
      <c r="K169">
        <v>5</v>
      </c>
      <c r="L169">
        <v>3</v>
      </c>
      <c r="M169">
        <v>400</v>
      </c>
      <c r="N169" s="12">
        <f>+gemini_code_1787702791259[[#This Row],[Cantidad]]*gemini_code_1787702791259[[#This Row],[Precio_Unitario_USD]]</f>
        <v>440</v>
      </c>
      <c r="O169" s="12">
        <f>+gemini_code_1787702791259[[#This Row],[Cantidad]]*gemini_code_1787702791259[[#This Row],[Costo_Unitario_USD]]</f>
        <v>220</v>
      </c>
      <c r="P169" s="12">
        <f>+gemini_code_1787702791259[[#This Row],[venta total]]-gemini_code_1787702791259[[#This Row],[Costo total]]</f>
        <v>220</v>
      </c>
      <c r="Q169" s="2">
        <f>gemini_code_1787702791259[[#This Row],[Ganancia bruta]]/gemini_code_1787702791259[[#This Row],[venta total]]</f>
        <v>0.5</v>
      </c>
      <c r="R169" t="str">
        <f>IF(gemini_code_1787702791259[[#This Row],[Dias_Entrega]]&lt;=gemini_code_1787702791259[[#This Row],[Promesa_SLA_Dias]],"A tiempo","Fuera de SLA")</f>
        <v>Fuera de SLA</v>
      </c>
    </row>
    <row r="170" spans="1:18" x14ac:dyDescent="0.25">
      <c r="A170" t="s">
        <v>61</v>
      </c>
      <c r="B170" s="1">
        <v>46241</v>
      </c>
      <c r="C170" t="s">
        <v>14</v>
      </c>
      <c r="D170" t="s">
        <v>15</v>
      </c>
      <c r="E170" t="s">
        <v>16</v>
      </c>
      <c r="F170" t="s">
        <v>28</v>
      </c>
      <c r="G170" t="s">
        <v>62</v>
      </c>
      <c r="H170">
        <v>15</v>
      </c>
      <c r="I170" s="12">
        <v>25</v>
      </c>
      <c r="J170" s="12">
        <v>10</v>
      </c>
      <c r="K170">
        <v>2</v>
      </c>
      <c r="L170">
        <v>3</v>
      </c>
      <c r="M170">
        <v>300</v>
      </c>
      <c r="N170" s="12">
        <f>+gemini_code_1787702791259[[#This Row],[Cantidad]]*gemini_code_1787702791259[[#This Row],[Precio_Unitario_USD]]</f>
        <v>375</v>
      </c>
      <c r="O170" s="12">
        <f>+gemini_code_1787702791259[[#This Row],[Cantidad]]*gemini_code_1787702791259[[#This Row],[Costo_Unitario_USD]]</f>
        <v>150</v>
      </c>
      <c r="P170" s="12">
        <f>+gemini_code_1787702791259[[#This Row],[venta total]]-gemini_code_1787702791259[[#This Row],[Costo total]]</f>
        <v>225</v>
      </c>
      <c r="Q170" s="2">
        <f>gemini_code_1787702791259[[#This Row],[Ganancia bruta]]/gemini_code_1787702791259[[#This Row],[venta total]]</f>
        <v>0.6</v>
      </c>
      <c r="R170" t="str">
        <f>IF(gemini_code_1787702791259[[#This Row],[Dias_Entrega]]&lt;=gemini_code_1787702791259[[#This Row],[Promesa_SLA_Dias]],"A tiempo","Fuera de SLA")</f>
        <v>A tiempo</v>
      </c>
    </row>
    <row r="171" spans="1:18" x14ac:dyDescent="0.25">
      <c r="A171" t="s">
        <v>63</v>
      </c>
      <c r="B171" s="1">
        <v>46241</v>
      </c>
      <c r="C171" t="s">
        <v>20</v>
      </c>
      <c r="D171" t="s">
        <v>21</v>
      </c>
      <c r="E171" t="s">
        <v>22</v>
      </c>
      <c r="F171" t="s">
        <v>31</v>
      </c>
      <c r="G171" t="s">
        <v>64</v>
      </c>
      <c r="H171">
        <v>5</v>
      </c>
      <c r="I171" s="12">
        <v>130</v>
      </c>
      <c r="J171" s="12">
        <v>70</v>
      </c>
      <c r="K171">
        <v>3</v>
      </c>
      <c r="L171">
        <v>3</v>
      </c>
      <c r="M171">
        <v>600</v>
      </c>
      <c r="N171" s="12">
        <f>+gemini_code_1787702791259[[#This Row],[Cantidad]]*gemini_code_1787702791259[[#This Row],[Precio_Unitario_USD]]</f>
        <v>650</v>
      </c>
      <c r="O171" s="12">
        <f>+gemini_code_1787702791259[[#This Row],[Cantidad]]*gemini_code_1787702791259[[#This Row],[Costo_Unitario_USD]]</f>
        <v>350</v>
      </c>
      <c r="P171" s="12">
        <f>+gemini_code_1787702791259[[#This Row],[venta total]]-gemini_code_1787702791259[[#This Row],[Costo total]]</f>
        <v>300</v>
      </c>
      <c r="Q171" s="2">
        <f>gemini_code_1787702791259[[#This Row],[Ganancia bruta]]/gemini_code_1787702791259[[#This Row],[venta total]]</f>
        <v>0.46153846153846156</v>
      </c>
      <c r="R171" t="str">
        <f>IF(gemini_code_1787702791259[[#This Row],[Dias_Entrega]]&lt;=gemini_code_1787702791259[[#This Row],[Promesa_SLA_Dias]],"A tiempo","Fuera de SLA")</f>
        <v>A tiempo</v>
      </c>
    </row>
    <row r="172" spans="1:18" x14ac:dyDescent="0.25">
      <c r="A172" t="s">
        <v>65</v>
      </c>
      <c r="B172" s="1">
        <v>46241</v>
      </c>
      <c r="C172" t="s">
        <v>26</v>
      </c>
      <c r="D172" t="s">
        <v>27</v>
      </c>
      <c r="E172" t="s">
        <v>16</v>
      </c>
      <c r="F172" t="s">
        <v>17</v>
      </c>
      <c r="G172" t="s">
        <v>66</v>
      </c>
      <c r="H172">
        <v>2</v>
      </c>
      <c r="I172" s="12">
        <v>500</v>
      </c>
      <c r="J172" s="12">
        <v>380</v>
      </c>
      <c r="K172">
        <v>6</v>
      </c>
      <c r="L172">
        <v>4</v>
      </c>
      <c r="M172">
        <v>900</v>
      </c>
      <c r="N172" s="12">
        <f>+gemini_code_1787702791259[[#This Row],[Cantidad]]*gemini_code_1787702791259[[#This Row],[Precio_Unitario_USD]]</f>
        <v>1000</v>
      </c>
      <c r="O172" s="12">
        <f>+gemini_code_1787702791259[[#This Row],[Cantidad]]*gemini_code_1787702791259[[#This Row],[Costo_Unitario_USD]]</f>
        <v>760</v>
      </c>
      <c r="P172" s="12">
        <f>+gemini_code_1787702791259[[#This Row],[venta total]]-gemini_code_1787702791259[[#This Row],[Costo total]]</f>
        <v>240</v>
      </c>
      <c r="Q172" s="2">
        <f>gemini_code_1787702791259[[#This Row],[Ganancia bruta]]/gemini_code_1787702791259[[#This Row],[venta total]]</f>
        <v>0.24</v>
      </c>
      <c r="R172" t="str">
        <f>IF(gemini_code_1787702791259[[#This Row],[Dias_Entrega]]&lt;=gemini_code_1787702791259[[#This Row],[Promesa_SLA_Dias]],"A tiempo","Fuera de SLA")</f>
        <v>Fuera de SLA</v>
      </c>
    </row>
    <row r="173" spans="1:18" x14ac:dyDescent="0.25">
      <c r="A173" t="s">
        <v>67</v>
      </c>
      <c r="B173" s="1">
        <v>46242</v>
      </c>
      <c r="C173" t="s">
        <v>14</v>
      </c>
      <c r="D173" t="s">
        <v>15</v>
      </c>
      <c r="E173" t="s">
        <v>16</v>
      </c>
      <c r="F173" t="s">
        <v>23</v>
      </c>
      <c r="G173" t="s">
        <v>68</v>
      </c>
      <c r="H173">
        <v>3</v>
      </c>
      <c r="I173" s="12">
        <v>95</v>
      </c>
      <c r="J173" s="12">
        <v>45</v>
      </c>
      <c r="K173">
        <v>2</v>
      </c>
      <c r="L173">
        <v>3</v>
      </c>
      <c r="M173">
        <v>300</v>
      </c>
      <c r="N173" s="12">
        <f>+gemini_code_1787702791259[[#This Row],[Cantidad]]*gemini_code_1787702791259[[#This Row],[Precio_Unitario_USD]]</f>
        <v>285</v>
      </c>
      <c r="O173" s="12">
        <f>+gemini_code_1787702791259[[#This Row],[Cantidad]]*gemini_code_1787702791259[[#This Row],[Costo_Unitario_USD]]</f>
        <v>135</v>
      </c>
      <c r="P173" s="12">
        <f>+gemini_code_1787702791259[[#This Row],[venta total]]-gemini_code_1787702791259[[#This Row],[Costo total]]</f>
        <v>150</v>
      </c>
      <c r="Q173" s="2">
        <f>gemini_code_1787702791259[[#This Row],[Ganancia bruta]]/gemini_code_1787702791259[[#This Row],[venta total]]</f>
        <v>0.52631578947368418</v>
      </c>
      <c r="R173" t="str">
        <f>IF(gemini_code_1787702791259[[#This Row],[Dias_Entrega]]&lt;=gemini_code_1787702791259[[#This Row],[Promesa_SLA_Dias]],"A tiempo","Fuera de SLA")</f>
        <v>A tiempo</v>
      </c>
    </row>
    <row r="174" spans="1:18" x14ac:dyDescent="0.25">
      <c r="A174" t="s">
        <v>69</v>
      </c>
      <c r="B174" s="1">
        <v>46242</v>
      </c>
      <c r="C174" t="s">
        <v>20</v>
      </c>
      <c r="D174" t="s">
        <v>21</v>
      </c>
      <c r="E174" t="s">
        <v>16</v>
      </c>
      <c r="F174" t="s">
        <v>28</v>
      </c>
      <c r="G174" t="s">
        <v>70</v>
      </c>
      <c r="H174">
        <v>4</v>
      </c>
      <c r="I174" s="12">
        <v>160</v>
      </c>
      <c r="J174" s="12">
        <v>95</v>
      </c>
      <c r="K174">
        <v>2</v>
      </c>
      <c r="L174">
        <v>3</v>
      </c>
      <c r="M174">
        <v>600</v>
      </c>
      <c r="N174" s="12">
        <f>+gemini_code_1787702791259[[#This Row],[Cantidad]]*gemini_code_1787702791259[[#This Row],[Precio_Unitario_USD]]</f>
        <v>640</v>
      </c>
      <c r="O174" s="12">
        <f>+gemini_code_1787702791259[[#This Row],[Cantidad]]*gemini_code_1787702791259[[#This Row],[Costo_Unitario_USD]]</f>
        <v>380</v>
      </c>
      <c r="P174" s="12">
        <f>+gemini_code_1787702791259[[#This Row],[venta total]]-gemini_code_1787702791259[[#This Row],[Costo total]]</f>
        <v>260</v>
      </c>
      <c r="Q174" s="2">
        <f>gemini_code_1787702791259[[#This Row],[Ganancia bruta]]/gemini_code_1787702791259[[#This Row],[venta total]]</f>
        <v>0.40625</v>
      </c>
      <c r="R174" t="str">
        <f>IF(gemini_code_1787702791259[[#This Row],[Dias_Entrega]]&lt;=gemini_code_1787702791259[[#This Row],[Promesa_SLA_Dias]],"A tiempo","Fuera de SLA")</f>
        <v>A tiempo</v>
      </c>
    </row>
    <row r="175" spans="1:18" x14ac:dyDescent="0.25">
      <c r="A175" t="s">
        <v>71</v>
      </c>
      <c r="B175" s="1">
        <v>46242</v>
      </c>
      <c r="C175" t="s">
        <v>26</v>
      </c>
      <c r="D175" t="s">
        <v>27</v>
      </c>
      <c r="E175" t="s">
        <v>22</v>
      </c>
      <c r="F175" t="s">
        <v>31</v>
      </c>
      <c r="G175" t="s">
        <v>72</v>
      </c>
      <c r="H175">
        <v>7</v>
      </c>
      <c r="I175" s="12">
        <v>90</v>
      </c>
      <c r="J175" s="12">
        <v>45</v>
      </c>
      <c r="K175">
        <v>4</v>
      </c>
      <c r="L175">
        <v>3</v>
      </c>
      <c r="M175">
        <v>600</v>
      </c>
      <c r="N175" s="12">
        <f>+gemini_code_1787702791259[[#This Row],[Cantidad]]*gemini_code_1787702791259[[#This Row],[Precio_Unitario_USD]]</f>
        <v>630</v>
      </c>
      <c r="O175" s="12">
        <f>+gemini_code_1787702791259[[#This Row],[Cantidad]]*gemini_code_1787702791259[[#This Row],[Costo_Unitario_USD]]</f>
        <v>315</v>
      </c>
      <c r="P175" s="12">
        <f>+gemini_code_1787702791259[[#This Row],[venta total]]-gemini_code_1787702791259[[#This Row],[Costo total]]</f>
        <v>315</v>
      </c>
      <c r="Q175" s="2">
        <f>gemini_code_1787702791259[[#This Row],[Ganancia bruta]]/gemini_code_1787702791259[[#This Row],[venta total]]</f>
        <v>0.5</v>
      </c>
      <c r="R175" t="str">
        <f>IF(gemini_code_1787702791259[[#This Row],[Dias_Entrega]]&lt;=gemini_code_1787702791259[[#This Row],[Promesa_SLA_Dias]],"A tiempo","Fuera de SLA")</f>
        <v>Fuera de SLA</v>
      </c>
    </row>
    <row r="176" spans="1:18" x14ac:dyDescent="0.25">
      <c r="A176" t="s">
        <v>73</v>
      </c>
      <c r="B176" s="1">
        <v>46243</v>
      </c>
      <c r="C176" t="s">
        <v>14</v>
      </c>
      <c r="D176" t="s">
        <v>15</v>
      </c>
      <c r="E176" t="s">
        <v>22</v>
      </c>
      <c r="F176" t="s">
        <v>17</v>
      </c>
      <c r="G176" t="s">
        <v>74</v>
      </c>
      <c r="H176">
        <v>3</v>
      </c>
      <c r="I176" s="12">
        <v>310</v>
      </c>
      <c r="J176" s="12">
        <v>210</v>
      </c>
      <c r="K176">
        <v>2</v>
      </c>
      <c r="L176">
        <v>3</v>
      </c>
      <c r="M176">
        <v>900</v>
      </c>
      <c r="N176" s="12">
        <f>+gemini_code_1787702791259[[#This Row],[Cantidad]]*gemini_code_1787702791259[[#This Row],[Precio_Unitario_USD]]</f>
        <v>930</v>
      </c>
      <c r="O176" s="12">
        <f>+gemini_code_1787702791259[[#This Row],[Cantidad]]*gemini_code_1787702791259[[#This Row],[Costo_Unitario_USD]]</f>
        <v>630</v>
      </c>
      <c r="P176" s="12">
        <f>+gemini_code_1787702791259[[#This Row],[venta total]]-gemini_code_1787702791259[[#This Row],[Costo total]]</f>
        <v>300</v>
      </c>
      <c r="Q176" s="2">
        <f>gemini_code_1787702791259[[#This Row],[Ganancia bruta]]/gemini_code_1787702791259[[#This Row],[venta total]]</f>
        <v>0.32258064516129031</v>
      </c>
      <c r="R176" t="str">
        <f>IF(gemini_code_1787702791259[[#This Row],[Dias_Entrega]]&lt;=gemini_code_1787702791259[[#This Row],[Promesa_SLA_Dias]],"A tiempo","Fuera de SLA")</f>
        <v>A tiempo</v>
      </c>
    </row>
    <row r="177" spans="1:18" x14ac:dyDescent="0.25">
      <c r="A177" t="s">
        <v>75</v>
      </c>
      <c r="B177" s="1">
        <v>46243</v>
      </c>
      <c r="C177" t="s">
        <v>20</v>
      </c>
      <c r="D177" t="s">
        <v>21</v>
      </c>
      <c r="E177" t="s">
        <v>16</v>
      </c>
      <c r="F177" t="s">
        <v>23</v>
      </c>
      <c r="G177" t="s">
        <v>76</v>
      </c>
      <c r="H177">
        <v>8</v>
      </c>
      <c r="I177" s="12">
        <v>50</v>
      </c>
      <c r="J177" s="12">
        <v>22</v>
      </c>
      <c r="K177">
        <v>2</v>
      </c>
      <c r="L177">
        <v>3</v>
      </c>
      <c r="M177">
        <v>400</v>
      </c>
      <c r="N177" s="12">
        <f>+gemini_code_1787702791259[[#This Row],[Cantidad]]*gemini_code_1787702791259[[#This Row],[Precio_Unitario_USD]]</f>
        <v>400</v>
      </c>
      <c r="O177" s="12">
        <f>+gemini_code_1787702791259[[#This Row],[Cantidad]]*gemini_code_1787702791259[[#This Row],[Costo_Unitario_USD]]</f>
        <v>176</v>
      </c>
      <c r="P177" s="12">
        <f>+gemini_code_1787702791259[[#This Row],[venta total]]-gemini_code_1787702791259[[#This Row],[Costo total]]</f>
        <v>224</v>
      </c>
      <c r="Q177" s="2">
        <f>gemini_code_1787702791259[[#This Row],[Ganancia bruta]]/gemini_code_1787702791259[[#This Row],[venta total]]</f>
        <v>0.56000000000000005</v>
      </c>
      <c r="R177" t="str">
        <f>IF(gemini_code_1787702791259[[#This Row],[Dias_Entrega]]&lt;=gemini_code_1787702791259[[#This Row],[Promesa_SLA_Dias]],"A tiempo","Fuera de SLA")</f>
        <v>A tiempo</v>
      </c>
    </row>
    <row r="178" spans="1:18" x14ac:dyDescent="0.25">
      <c r="A178" t="s">
        <v>77</v>
      </c>
      <c r="B178" s="1">
        <v>46243</v>
      </c>
      <c r="C178" t="s">
        <v>26</v>
      </c>
      <c r="D178" t="s">
        <v>27</v>
      </c>
      <c r="E178" t="s">
        <v>16</v>
      </c>
      <c r="F178" t="s">
        <v>28</v>
      </c>
      <c r="G178" t="s">
        <v>78</v>
      </c>
      <c r="H178">
        <v>1</v>
      </c>
      <c r="I178" s="12">
        <v>750</v>
      </c>
      <c r="J178" s="12">
        <v>480</v>
      </c>
      <c r="K178">
        <v>8</v>
      </c>
      <c r="L178">
        <v>4</v>
      </c>
      <c r="M178">
        <v>700</v>
      </c>
      <c r="N178" s="12">
        <f>+gemini_code_1787702791259[[#This Row],[Cantidad]]*gemini_code_1787702791259[[#This Row],[Precio_Unitario_USD]]</f>
        <v>750</v>
      </c>
      <c r="O178" s="12">
        <f>+gemini_code_1787702791259[[#This Row],[Cantidad]]*gemini_code_1787702791259[[#This Row],[Costo_Unitario_USD]]</f>
        <v>480</v>
      </c>
      <c r="P178" s="12">
        <f>+gemini_code_1787702791259[[#This Row],[venta total]]-gemini_code_1787702791259[[#This Row],[Costo total]]</f>
        <v>270</v>
      </c>
      <c r="Q178" s="2">
        <f>gemini_code_1787702791259[[#This Row],[Ganancia bruta]]/gemini_code_1787702791259[[#This Row],[venta total]]</f>
        <v>0.36</v>
      </c>
      <c r="R178" t="str">
        <f>IF(gemini_code_1787702791259[[#This Row],[Dias_Entrega]]&lt;=gemini_code_1787702791259[[#This Row],[Promesa_SLA_Dias]],"A tiempo","Fuera de SLA")</f>
        <v>Fuera de SLA</v>
      </c>
    </row>
    <row r="179" spans="1:18" x14ac:dyDescent="0.25">
      <c r="A179" t="s">
        <v>79</v>
      </c>
      <c r="B179" s="1">
        <v>46244</v>
      </c>
      <c r="C179" t="s">
        <v>14</v>
      </c>
      <c r="D179" t="s">
        <v>15</v>
      </c>
      <c r="E179" t="s">
        <v>16</v>
      </c>
      <c r="F179" t="s">
        <v>31</v>
      </c>
      <c r="G179" t="s">
        <v>80</v>
      </c>
      <c r="H179">
        <v>4</v>
      </c>
      <c r="I179" s="12">
        <v>140</v>
      </c>
      <c r="J179" s="12">
        <v>75</v>
      </c>
      <c r="K179">
        <v>3</v>
      </c>
      <c r="L179">
        <v>3</v>
      </c>
      <c r="M179">
        <v>500</v>
      </c>
      <c r="N179" s="12">
        <f>+gemini_code_1787702791259[[#This Row],[Cantidad]]*gemini_code_1787702791259[[#This Row],[Precio_Unitario_USD]]</f>
        <v>560</v>
      </c>
      <c r="O179" s="12">
        <f>+gemini_code_1787702791259[[#This Row],[Cantidad]]*gemini_code_1787702791259[[#This Row],[Costo_Unitario_USD]]</f>
        <v>300</v>
      </c>
      <c r="P179" s="12">
        <f>+gemini_code_1787702791259[[#This Row],[venta total]]-gemini_code_1787702791259[[#This Row],[Costo total]]</f>
        <v>260</v>
      </c>
      <c r="Q179" s="2">
        <f>gemini_code_1787702791259[[#This Row],[Ganancia bruta]]/gemini_code_1787702791259[[#This Row],[venta total]]</f>
        <v>0.4642857142857143</v>
      </c>
      <c r="R179" t="str">
        <f>IF(gemini_code_1787702791259[[#This Row],[Dias_Entrega]]&lt;=gemini_code_1787702791259[[#This Row],[Promesa_SLA_Dias]],"A tiempo","Fuera de SLA")</f>
        <v>A tiempo</v>
      </c>
    </row>
    <row r="180" spans="1:18" x14ac:dyDescent="0.25">
      <c r="A180" t="s">
        <v>81</v>
      </c>
      <c r="B180" s="1">
        <v>46244</v>
      </c>
      <c r="C180" t="s">
        <v>20</v>
      </c>
      <c r="D180" t="s">
        <v>21</v>
      </c>
      <c r="E180" t="s">
        <v>22</v>
      </c>
      <c r="F180" t="s">
        <v>17</v>
      </c>
      <c r="G180" t="s">
        <v>82</v>
      </c>
      <c r="H180">
        <v>6</v>
      </c>
      <c r="I180" s="12">
        <v>90</v>
      </c>
      <c r="J180" s="12">
        <v>50</v>
      </c>
      <c r="K180">
        <v>1</v>
      </c>
      <c r="L180">
        <v>2</v>
      </c>
      <c r="M180">
        <v>500</v>
      </c>
      <c r="N180" s="12">
        <f>+gemini_code_1787702791259[[#This Row],[Cantidad]]*gemini_code_1787702791259[[#This Row],[Precio_Unitario_USD]]</f>
        <v>540</v>
      </c>
      <c r="O180" s="12">
        <f>+gemini_code_1787702791259[[#This Row],[Cantidad]]*gemini_code_1787702791259[[#This Row],[Costo_Unitario_USD]]</f>
        <v>300</v>
      </c>
      <c r="P180" s="12">
        <f>+gemini_code_1787702791259[[#This Row],[venta total]]-gemini_code_1787702791259[[#This Row],[Costo total]]</f>
        <v>240</v>
      </c>
      <c r="Q180" s="2">
        <f>gemini_code_1787702791259[[#This Row],[Ganancia bruta]]/gemini_code_1787702791259[[#This Row],[venta total]]</f>
        <v>0.44444444444444442</v>
      </c>
      <c r="R180" t="str">
        <f>IF(gemini_code_1787702791259[[#This Row],[Dias_Entrega]]&lt;=gemini_code_1787702791259[[#This Row],[Promesa_SLA_Dias]],"A tiempo","Fuera de SLA")</f>
        <v>A tiempo</v>
      </c>
    </row>
    <row r="181" spans="1:18" x14ac:dyDescent="0.25">
      <c r="A181" t="s">
        <v>83</v>
      </c>
      <c r="B181" s="1">
        <v>46244</v>
      </c>
      <c r="C181" t="s">
        <v>26</v>
      </c>
      <c r="D181" t="s">
        <v>27</v>
      </c>
      <c r="E181" t="s">
        <v>16</v>
      </c>
      <c r="F181" t="s">
        <v>23</v>
      </c>
      <c r="G181" t="s">
        <v>84</v>
      </c>
      <c r="H181">
        <v>6</v>
      </c>
      <c r="I181" s="12">
        <v>60</v>
      </c>
      <c r="J181" s="12">
        <v>28</v>
      </c>
      <c r="K181">
        <v>5</v>
      </c>
      <c r="L181">
        <v>3</v>
      </c>
      <c r="M181">
        <v>350</v>
      </c>
      <c r="N181" s="12">
        <f>+gemini_code_1787702791259[[#This Row],[Cantidad]]*gemini_code_1787702791259[[#This Row],[Precio_Unitario_USD]]</f>
        <v>360</v>
      </c>
      <c r="O181" s="12">
        <f>+gemini_code_1787702791259[[#This Row],[Cantidad]]*gemini_code_1787702791259[[#This Row],[Costo_Unitario_USD]]</f>
        <v>168</v>
      </c>
      <c r="P181" s="12">
        <f>+gemini_code_1787702791259[[#This Row],[venta total]]-gemini_code_1787702791259[[#This Row],[Costo total]]</f>
        <v>192</v>
      </c>
      <c r="Q181" s="2">
        <f>gemini_code_1787702791259[[#This Row],[Ganancia bruta]]/gemini_code_1787702791259[[#This Row],[venta total]]</f>
        <v>0.53333333333333333</v>
      </c>
      <c r="R181" t="str">
        <f>IF(gemini_code_1787702791259[[#This Row],[Dias_Entrega]]&lt;=gemini_code_1787702791259[[#This Row],[Promesa_SLA_Dias]],"A tiempo","Fuera de SLA")</f>
        <v>Fuera de SLA</v>
      </c>
    </row>
    <row r="182" spans="1:18" x14ac:dyDescent="0.25">
      <c r="A182" t="s">
        <v>13</v>
      </c>
      <c r="B182" s="1">
        <v>46235</v>
      </c>
      <c r="C182" t="s">
        <v>14</v>
      </c>
      <c r="D182" t="s">
        <v>15</v>
      </c>
      <c r="E182" t="s">
        <v>16</v>
      </c>
      <c r="F182" t="s">
        <v>17</v>
      </c>
      <c r="G182" t="s">
        <v>18</v>
      </c>
      <c r="H182">
        <v>2</v>
      </c>
      <c r="I182" s="12">
        <v>850</v>
      </c>
      <c r="J182" s="12">
        <v>600</v>
      </c>
      <c r="K182">
        <v>2</v>
      </c>
      <c r="L182">
        <v>3</v>
      </c>
      <c r="M182">
        <v>1500</v>
      </c>
      <c r="N182" s="12">
        <f>+gemini_code_1787702791259[[#This Row],[Cantidad]]*gemini_code_1787702791259[[#This Row],[Precio_Unitario_USD]]</f>
        <v>1700</v>
      </c>
      <c r="O182" s="12">
        <f>+gemini_code_1787702791259[[#This Row],[Cantidad]]*gemini_code_1787702791259[[#This Row],[Costo_Unitario_USD]]</f>
        <v>1200</v>
      </c>
      <c r="P182" s="12">
        <f>+gemini_code_1787702791259[[#This Row],[venta total]]-gemini_code_1787702791259[[#This Row],[Costo total]]</f>
        <v>500</v>
      </c>
      <c r="Q182" s="2">
        <f>gemini_code_1787702791259[[#This Row],[Ganancia bruta]]/gemini_code_1787702791259[[#This Row],[venta total]]</f>
        <v>0.29411764705882354</v>
      </c>
      <c r="R182" t="str">
        <f>IF(gemini_code_1787702791259[[#This Row],[Dias_Entrega]]&lt;=gemini_code_1787702791259[[#This Row],[Promesa_SLA_Dias]],"A tiempo","Fuera de SLA")</f>
        <v>A tiempo</v>
      </c>
    </row>
    <row r="183" spans="1:18" x14ac:dyDescent="0.25">
      <c r="A183" t="s">
        <v>19</v>
      </c>
      <c r="B183" s="1">
        <v>46235</v>
      </c>
      <c r="C183" t="s">
        <v>20</v>
      </c>
      <c r="D183" t="s">
        <v>21</v>
      </c>
      <c r="E183" t="s">
        <v>22</v>
      </c>
      <c r="F183" t="s">
        <v>23</v>
      </c>
      <c r="G183" t="s">
        <v>24</v>
      </c>
      <c r="H183">
        <v>5</v>
      </c>
      <c r="I183" s="12">
        <v>120</v>
      </c>
      <c r="J183" s="12">
        <v>70</v>
      </c>
      <c r="K183">
        <v>3</v>
      </c>
      <c r="L183">
        <v>3</v>
      </c>
      <c r="M183">
        <v>500</v>
      </c>
      <c r="N183" s="12">
        <f>+gemini_code_1787702791259[[#This Row],[Cantidad]]*gemini_code_1787702791259[[#This Row],[Precio_Unitario_USD]]</f>
        <v>600</v>
      </c>
      <c r="O183" s="12">
        <f>+gemini_code_1787702791259[[#This Row],[Cantidad]]*gemini_code_1787702791259[[#This Row],[Costo_Unitario_USD]]</f>
        <v>350</v>
      </c>
      <c r="P183" s="12">
        <f>+gemini_code_1787702791259[[#This Row],[venta total]]-gemini_code_1787702791259[[#This Row],[Costo total]]</f>
        <v>250</v>
      </c>
      <c r="Q183" s="2">
        <f>gemini_code_1787702791259[[#This Row],[Ganancia bruta]]/gemini_code_1787702791259[[#This Row],[venta total]]</f>
        <v>0.41666666666666669</v>
      </c>
      <c r="R183" t="str">
        <f>IF(gemini_code_1787702791259[[#This Row],[Dias_Entrega]]&lt;=gemini_code_1787702791259[[#This Row],[Promesa_SLA_Dias]],"A tiempo","Fuera de SLA")</f>
        <v>A tiempo</v>
      </c>
    </row>
    <row r="184" spans="1:18" x14ac:dyDescent="0.25">
      <c r="A184" t="s">
        <v>25</v>
      </c>
      <c r="B184" s="1">
        <v>46235</v>
      </c>
      <c r="C184" t="s">
        <v>26</v>
      </c>
      <c r="D184" t="s">
        <v>27</v>
      </c>
      <c r="E184" t="s">
        <v>16</v>
      </c>
      <c r="F184" t="s">
        <v>28</v>
      </c>
      <c r="G184" t="s">
        <v>29</v>
      </c>
      <c r="H184">
        <v>3</v>
      </c>
      <c r="I184" s="12">
        <v>90</v>
      </c>
      <c r="J184" s="12">
        <v>50</v>
      </c>
      <c r="K184">
        <v>6</v>
      </c>
      <c r="L184">
        <v>4</v>
      </c>
      <c r="M184">
        <v>300</v>
      </c>
      <c r="N184" s="12">
        <f>+gemini_code_1787702791259[[#This Row],[Cantidad]]*gemini_code_1787702791259[[#This Row],[Precio_Unitario_USD]]</f>
        <v>270</v>
      </c>
      <c r="O184" s="12">
        <f>+gemini_code_1787702791259[[#This Row],[Cantidad]]*gemini_code_1787702791259[[#This Row],[Costo_Unitario_USD]]</f>
        <v>150</v>
      </c>
      <c r="P184" s="12">
        <f>+gemini_code_1787702791259[[#This Row],[venta total]]-gemini_code_1787702791259[[#This Row],[Costo total]]</f>
        <v>120</v>
      </c>
      <c r="Q184" s="2">
        <f>gemini_code_1787702791259[[#This Row],[Ganancia bruta]]/gemini_code_1787702791259[[#This Row],[venta total]]</f>
        <v>0.44444444444444442</v>
      </c>
      <c r="R184" t="str">
        <f>IF(gemini_code_1787702791259[[#This Row],[Dias_Entrega]]&lt;=gemini_code_1787702791259[[#This Row],[Promesa_SLA_Dias]],"A tiempo","Fuera de SLA")</f>
        <v>Fuera de SLA</v>
      </c>
    </row>
    <row r="185" spans="1:18" x14ac:dyDescent="0.25">
      <c r="A185" t="s">
        <v>30</v>
      </c>
      <c r="B185" s="1">
        <v>46236</v>
      </c>
      <c r="C185" t="s">
        <v>14</v>
      </c>
      <c r="D185" t="s">
        <v>15</v>
      </c>
      <c r="E185" t="s">
        <v>22</v>
      </c>
      <c r="F185" t="s">
        <v>31</v>
      </c>
      <c r="G185" t="s">
        <v>32</v>
      </c>
      <c r="H185">
        <v>4</v>
      </c>
      <c r="I185" s="12">
        <v>110</v>
      </c>
      <c r="J185" s="12">
        <v>60</v>
      </c>
      <c r="K185">
        <v>1</v>
      </c>
      <c r="L185">
        <v>2</v>
      </c>
      <c r="M185">
        <v>400</v>
      </c>
      <c r="N185" s="12">
        <f>+gemini_code_1787702791259[[#This Row],[Cantidad]]*gemini_code_1787702791259[[#This Row],[Precio_Unitario_USD]]</f>
        <v>440</v>
      </c>
      <c r="O185" s="12">
        <f>+gemini_code_1787702791259[[#This Row],[Cantidad]]*gemini_code_1787702791259[[#This Row],[Costo_Unitario_USD]]</f>
        <v>240</v>
      </c>
      <c r="P185" s="12">
        <f>+gemini_code_1787702791259[[#This Row],[venta total]]-gemini_code_1787702791259[[#This Row],[Costo total]]</f>
        <v>200</v>
      </c>
      <c r="Q185" s="2">
        <f>gemini_code_1787702791259[[#This Row],[Ganancia bruta]]/gemini_code_1787702791259[[#This Row],[venta total]]</f>
        <v>0.45454545454545453</v>
      </c>
      <c r="R185" t="str">
        <f>IF(gemini_code_1787702791259[[#This Row],[Dias_Entrega]]&lt;=gemini_code_1787702791259[[#This Row],[Promesa_SLA_Dias]],"A tiempo","Fuera de SLA")</f>
        <v>A tiempo</v>
      </c>
    </row>
    <row r="186" spans="1:18" x14ac:dyDescent="0.25">
      <c r="A186" t="s">
        <v>33</v>
      </c>
      <c r="B186" s="1">
        <v>46236</v>
      </c>
      <c r="C186" t="s">
        <v>20</v>
      </c>
      <c r="D186" t="s">
        <v>21</v>
      </c>
      <c r="E186" t="s">
        <v>16</v>
      </c>
      <c r="F186" t="s">
        <v>17</v>
      </c>
      <c r="G186" t="s">
        <v>34</v>
      </c>
      <c r="H186">
        <v>3</v>
      </c>
      <c r="I186" s="12">
        <v>650</v>
      </c>
      <c r="J186" s="12">
        <v>450</v>
      </c>
      <c r="K186">
        <v>2</v>
      </c>
      <c r="L186">
        <v>3</v>
      </c>
      <c r="M186">
        <v>1800</v>
      </c>
      <c r="N186" s="12">
        <f>+gemini_code_1787702791259[[#This Row],[Cantidad]]*gemini_code_1787702791259[[#This Row],[Precio_Unitario_USD]]</f>
        <v>1950</v>
      </c>
      <c r="O186" s="12">
        <f>+gemini_code_1787702791259[[#This Row],[Cantidad]]*gemini_code_1787702791259[[#This Row],[Costo_Unitario_USD]]</f>
        <v>1350</v>
      </c>
      <c r="P186" s="12">
        <f>+gemini_code_1787702791259[[#This Row],[venta total]]-gemini_code_1787702791259[[#This Row],[Costo total]]</f>
        <v>600</v>
      </c>
      <c r="Q186" s="2">
        <f>gemini_code_1787702791259[[#This Row],[Ganancia bruta]]/gemini_code_1787702791259[[#This Row],[venta total]]</f>
        <v>0.30769230769230771</v>
      </c>
      <c r="R186" t="str">
        <f>IF(gemini_code_1787702791259[[#This Row],[Dias_Entrega]]&lt;=gemini_code_1787702791259[[#This Row],[Promesa_SLA_Dias]],"A tiempo","Fuera de SLA")</f>
        <v>A tiempo</v>
      </c>
    </row>
    <row r="187" spans="1:18" x14ac:dyDescent="0.25">
      <c r="A187" t="s">
        <v>35</v>
      </c>
      <c r="B187" s="1">
        <v>46236</v>
      </c>
      <c r="C187" t="s">
        <v>26</v>
      </c>
      <c r="D187" t="s">
        <v>27</v>
      </c>
      <c r="E187" t="s">
        <v>16</v>
      </c>
      <c r="F187" t="s">
        <v>23</v>
      </c>
      <c r="G187" t="s">
        <v>36</v>
      </c>
      <c r="H187">
        <v>8</v>
      </c>
      <c r="I187" s="12">
        <v>45</v>
      </c>
      <c r="J187" s="12">
        <v>20</v>
      </c>
      <c r="K187">
        <v>5</v>
      </c>
      <c r="L187">
        <v>3</v>
      </c>
      <c r="M187">
        <v>400</v>
      </c>
      <c r="N187" s="12">
        <f>+gemini_code_1787702791259[[#This Row],[Cantidad]]*gemini_code_1787702791259[[#This Row],[Precio_Unitario_USD]]</f>
        <v>360</v>
      </c>
      <c r="O187" s="12">
        <f>+gemini_code_1787702791259[[#This Row],[Cantidad]]*gemini_code_1787702791259[[#This Row],[Costo_Unitario_USD]]</f>
        <v>160</v>
      </c>
      <c r="P187" s="12">
        <f>+gemini_code_1787702791259[[#This Row],[venta total]]-gemini_code_1787702791259[[#This Row],[Costo total]]</f>
        <v>200</v>
      </c>
      <c r="Q187" s="2">
        <f>gemini_code_1787702791259[[#This Row],[Ganancia bruta]]/gemini_code_1787702791259[[#This Row],[venta total]]</f>
        <v>0.55555555555555558</v>
      </c>
      <c r="R187" t="str">
        <f>IF(gemini_code_1787702791259[[#This Row],[Dias_Entrega]]&lt;=gemini_code_1787702791259[[#This Row],[Promesa_SLA_Dias]],"A tiempo","Fuera de SLA")</f>
        <v>Fuera de SLA</v>
      </c>
    </row>
    <row r="188" spans="1:18" x14ac:dyDescent="0.25">
      <c r="A188" t="s">
        <v>37</v>
      </c>
      <c r="B188" s="1">
        <v>46237</v>
      </c>
      <c r="C188" t="s">
        <v>14</v>
      </c>
      <c r="D188" t="s">
        <v>15</v>
      </c>
      <c r="E188" t="s">
        <v>16</v>
      </c>
      <c r="F188" t="s">
        <v>28</v>
      </c>
      <c r="G188" t="s">
        <v>38</v>
      </c>
      <c r="H188">
        <v>2</v>
      </c>
      <c r="I188" s="12">
        <v>280</v>
      </c>
      <c r="J188" s="12">
        <v>180</v>
      </c>
      <c r="K188">
        <v>3</v>
      </c>
      <c r="L188">
        <v>3</v>
      </c>
      <c r="M188">
        <v>500</v>
      </c>
      <c r="N188" s="12">
        <f>+gemini_code_1787702791259[[#This Row],[Cantidad]]*gemini_code_1787702791259[[#This Row],[Precio_Unitario_USD]]</f>
        <v>560</v>
      </c>
      <c r="O188" s="12">
        <f>+gemini_code_1787702791259[[#This Row],[Cantidad]]*gemini_code_1787702791259[[#This Row],[Costo_Unitario_USD]]</f>
        <v>360</v>
      </c>
      <c r="P188" s="12">
        <f>+gemini_code_1787702791259[[#This Row],[venta total]]-gemini_code_1787702791259[[#This Row],[Costo total]]</f>
        <v>200</v>
      </c>
      <c r="Q188" s="2">
        <f>gemini_code_1787702791259[[#This Row],[Ganancia bruta]]/gemini_code_1787702791259[[#This Row],[venta total]]</f>
        <v>0.35714285714285715</v>
      </c>
      <c r="R188" t="str">
        <f>IF(gemini_code_1787702791259[[#This Row],[Dias_Entrega]]&lt;=gemini_code_1787702791259[[#This Row],[Promesa_SLA_Dias]],"A tiempo","Fuera de SLA")</f>
        <v>A tiempo</v>
      </c>
    </row>
    <row r="189" spans="1:18" x14ac:dyDescent="0.25">
      <c r="A189" t="s">
        <v>39</v>
      </c>
      <c r="B189" s="1">
        <v>46237</v>
      </c>
      <c r="C189" t="s">
        <v>20</v>
      </c>
      <c r="D189" t="s">
        <v>21</v>
      </c>
      <c r="E189" t="s">
        <v>22</v>
      </c>
      <c r="F189" t="s">
        <v>31</v>
      </c>
      <c r="G189" t="s">
        <v>40</v>
      </c>
      <c r="H189">
        <v>3</v>
      </c>
      <c r="I189" s="12">
        <v>150</v>
      </c>
      <c r="J189" s="12">
        <v>85</v>
      </c>
      <c r="K189">
        <v>2</v>
      </c>
      <c r="L189">
        <v>2</v>
      </c>
      <c r="M189">
        <v>400</v>
      </c>
      <c r="N189" s="12">
        <f>+gemini_code_1787702791259[[#This Row],[Cantidad]]*gemini_code_1787702791259[[#This Row],[Precio_Unitario_USD]]</f>
        <v>450</v>
      </c>
      <c r="O189" s="12">
        <f>+gemini_code_1787702791259[[#This Row],[Cantidad]]*gemini_code_1787702791259[[#This Row],[Costo_Unitario_USD]]</f>
        <v>255</v>
      </c>
      <c r="P189" s="12">
        <f>+gemini_code_1787702791259[[#This Row],[venta total]]-gemini_code_1787702791259[[#This Row],[Costo total]]</f>
        <v>195</v>
      </c>
      <c r="Q189" s="2">
        <f>gemini_code_1787702791259[[#This Row],[Ganancia bruta]]/gemini_code_1787702791259[[#This Row],[venta total]]</f>
        <v>0.43333333333333335</v>
      </c>
      <c r="R189" t="str">
        <f>IF(gemini_code_1787702791259[[#This Row],[Dias_Entrega]]&lt;=gemini_code_1787702791259[[#This Row],[Promesa_SLA_Dias]],"A tiempo","Fuera de SLA")</f>
        <v>A tiempo</v>
      </c>
    </row>
    <row r="190" spans="1:18" x14ac:dyDescent="0.25">
      <c r="A190" t="s">
        <v>41</v>
      </c>
      <c r="B190" s="1">
        <v>46237</v>
      </c>
      <c r="C190" t="s">
        <v>26</v>
      </c>
      <c r="D190" t="s">
        <v>27</v>
      </c>
      <c r="E190" t="s">
        <v>16</v>
      </c>
      <c r="F190" t="s">
        <v>17</v>
      </c>
      <c r="G190" t="s">
        <v>42</v>
      </c>
      <c r="H190">
        <v>2</v>
      </c>
      <c r="I190" s="12">
        <v>520</v>
      </c>
      <c r="J190" s="12">
        <v>380</v>
      </c>
      <c r="K190">
        <v>7</v>
      </c>
      <c r="L190">
        <v>4</v>
      </c>
      <c r="M190">
        <v>1000</v>
      </c>
      <c r="N190" s="12">
        <f>+gemini_code_1787702791259[[#This Row],[Cantidad]]*gemini_code_1787702791259[[#This Row],[Precio_Unitario_USD]]</f>
        <v>1040</v>
      </c>
      <c r="O190" s="12">
        <f>+gemini_code_1787702791259[[#This Row],[Cantidad]]*gemini_code_1787702791259[[#This Row],[Costo_Unitario_USD]]</f>
        <v>760</v>
      </c>
      <c r="P190" s="12">
        <f>+gemini_code_1787702791259[[#This Row],[venta total]]-gemini_code_1787702791259[[#This Row],[Costo total]]</f>
        <v>280</v>
      </c>
      <c r="Q190" s="2">
        <f>gemini_code_1787702791259[[#This Row],[Ganancia bruta]]/gemini_code_1787702791259[[#This Row],[venta total]]</f>
        <v>0.26923076923076922</v>
      </c>
      <c r="R190" t="str">
        <f>IF(gemini_code_1787702791259[[#This Row],[Dias_Entrega]]&lt;=gemini_code_1787702791259[[#This Row],[Promesa_SLA_Dias]],"A tiempo","Fuera de SLA")</f>
        <v>Fuera de SLA</v>
      </c>
    </row>
    <row r="191" spans="1:18" x14ac:dyDescent="0.25">
      <c r="A191" t="s">
        <v>43</v>
      </c>
      <c r="B191" s="1">
        <v>46238</v>
      </c>
      <c r="C191" t="s">
        <v>14</v>
      </c>
      <c r="D191" t="s">
        <v>15</v>
      </c>
      <c r="E191" t="s">
        <v>22</v>
      </c>
      <c r="F191" t="s">
        <v>23</v>
      </c>
      <c r="G191" t="s">
        <v>44</v>
      </c>
      <c r="H191">
        <v>6</v>
      </c>
      <c r="I191" s="12">
        <v>55</v>
      </c>
      <c r="J191" s="12">
        <v>25</v>
      </c>
      <c r="K191">
        <v>2</v>
      </c>
      <c r="L191">
        <v>3</v>
      </c>
      <c r="M191">
        <v>300</v>
      </c>
      <c r="N191" s="12">
        <f>+gemini_code_1787702791259[[#This Row],[Cantidad]]*gemini_code_1787702791259[[#This Row],[Precio_Unitario_USD]]</f>
        <v>330</v>
      </c>
      <c r="O191" s="12">
        <f>+gemini_code_1787702791259[[#This Row],[Cantidad]]*gemini_code_1787702791259[[#This Row],[Costo_Unitario_USD]]</f>
        <v>150</v>
      </c>
      <c r="P191" s="12">
        <f>+gemini_code_1787702791259[[#This Row],[venta total]]-gemini_code_1787702791259[[#This Row],[Costo total]]</f>
        <v>180</v>
      </c>
      <c r="Q191" s="2">
        <f>gemini_code_1787702791259[[#This Row],[Ganancia bruta]]/gemini_code_1787702791259[[#This Row],[venta total]]</f>
        <v>0.54545454545454541</v>
      </c>
      <c r="R191" t="str">
        <f>IF(gemini_code_1787702791259[[#This Row],[Dias_Entrega]]&lt;=gemini_code_1787702791259[[#This Row],[Promesa_SLA_Dias]],"A tiempo","Fuera de SLA")</f>
        <v>A tiempo</v>
      </c>
    </row>
    <row r="192" spans="1:18" x14ac:dyDescent="0.25">
      <c r="A192" t="s">
        <v>45</v>
      </c>
      <c r="B192" s="1">
        <v>46238</v>
      </c>
      <c r="C192" t="s">
        <v>20</v>
      </c>
      <c r="D192" t="s">
        <v>21</v>
      </c>
      <c r="E192" t="s">
        <v>16</v>
      </c>
      <c r="F192" t="s">
        <v>28</v>
      </c>
      <c r="G192" t="s">
        <v>46</v>
      </c>
      <c r="H192">
        <v>1</v>
      </c>
      <c r="I192" s="12">
        <v>450</v>
      </c>
      <c r="J192" s="12">
        <v>290</v>
      </c>
      <c r="K192">
        <v>4</v>
      </c>
      <c r="L192">
        <v>3</v>
      </c>
      <c r="M192">
        <v>400</v>
      </c>
      <c r="N192" s="12">
        <f>+gemini_code_1787702791259[[#This Row],[Cantidad]]*gemini_code_1787702791259[[#This Row],[Precio_Unitario_USD]]</f>
        <v>450</v>
      </c>
      <c r="O192" s="12">
        <f>+gemini_code_1787702791259[[#This Row],[Cantidad]]*gemini_code_1787702791259[[#This Row],[Costo_Unitario_USD]]</f>
        <v>290</v>
      </c>
      <c r="P192" s="12">
        <f>+gemini_code_1787702791259[[#This Row],[venta total]]-gemini_code_1787702791259[[#This Row],[Costo total]]</f>
        <v>160</v>
      </c>
      <c r="Q192" s="2">
        <f>gemini_code_1787702791259[[#This Row],[Ganancia bruta]]/gemini_code_1787702791259[[#This Row],[venta total]]</f>
        <v>0.35555555555555557</v>
      </c>
      <c r="R192" t="str">
        <f>IF(gemini_code_1787702791259[[#This Row],[Dias_Entrega]]&lt;=gemini_code_1787702791259[[#This Row],[Promesa_SLA_Dias]],"A tiempo","Fuera de SLA")</f>
        <v>Fuera de SLA</v>
      </c>
    </row>
    <row r="193" spans="1:18" x14ac:dyDescent="0.25">
      <c r="A193" t="s">
        <v>47</v>
      </c>
      <c r="B193" s="1">
        <v>46238</v>
      </c>
      <c r="C193" t="s">
        <v>26</v>
      </c>
      <c r="D193" t="s">
        <v>27</v>
      </c>
      <c r="E193" t="s">
        <v>22</v>
      </c>
      <c r="F193" t="s">
        <v>31</v>
      </c>
      <c r="G193" t="s">
        <v>48</v>
      </c>
      <c r="H193">
        <v>10</v>
      </c>
      <c r="I193" s="12">
        <v>35</v>
      </c>
      <c r="J193" s="12">
        <v>15</v>
      </c>
      <c r="K193">
        <v>4</v>
      </c>
      <c r="L193">
        <v>3</v>
      </c>
      <c r="M193">
        <v>300</v>
      </c>
      <c r="N193" s="12">
        <f>+gemini_code_1787702791259[[#This Row],[Cantidad]]*gemini_code_1787702791259[[#This Row],[Precio_Unitario_USD]]</f>
        <v>350</v>
      </c>
      <c r="O193" s="12">
        <f>+gemini_code_1787702791259[[#This Row],[Cantidad]]*gemini_code_1787702791259[[#This Row],[Costo_Unitario_USD]]</f>
        <v>150</v>
      </c>
      <c r="P193" s="12">
        <f>+gemini_code_1787702791259[[#This Row],[venta total]]-gemini_code_1787702791259[[#This Row],[Costo total]]</f>
        <v>200</v>
      </c>
      <c r="Q193" s="2">
        <f>gemini_code_1787702791259[[#This Row],[Ganancia bruta]]/gemini_code_1787702791259[[#This Row],[venta total]]</f>
        <v>0.5714285714285714</v>
      </c>
      <c r="R193" t="str">
        <f>IF(gemini_code_1787702791259[[#This Row],[Dias_Entrega]]&lt;=gemini_code_1787702791259[[#This Row],[Promesa_SLA_Dias]],"A tiempo","Fuera de SLA")</f>
        <v>Fuera de SLA</v>
      </c>
    </row>
    <row r="194" spans="1:18" x14ac:dyDescent="0.25">
      <c r="A194" t="s">
        <v>49</v>
      </c>
      <c r="B194" s="1">
        <v>46239</v>
      </c>
      <c r="C194" t="s">
        <v>14</v>
      </c>
      <c r="D194" t="s">
        <v>15</v>
      </c>
      <c r="E194" t="s">
        <v>16</v>
      </c>
      <c r="F194" t="s">
        <v>17</v>
      </c>
      <c r="G194" t="s">
        <v>50</v>
      </c>
      <c r="H194">
        <v>4</v>
      </c>
      <c r="I194" s="12">
        <v>220</v>
      </c>
      <c r="J194" s="12">
        <v>140</v>
      </c>
      <c r="K194">
        <v>2</v>
      </c>
      <c r="L194">
        <v>3</v>
      </c>
      <c r="M194">
        <v>800</v>
      </c>
      <c r="N194" s="12">
        <f>+gemini_code_1787702791259[[#This Row],[Cantidad]]*gemini_code_1787702791259[[#This Row],[Precio_Unitario_USD]]</f>
        <v>880</v>
      </c>
      <c r="O194" s="12">
        <f>+gemini_code_1787702791259[[#This Row],[Cantidad]]*gemini_code_1787702791259[[#This Row],[Costo_Unitario_USD]]</f>
        <v>560</v>
      </c>
      <c r="P194" s="12">
        <f>+gemini_code_1787702791259[[#This Row],[venta total]]-gemini_code_1787702791259[[#This Row],[Costo total]]</f>
        <v>320</v>
      </c>
      <c r="Q194" s="2">
        <f>gemini_code_1787702791259[[#This Row],[Ganancia bruta]]/gemini_code_1787702791259[[#This Row],[venta total]]</f>
        <v>0.36363636363636365</v>
      </c>
      <c r="R194" t="str">
        <f>IF(gemini_code_1787702791259[[#This Row],[Dias_Entrega]]&lt;=gemini_code_1787702791259[[#This Row],[Promesa_SLA_Dias]],"A tiempo","Fuera de SLA")</f>
        <v>A tiempo</v>
      </c>
    </row>
    <row r="195" spans="1:18" x14ac:dyDescent="0.25">
      <c r="A195" t="s">
        <v>51</v>
      </c>
      <c r="B195" s="1">
        <v>46239</v>
      </c>
      <c r="C195" t="s">
        <v>20</v>
      </c>
      <c r="D195" t="s">
        <v>21</v>
      </c>
      <c r="E195" t="s">
        <v>16</v>
      </c>
      <c r="F195" t="s">
        <v>23</v>
      </c>
      <c r="G195" t="s">
        <v>52</v>
      </c>
      <c r="H195">
        <v>5</v>
      </c>
      <c r="I195" s="12">
        <v>65</v>
      </c>
      <c r="J195" s="12">
        <v>30</v>
      </c>
      <c r="K195">
        <v>2</v>
      </c>
      <c r="L195">
        <v>3</v>
      </c>
      <c r="M195">
        <v>300</v>
      </c>
      <c r="N195" s="12">
        <f>+gemini_code_1787702791259[[#This Row],[Cantidad]]*gemini_code_1787702791259[[#This Row],[Precio_Unitario_USD]]</f>
        <v>325</v>
      </c>
      <c r="O195" s="12">
        <f>+gemini_code_1787702791259[[#This Row],[Cantidad]]*gemini_code_1787702791259[[#This Row],[Costo_Unitario_USD]]</f>
        <v>150</v>
      </c>
      <c r="P195" s="12">
        <f>+gemini_code_1787702791259[[#This Row],[venta total]]-gemini_code_1787702791259[[#This Row],[Costo total]]</f>
        <v>175</v>
      </c>
      <c r="Q195" s="2">
        <f>gemini_code_1787702791259[[#This Row],[Ganancia bruta]]/gemini_code_1787702791259[[#This Row],[venta total]]</f>
        <v>0.53846153846153844</v>
      </c>
      <c r="R195" t="str">
        <f>IF(gemini_code_1787702791259[[#This Row],[Dias_Entrega]]&lt;=gemini_code_1787702791259[[#This Row],[Promesa_SLA_Dias]],"A tiempo","Fuera de SLA")</f>
        <v>A tiempo</v>
      </c>
    </row>
    <row r="196" spans="1:18" x14ac:dyDescent="0.25">
      <c r="A196" t="s">
        <v>53</v>
      </c>
      <c r="B196" s="1">
        <v>46239</v>
      </c>
      <c r="C196" t="s">
        <v>26</v>
      </c>
      <c r="D196" t="s">
        <v>27</v>
      </c>
      <c r="E196" t="s">
        <v>16</v>
      </c>
      <c r="F196" t="s">
        <v>28</v>
      </c>
      <c r="G196" t="s">
        <v>54</v>
      </c>
      <c r="H196">
        <v>2</v>
      </c>
      <c r="I196" s="12">
        <v>180</v>
      </c>
      <c r="J196" s="12">
        <v>110</v>
      </c>
      <c r="K196">
        <v>6</v>
      </c>
      <c r="L196">
        <v>3</v>
      </c>
      <c r="M196">
        <v>350</v>
      </c>
      <c r="N196" s="12">
        <f>+gemini_code_1787702791259[[#This Row],[Cantidad]]*gemini_code_1787702791259[[#This Row],[Precio_Unitario_USD]]</f>
        <v>360</v>
      </c>
      <c r="O196" s="12">
        <f>+gemini_code_1787702791259[[#This Row],[Cantidad]]*gemini_code_1787702791259[[#This Row],[Costo_Unitario_USD]]</f>
        <v>220</v>
      </c>
      <c r="P196" s="12">
        <f>+gemini_code_1787702791259[[#This Row],[venta total]]-gemini_code_1787702791259[[#This Row],[Costo total]]</f>
        <v>140</v>
      </c>
      <c r="Q196" s="2">
        <f>gemini_code_1787702791259[[#This Row],[Ganancia bruta]]/gemini_code_1787702791259[[#This Row],[venta total]]</f>
        <v>0.3888888888888889</v>
      </c>
      <c r="R196" t="str">
        <f>IF(gemini_code_1787702791259[[#This Row],[Dias_Entrega]]&lt;=gemini_code_1787702791259[[#This Row],[Promesa_SLA_Dias]],"A tiempo","Fuera de SLA")</f>
        <v>Fuera de SLA</v>
      </c>
    </row>
    <row r="197" spans="1:18" x14ac:dyDescent="0.25">
      <c r="A197" t="s">
        <v>55</v>
      </c>
      <c r="B197" s="1">
        <v>46240</v>
      </c>
      <c r="C197" t="s">
        <v>14</v>
      </c>
      <c r="D197" t="s">
        <v>15</v>
      </c>
      <c r="E197" t="s">
        <v>22</v>
      </c>
      <c r="F197" t="s">
        <v>31</v>
      </c>
      <c r="G197" t="s">
        <v>56</v>
      </c>
      <c r="H197">
        <v>6</v>
      </c>
      <c r="I197" s="12">
        <v>85</v>
      </c>
      <c r="J197" s="12">
        <v>45</v>
      </c>
      <c r="K197">
        <v>1</v>
      </c>
      <c r="L197">
        <v>2</v>
      </c>
      <c r="M197">
        <v>500</v>
      </c>
      <c r="N197" s="12">
        <f>+gemini_code_1787702791259[[#This Row],[Cantidad]]*gemini_code_1787702791259[[#This Row],[Precio_Unitario_USD]]</f>
        <v>510</v>
      </c>
      <c r="O197" s="12">
        <f>+gemini_code_1787702791259[[#This Row],[Cantidad]]*gemini_code_1787702791259[[#This Row],[Costo_Unitario_USD]]</f>
        <v>270</v>
      </c>
      <c r="P197" s="12">
        <f>+gemini_code_1787702791259[[#This Row],[venta total]]-gemini_code_1787702791259[[#This Row],[Costo total]]</f>
        <v>240</v>
      </c>
      <c r="Q197" s="2">
        <f>gemini_code_1787702791259[[#This Row],[Ganancia bruta]]/gemini_code_1787702791259[[#This Row],[venta total]]</f>
        <v>0.47058823529411764</v>
      </c>
      <c r="R197" t="str">
        <f>IF(gemini_code_1787702791259[[#This Row],[Dias_Entrega]]&lt;=gemini_code_1787702791259[[#This Row],[Promesa_SLA_Dias]],"A tiempo","Fuera de SLA")</f>
        <v>A tiempo</v>
      </c>
    </row>
    <row r="198" spans="1:18" x14ac:dyDescent="0.25">
      <c r="A198" t="s">
        <v>57</v>
      </c>
      <c r="B198" s="1">
        <v>46240</v>
      </c>
      <c r="C198" t="s">
        <v>20</v>
      </c>
      <c r="D198" t="s">
        <v>21</v>
      </c>
      <c r="E198" t="s">
        <v>16</v>
      </c>
      <c r="F198" t="s">
        <v>17</v>
      </c>
      <c r="G198" t="s">
        <v>58</v>
      </c>
      <c r="H198">
        <v>12</v>
      </c>
      <c r="I198" s="12">
        <v>75</v>
      </c>
      <c r="J198" s="12">
        <v>35</v>
      </c>
      <c r="K198">
        <v>1</v>
      </c>
      <c r="L198">
        <v>2</v>
      </c>
      <c r="M198">
        <v>800</v>
      </c>
      <c r="N198" s="12">
        <f>+gemini_code_1787702791259[[#This Row],[Cantidad]]*gemini_code_1787702791259[[#This Row],[Precio_Unitario_USD]]</f>
        <v>900</v>
      </c>
      <c r="O198" s="12">
        <f>+gemini_code_1787702791259[[#This Row],[Cantidad]]*gemini_code_1787702791259[[#This Row],[Costo_Unitario_USD]]</f>
        <v>420</v>
      </c>
      <c r="P198" s="12">
        <f>+gemini_code_1787702791259[[#This Row],[venta total]]-gemini_code_1787702791259[[#This Row],[Costo total]]</f>
        <v>480</v>
      </c>
      <c r="Q198" s="2">
        <f>gemini_code_1787702791259[[#This Row],[Ganancia bruta]]/gemini_code_1787702791259[[#This Row],[venta total]]</f>
        <v>0.53333333333333333</v>
      </c>
      <c r="R198" t="str">
        <f>IF(gemini_code_1787702791259[[#This Row],[Dias_Entrega]]&lt;=gemini_code_1787702791259[[#This Row],[Promesa_SLA_Dias]],"A tiempo","Fuera de SLA")</f>
        <v>A tiempo</v>
      </c>
    </row>
    <row r="199" spans="1:18" x14ac:dyDescent="0.25">
      <c r="A199" t="s">
        <v>59</v>
      </c>
      <c r="B199" s="1">
        <v>46240</v>
      </c>
      <c r="C199" t="s">
        <v>26</v>
      </c>
      <c r="D199" t="s">
        <v>27</v>
      </c>
      <c r="E199" t="s">
        <v>22</v>
      </c>
      <c r="F199" t="s">
        <v>23</v>
      </c>
      <c r="G199" t="s">
        <v>60</v>
      </c>
      <c r="H199">
        <v>4</v>
      </c>
      <c r="I199" s="12">
        <v>110</v>
      </c>
      <c r="J199" s="12">
        <v>55</v>
      </c>
      <c r="K199">
        <v>5</v>
      </c>
      <c r="L199">
        <v>3</v>
      </c>
      <c r="M199">
        <v>400</v>
      </c>
      <c r="N199" s="12">
        <f>+gemini_code_1787702791259[[#This Row],[Cantidad]]*gemini_code_1787702791259[[#This Row],[Precio_Unitario_USD]]</f>
        <v>440</v>
      </c>
      <c r="O199" s="12">
        <f>+gemini_code_1787702791259[[#This Row],[Cantidad]]*gemini_code_1787702791259[[#This Row],[Costo_Unitario_USD]]</f>
        <v>220</v>
      </c>
      <c r="P199" s="12">
        <f>+gemini_code_1787702791259[[#This Row],[venta total]]-gemini_code_1787702791259[[#This Row],[Costo total]]</f>
        <v>220</v>
      </c>
      <c r="Q199" s="2">
        <f>gemini_code_1787702791259[[#This Row],[Ganancia bruta]]/gemini_code_1787702791259[[#This Row],[venta total]]</f>
        <v>0.5</v>
      </c>
      <c r="R199" t="str">
        <f>IF(gemini_code_1787702791259[[#This Row],[Dias_Entrega]]&lt;=gemini_code_1787702791259[[#This Row],[Promesa_SLA_Dias]],"A tiempo","Fuera de SLA")</f>
        <v>Fuera de SLA</v>
      </c>
    </row>
    <row r="200" spans="1:18" x14ac:dyDescent="0.25">
      <c r="A200" t="s">
        <v>61</v>
      </c>
      <c r="B200" s="1">
        <v>46241</v>
      </c>
      <c r="C200" t="s">
        <v>14</v>
      </c>
      <c r="D200" t="s">
        <v>15</v>
      </c>
      <c r="E200" t="s">
        <v>16</v>
      </c>
      <c r="F200" t="s">
        <v>28</v>
      </c>
      <c r="G200" t="s">
        <v>62</v>
      </c>
      <c r="H200">
        <v>15</v>
      </c>
      <c r="I200" s="12">
        <v>25</v>
      </c>
      <c r="J200" s="12">
        <v>10</v>
      </c>
      <c r="K200">
        <v>2</v>
      </c>
      <c r="L200">
        <v>3</v>
      </c>
      <c r="M200">
        <v>300</v>
      </c>
      <c r="N200" s="12">
        <f>+gemini_code_1787702791259[[#This Row],[Cantidad]]*gemini_code_1787702791259[[#This Row],[Precio_Unitario_USD]]</f>
        <v>375</v>
      </c>
      <c r="O200" s="12">
        <f>+gemini_code_1787702791259[[#This Row],[Cantidad]]*gemini_code_1787702791259[[#This Row],[Costo_Unitario_USD]]</f>
        <v>150</v>
      </c>
      <c r="P200" s="12">
        <f>+gemini_code_1787702791259[[#This Row],[venta total]]-gemini_code_1787702791259[[#This Row],[Costo total]]</f>
        <v>225</v>
      </c>
      <c r="Q200" s="2">
        <f>gemini_code_1787702791259[[#This Row],[Ganancia bruta]]/gemini_code_1787702791259[[#This Row],[venta total]]</f>
        <v>0.6</v>
      </c>
      <c r="R200" t="str">
        <f>IF(gemini_code_1787702791259[[#This Row],[Dias_Entrega]]&lt;=gemini_code_1787702791259[[#This Row],[Promesa_SLA_Dias]],"A tiempo","Fuera de SLA")</f>
        <v>A tiempo</v>
      </c>
    </row>
    <row r="201" spans="1:18" x14ac:dyDescent="0.25">
      <c r="A201" t="s">
        <v>63</v>
      </c>
      <c r="B201" s="1">
        <v>46241</v>
      </c>
      <c r="C201" t="s">
        <v>20</v>
      </c>
      <c r="D201" t="s">
        <v>21</v>
      </c>
      <c r="E201" t="s">
        <v>22</v>
      </c>
      <c r="F201" t="s">
        <v>31</v>
      </c>
      <c r="G201" t="s">
        <v>64</v>
      </c>
      <c r="H201">
        <v>5</v>
      </c>
      <c r="I201" s="12">
        <v>130</v>
      </c>
      <c r="J201" s="12">
        <v>70</v>
      </c>
      <c r="K201">
        <v>3</v>
      </c>
      <c r="L201">
        <v>3</v>
      </c>
      <c r="M201">
        <v>600</v>
      </c>
      <c r="N201" s="12">
        <f>+gemini_code_1787702791259[[#This Row],[Cantidad]]*gemini_code_1787702791259[[#This Row],[Precio_Unitario_USD]]</f>
        <v>650</v>
      </c>
      <c r="O201" s="12">
        <f>+gemini_code_1787702791259[[#This Row],[Cantidad]]*gemini_code_1787702791259[[#This Row],[Costo_Unitario_USD]]</f>
        <v>350</v>
      </c>
      <c r="P201" s="12">
        <f>+gemini_code_1787702791259[[#This Row],[venta total]]-gemini_code_1787702791259[[#This Row],[Costo total]]</f>
        <v>300</v>
      </c>
      <c r="Q201" s="2">
        <f>gemini_code_1787702791259[[#This Row],[Ganancia bruta]]/gemini_code_1787702791259[[#This Row],[venta total]]</f>
        <v>0.46153846153846156</v>
      </c>
      <c r="R201" t="str">
        <f>IF(gemini_code_1787702791259[[#This Row],[Dias_Entrega]]&lt;=gemini_code_1787702791259[[#This Row],[Promesa_SLA_Dias]],"A tiempo","Fuera de SLA")</f>
        <v>A tiempo</v>
      </c>
    </row>
    <row r="202" spans="1:18" x14ac:dyDescent="0.25">
      <c r="A202" t="s">
        <v>65</v>
      </c>
      <c r="B202" s="1">
        <v>46241</v>
      </c>
      <c r="C202" t="s">
        <v>26</v>
      </c>
      <c r="D202" t="s">
        <v>27</v>
      </c>
      <c r="E202" t="s">
        <v>16</v>
      </c>
      <c r="F202" t="s">
        <v>17</v>
      </c>
      <c r="G202" t="s">
        <v>66</v>
      </c>
      <c r="H202">
        <v>2</v>
      </c>
      <c r="I202" s="12">
        <v>500</v>
      </c>
      <c r="J202" s="12">
        <v>380</v>
      </c>
      <c r="K202">
        <v>6</v>
      </c>
      <c r="L202">
        <v>4</v>
      </c>
      <c r="M202">
        <v>900</v>
      </c>
      <c r="N202" s="12">
        <f>+gemini_code_1787702791259[[#This Row],[Cantidad]]*gemini_code_1787702791259[[#This Row],[Precio_Unitario_USD]]</f>
        <v>1000</v>
      </c>
      <c r="O202" s="12">
        <f>+gemini_code_1787702791259[[#This Row],[Cantidad]]*gemini_code_1787702791259[[#This Row],[Costo_Unitario_USD]]</f>
        <v>760</v>
      </c>
      <c r="P202" s="12">
        <f>+gemini_code_1787702791259[[#This Row],[venta total]]-gemini_code_1787702791259[[#This Row],[Costo total]]</f>
        <v>240</v>
      </c>
      <c r="Q202" s="2">
        <f>gemini_code_1787702791259[[#This Row],[Ganancia bruta]]/gemini_code_1787702791259[[#This Row],[venta total]]</f>
        <v>0.24</v>
      </c>
      <c r="R202" t="str">
        <f>IF(gemini_code_1787702791259[[#This Row],[Dias_Entrega]]&lt;=gemini_code_1787702791259[[#This Row],[Promesa_SLA_Dias]],"A tiempo","Fuera de SLA")</f>
        <v>Fuera de SLA</v>
      </c>
    </row>
    <row r="203" spans="1:18" x14ac:dyDescent="0.25">
      <c r="A203" t="s">
        <v>67</v>
      </c>
      <c r="B203" s="1">
        <v>46242</v>
      </c>
      <c r="C203" t="s">
        <v>14</v>
      </c>
      <c r="D203" t="s">
        <v>15</v>
      </c>
      <c r="E203" t="s">
        <v>16</v>
      </c>
      <c r="F203" t="s">
        <v>23</v>
      </c>
      <c r="G203" t="s">
        <v>68</v>
      </c>
      <c r="H203">
        <v>3</v>
      </c>
      <c r="I203" s="12">
        <v>95</v>
      </c>
      <c r="J203" s="12">
        <v>45</v>
      </c>
      <c r="K203">
        <v>2</v>
      </c>
      <c r="L203">
        <v>3</v>
      </c>
      <c r="M203">
        <v>300</v>
      </c>
      <c r="N203" s="12">
        <f>+gemini_code_1787702791259[[#This Row],[Cantidad]]*gemini_code_1787702791259[[#This Row],[Precio_Unitario_USD]]</f>
        <v>285</v>
      </c>
      <c r="O203" s="12">
        <f>+gemini_code_1787702791259[[#This Row],[Cantidad]]*gemini_code_1787702791259[[#This Row],[Costo_Unitario_USD]]</f>
        <v>135</v>
      </c>
      <c r="P203" s="12">
        <f>+gemini_code_1787702791259[[#This Row],[venta total]]-gemini_code_1787702791259[[#This Row],[Costo total]]</f>
        <v>150</v>
      </c>
      <c r="Q203" s="2">
        <f>gemini_code_1787702791259[[#This Row],[Ganancia bruta]]/gemini_code_1787702791259[[#This Row],[venta total]]</f>
        <v>0.52631578947368418</v>
      </c>
      <c r="R203" t="str">
        <f>IF(gemini_code_1787702791259[[#This Row],[Dias_Entrega]]&lt;=gemini_code_1787702791259[[#This Row],[Promesa_SLA_Dias]],"A tiempo","Fuera de SLA")</f>
        <v>A tiempo</v>
      </c>
    </row>
    <row r="204" spans="1:18" x14ac:dyDescent="0.25">
      <c r="A204" t="s">
        <v>69</v>
      </c>
      <c r="B204" s="1">
        <v>46242</v>
      </c>
      <c r="C204" t="s">
        <v>20</v>
      </c>
      <c r="D204" t="s">
        <v>21</v>
      </c>
      <c r="E204" t="s">
        <v>16</v>
      </c>
      <c r="F204" t="s">
        <v>28</v>
      </c>
      <c r="G204" t="s">
        <v>70</v>
      </c>
      <c r="H204">
        <v>4</v>
      </c>
      <c r="I204" s="12">
        <v>160</v>
      </c>
      <c r="J204" s="12">
        <v>95</v>
      </c>
      <c r="K204">
        <v>2</v>
      </c>
      <c r="L204">
        <v>3</v>
      </c>
      <c r="M204">
        <v>600</v>
      </c>
      <c r="N204" s="12">
        <f>+gemini_code_1787702791259[[#This Row],[Cantidad]]*gemini_code_1787702791259[[#This Row],[Precio_Unitario_USD]]</f>
        <v>640</v>
      </c>
      <c r="O204" s="12">
        <f>+gemini_code_1787702791259[[#This Row],[Cantidad]]*gemini_code_1787702791259[[#This Row],[Costo_Unitario_USD]]</f>
        <v>380</v>
      </c>
      <c r="P204" s="12">
        <f>+gemini_code_1787702791259[[#This Row],[venta total]]-gemini_code_1787702791259[[#This Row],[Costo total]]</f>
        <v>260</v>
      </c>
      <c r="Q204" s="2">
        <f>gemini_code_1787702791259[[#This Row],[Ganancia bruta]]/gemini_code_1787702791259[[#This Row],[venta total]]</f>
        <v>0.40625</v>
      </c>
      <c r="R204" t="str">
        <f>IF(gemini_code_1787702791259[[#This Row],[Dias_Entrega]]&lt;=gemini_code_1787702791259[[#This Row],[Promesa_SLA_Dias]],"A tiempo","Fuera de SLA")</f>
        <v>A tiempo</v>
      </c>
    </row>
    <row r="205" spans="1:18" x14ac:dyDescent="0.25">
      <c r="A205" t="s">
        <v>71</v>
      </c>
      <c r="B205" s="1">
        <v>46242</v>
      </c>
      <c r="C205" t="s">
        <v>26</v>
      </c>
      <c r="D205" t="s">
        <v>27</v>
      </c>
      <c r="E205" t="s">
        <v>22</v>
      </c>
      <c r="F205" t="s">
        <v>31</v>
      </c>
      <c r="G205" t="s">
        <v>72</v>
      </c>
      <c r="H205">
        <v>7</v>
      </c>
      <c r="I205" s="12">
        <v>90</v>
      </c>
      <c r="J205" s="12">
        <v>45</v>
      </c>
      <c r="K205">
        <v>4</v>
      </c>
      <c r="L205">
        <v>3</v>
      </c>
      <c r="M205">
        <v>600</v>
      </c>
      <c r="N205" s="12">
        <f>+gemini_code_1787702791259[[#This Row],[Cantidad]]*gemini_code_1787702791259[[#This Row],[Precio_Unitario_USD]]</f>
        <v>630</v>
      </c>
      <c r="O205" s="12">
        <f>+gemini_code_1787702791259[[#This Row],[Cantidad]]*gemini_code_1787702791259[[#This Row],[Costo_Unitario_USD]]</f>
        <v>315</v>
      </c>
      <c r="P205" s="12">
        <f>+gemini_code_1787702791259[[#This Row],[venta total]]-gemini_code_1787702791259[[#This Row],[Costo total]]</f>
        <v>315</v>
      </c>
      <c r="Q205" s="2">
        <f>gemini_code_1787702791259[[#This Row],[Ganancia bruta]]/gemini_code_1787702791259[[#This Row],[venta total]]</f>
        <v>0.5</v>
      </c>
      <c r="R205" t="str">
        <f>IF(gemini_code_1787702791259[[#This Row],[Dias_Entrega]]&lt;=gemini_code_1787702791259[[#This Row],[Promesa_SLA_Dias]],"A tiempo","Fuera de SLA")</f>
        <v>Fuera de SLA</v>
      </c>
    </row>
    <row r="206" spans="1:18" x14ac:dyDescent="0.25">
      <c r="A206" t="s">
        <v>73</v>
      </c>
      <c r="B206" s="1">
        <v>46243</v>
      </c>
      <c r="C206" t="s">
        <v>14</v>
      </c>
      <c r="D206" t="s">
        <v>15</v>
      </c>
      <c r="E206" t="s">
        <v>22</v>
      </c>
      <c r="F206" t="s">
        <v>17</v>
      </c>
      <c r="G206" t="s">
        <v>74</v>
      </c>
      <c r="H206">
        <v>3</v>
      </c>
      <c r="I206" s="12">
        <v>310</v>
      </c>
      <c r="J206" s="12">
        <v>210</v>
      </c>
      <c r="K206">
        <v>2</v>
      </c>
      <c r="L206">
        <v>3</v>
      </c>
      <c r="M206">
        <v>900</v>
      </c>
      <c r="N206" s="12">
        <f>+gemini_code_1787702791259[[#This Row],[Cantidad]]*gemini_code_1787702791259[[#This Row],[Precio_Unitario_USD]]</f>
        <v>930</v>
      </c>
      <c r="O206" s="12">
        <f>+gemini_code_1787702791259[[#This Row],[Cantidad]]*gemini_code_1787702791259[[#This Row],[Costo_Unitario_USD]]</f>
        <v>630</v>
      </c>
      <c r="P206" s="12">
        <f>+gemini_code_1787702791259[[#This Row],[venta total]]-gemini_code_1787702791259[[#This Row],[Costo total]]</f>
        <v>300</v>
      </c>
      <c r="Q206" s="2">
        <f>gemini_code_1787702791259[[#This Row],[Ganancia bruta]]/gemini_code_1787702791259[[#This Row],[venta total]]</f>
        <v>0.32258064516129031</v>
      </c>
      <c r="R206" t="str">
        <f>IF(gemini_code_1787702791259[[#This Row],[Dias_Entrega]]&lt;=gemini_code_1787702791259[[#This Row],[Promesa_SLA_Dias]],"A tiempo","Fuera de SLA")</f>
        <v>A tiempo</v>
      </c>
    </row>
    <row r="207" spans="1:18" x14ac:dyDescent="0.25">
      <c r="A207" t="s">
        <v>75</v>
      </c>
      <c r="B207" s="1">
        <v>46243</v>
      </c>
      <c r="C207" t="s">
        <v>20</v>
      </c>
      <c r="D207" t="s">
        <v>21</v>
      </c>
      <c r="E207" t="s">
        <v>16</v>
      </c>
      <c r="F207" t="s">
        <v>23</v>
      </c>
      <c r="G207" t="s">
        <v>76</v>
      </c>
      <c r="H207">
        <v>8</v>
      </c>
      <c r="I207" s="12">
        <v>50</v>
      </c>
      <c r="J207" s="12">
        <v>22</v>
      </c>
      <c r="K207">
        <v>2</v>
      </c>
      <c r="L207">
        <v>3</v>
      </c>
      <c r="M207">
        <v>400</v>
      </c>
      <c r="N207" s="12">
        <f>+gemini_code_1787702791259[[#This Row],[Cantidad]]*gemini_code_1787702791259[[#This Row],[Precio_Unitario_USD]]</f>
        <v>400</v>
      </c>
      <c r="O207" s="12">
        <f>+gemini_code_1787702791259[[#This Row],[Cantidad]]*gemini_code_1787702791259[[#This Row],[Costo_Unitario_USD]]</f>
        <v>176</v>
      </c>
      <c r="P207" s="12">
        <f>+gemini_code_1787702791259[[#This Row],[venta total]]-gemini_code_1787702791259[[#This Row],[Costo total]]</f>
        <v>224</v>
      </c>
      <c r="Q207" s="2">
        <f>gemini_code_1787702791259[[#This Row],[Ganancia bruta]]/gemini_code_1787702791259[[#This Row],[venta total]]</f>
        <v>0.56000000000000005</v>
      </c>
      <c r="R207" t="str">
        <f>IF(gemini_code_1787702791259[[#This Row],[Dias_Entrega]]&lt;=gemini_code_1787702791259[[#This Row],[Promesa_SLA_Dias]],"A tiempo","Fuera de SLA")</f>
        <v>A tiempo</v>
      </c>
    </row>
    <row r="208" spans="1:18" x14ac:dyDescent="0.25">
      <c r="A208" t="s">
        <v>77</v>
      </c>
      <c r="B208" s="1">
        <v>46243</v>
      </c>
      <c r="C208" t="s">
        <v>26</v>
      </c>
      <c r="D208" t="s">
        <v>27</v>
      </c>
      <c r="E208" t="s">
        <v>16</v>
      </c>
      <c r="F208" t="s">
        <v>28</v>
      </c>
      <c r="G208" t="s">
        <v>78</v>
      </c>
      <c r="H208">
        <v>1</v>
      </c>
      <c r="I208" s="12">
        <v>750</v>
      </c>
      <c r="J208" s="12">
        <v>480</v>
      </c>
      <c r="K208">
        <v>8</v>
      </c>
      <c r="L208">
        <v>4</v>
      </c>
      <c r="M208">
        <v>700</v>
      </c>
      <c r="N208" s="12">
        <f>+gemini_code_1787702791259[[#This Row],[Cantidad]]*gemini_code_1787702791259[[#This Row],[Precio_Unitario_USD]]</f>
        <v>750</v>
      </c>
      <c r="O208" s="12">
        <f>+gemini_code_1787702791259[[#This Row],[Cantidad]]*gemini_code_1787702791259[[#This Row],[Costo_Unitario_USD]]</f>
        <v>480</v>
      </c>
      <c r="P208" s="12">
        <f>+gemini_code_1787702791259[[#This Row],[venta total]]-gemini_code_1787702791259[[#This Row],[Costo total]]</f>
        <v>270</v>
      </c>
      <c r="Q208" s="2">
        <f>gemini_code_1787702791259[[#This Row],[Ganancia bruta]]/gemini_code_1787702791259[[#This Row],[venta total]]</f>
        <v>0.36</v>
      </c>
      <c r="R208" t="str">
        <f>IF(gemini_code_1787702791259[[#This Row],[Dias_Entrega]]&lt;=gemini_code_1787702791259[[#This Row],[Promesa_SLA_Dias]],"A tiempo","Fuera de SLA")</f>
        <v>Fuera de SLA</v>
      </c>
    </row>
    <row r="209" spans="1:18" x14ac:dyDescent="0.25">
      <c r="A209" t="s">
        <v>79</v>
      </c>
      <c r="B209" s="1">
        <v>46244</v>
      </c>
      <c r="C209" t="s">
        <v>14</v>
      </c>
      <c r="D209" t="s">
        <v>15</v>
      </c>
      <c r="E209" t="s">
        <v>16</v>
      </c>
      <c r="F209" t="s">
        <v>31</v>
      </c>
      <c r="G209" t="s">
        <v>80</v>
      </c>
      <c r="H209">
        <v>4</v>
      </c>
      <c r="I209" s="12">
        <v>140</v>
      </c>
      <c r="J209" s="12">
        <v>75</v>
      </c>
      <c r="K209">
        <v>3</v>
      </c>
      <c r="L209">
        <v>3</v>
      </c>
      <c r="M209">
        <v>500</v>
      </c>
      <c r="N209" s="12">
        <f>+gemini_code_1787702791259[[#This Row],[Cantidad]]*gemini_code_1787702791259[[#This Row],[Precio_Unitario_USD]]</f>
        <v>560</v>
      </c>
      <c r="O209" s="12">
        <f>+gemini_code_1787702791259[[#This Row],[Cantidad]]*gemini_code_1787702791259[[#This Row],[Costo_Unitario_USD]]</f>
        <v>300</v>
      </c>
      <c r="P209" s="12">
        <f>+gemini_code_1787702791259[[#This Row],[venta total]]-gemini_code_1787702791259[[#This Row],[Costo total]]</f>
        <v>260</v>
      </c>
      <c r="Q209" s="2">
        <f>gemini_code_1787702791259[[#This Row],[Ganancia bruta]]/gemini_code_1787702791259[[#This Row],[venta total]]</f>
        <v>0.4642857142857143</v>
      </c>
      <c r="R209" t="str">
        <f>IF(gemini_code_1787702791259[[#This Row],[Dias_Entrega]]&lt;=gemini_code_1787702791259[[#This Row],[Promesa_SLA_Dias]],"A tiempo","Fuera de SLA")</f>
        <v>A tiempo</v>
      </c>
    </row>
    <row r="210" spans="1:18" x14ac:dyDescent="0.25">
      <c r="A210" t="s">
        <v>81</v>
      </c>
      <c r="B210" s="1">
        <v>46244</v>
      </c>
      <c r="C210" t="s">
        <v>20</v>
      </c>
      <c r="D210" t="s">
        <v>21</v>
      </c>
      <c r="E210" t="s">
        <v>22</v>
      </c>
      <c r="F210" t="s">
        <v>17</v>
      </c>
      <c r="G210" t="s">
        <v>82</v>
      </c>
      <c r="H210">
        <v>6</v>
      </c>
      <c r="I210" s="12">
        <v>90</v>
      </c>
      <c r="J210" s="12">
        <v>50</v>
      </c>
      <c r="K210">
        <v>1</v>
      </c>
      <c r="L210">
        <v>2</v>
      </c>
      <c r="M210">
        <v>500</v>
      </c>
      <c r="N210" s="12">
        <f>+gemini_code_1787702791259[[#This Row],[Cantidad]]*gemini_code_1787702791259[[#This Row],[Precio_Unitario_USD]]</f>
        <v>540</v>
      </c>
      <c r="O210" s="12">
        <f>+gemini_code_1787702791259[[#This Row],[Cantidad]]*gemini_code_1787702791259[[#This Row],[Costo_Unitario_USD]]</f>
        <v>300</v>
      </c>
      <c r="P210" s="12">
        <f>+gemini_code_1787702791259[[#This Row],[venta total]]-gemini_code_1787702791259[[#This Row],[Costo total]]</f>
        <v>240</v>
      </c>
      <c r="Q210" s="2">
        <f>gemini_code_1787702791259[[#This Row],[Ganancia bruta]]/gemini_code_1787702791259[[#This Row],[venta total]]</f>
        <v>0.44444444444444442</v>
      </c>
      <c r="R210" t="str">
        <f>IF(gemini_code_1787702791259[[#This Row],[Dias_Entrega]]&lt;=gemini_code_1787702791259[[#This Row],[Promesa_SLA_Dias]],"A tiempo","Fuera de SLA")</f>
        <v>A tiempo</v>
      </c>
    </row>
    <row r="211" spans="1:18" x14ac:dyDescent="0.25">
      <c r="A211" t="s">
        <v>83</v>
      </c>
      <c r="B211" s="1">
        <v>46244</v>
      </c>
      <c r="C211" t="s">
        <v>26</v>
      </c>
      <c r="D211" t="s">
        <v>27</v>
      </c>
      <c r="E211" t="s">
        <v>16</v>
      </c>
      <c r="F211" t="s">
        <v>23</v>
      </c>
      <c r="G211" t="s">
        <v>84</v>
      </c>
      <c r="H211">
        <v>6</v>
      </c>
      <c r="I211" s="12">
        <v>60</v>
      </c>
      <c r="J211" s="12">
        <v>28</v>
      </c>
      <c r="K211">
        <v>5</v>
      </c>
      <c r="L211">
        <v>3</v>
      </c>
      <c r="M211">
        <v>350</v>
      </c>
      <c r="N211" s="12">
        <f>+gemini_code_1787702791259[[#This Row],[Cantidad]]*gemini_code_1787702791259[[#This Row],[Precio_Unitario_USD]]</f>
        <v>360</v>
      </c>
      <c r="O211" s="12">
        <f>+gemini_code_1787702791259[[#This Row],[Cantidad]]*gemini_code_1787702791259[[#This Row],[Costo_Unitario_USD]]</f>
        <v>168</v>
      </c>
      <c r="P211" s="12">
        <f>+gemini_code_1787702791259[[#This Row],[venta total]]-gemini_code_1787702791259[[#This Row],[Costo total]]</f>
        <v>192</v>
      </c>
      <c r="Q211" s="2">
        <f>gemini_code_1787702791259[[#This Row],[Ganancia bruta]]/gemini_code_1787702791259[[#This Row],[venta total]]</f>
        <v>0.53333333333333333</v>
      </c>
      <c r="R211" t="str">
        <f>IF(gemini_code_1787702791259[[#This Row],[Dias_Entrega]]&lt;=gemini_code_1787702791259[[#This Row],[Promesa_SLA_Dias]],"A tiempo","Fuera de SLA")</f>
        <v>Fuera de SLA</v>
      </c>
    </row>
    <row r="212" spans="1:18" x14ac:dyDescent="0.25">
      <c r="A212" t="s">
        <v>13</v>
      </c>
      <c r="B212" s="1">
        <v>46235</v>
      </c>
      <c r="C212" t="s">
        <v>14</v>
      </c>
      <c r="D212" t="s">
        <v>15</v>
      </c>
      <c r="E212" t="s">
        <v>16</v>
      </c>
      <c r="F212" t="s">
        <v>17</v>
      </c>
      <c r="G212" t="s">
        <v>18</v>
      </c>
      <c r="H212">
        <v>2</v>
      </c>
      <c r="I212" s="12">
        <v>850</v>
      </c>
      <c r="J212" s="12">
        <v>600</v>
      </c>
      <c r="K212">
        <v>2</v>
      </c>
      <c r="L212">
        <v>3</v>
      </c>
      <c r="M212">
        <v>1500</v>
      </c>
      <c r="N212" s="12">
        <f>+gemini_code_1787702791259[[#This Row],[Cantidad]]*gemini_code_1787702791259[[#This Row],[Precio_Unitario_USD]]</f>
        <v>1700</v>
      </c>
      <c r="O212" s="12">
        <f>+gemini_code_1787702791259[[#This Row],[Cantidad]]*gemini_code_1787702791259[[#This Row],[Costo_Unitario_USD]]</f>
        <v>1200</v>
      </c>
      <c r="P212" s="12">
        <f>+gemini_code_1787702791259[[#This Row],[venta total]]-gemini_code_1787702791259[[#This Row],[Costo total]]</f>
        <v>500</v>
      </c>
      <c r="Q212" s="2">
        <f>gemini_code_1787702791259[[#This Row],[Ganancia bruta]]/gemini_code_1787702791259[[#This Row],[venta total]]</f>
        <v>0.29411764705882354</v>
      </c>
      <c r="R212" t="str">
        <f>IF(gemini_code_1787702791259[[#This Row],[Dias_Entrega]]&lt;=gemini_code_1787702791259[[#This Row],[Promesa_SLA_Dias]],"A tiempo","Fuera de SLA")</f>
        <v>A tiempo</v>
      </c>
    </row>
    <row r="213" spans="1:18" x14ac:dyDescent="0.25">
      <c r="A213" t="s">
        <v>19</v>
      </c>
      <c r="B213" s="1">
        <v>46235</v>
      </c>
      <c r="C213" t="s">
        <v>20</v>
      </c>
      <c r="D213" t="s">
        <v>21</v>
      </c>
      <c r="E213" t="s">
        <v>22</v>
      </c>
      <c r="F213" t="s">
        <v>23</v>
      </c>
      <c r="G213" t="s">
        <v>24</v>
      </c>
      <c r="H213">
        <v>5</v>
      </c>
      <c r="I213" s="12">
        <v>120</v>
      </c>
      <c r="J213" s="12">
        <v>70</v>
      </c>
      <c r="K213">
        <v>3</v>
      </c>
      <c r="L213">
        <v>3</v>
      </c>
      <c r="M213">
        <v>500</v>
      </c>
      <c r="N213" s="12">
        <f>+gemini_code_1787702791259[[#This Row],[Cantidad]]*gemini_code_1787702791259[[#This Row],[Precio_Unitario_USD]]</f>
        <v>600</v>
      </c>
      <c r="O213" s="12">
        <f>+gemini_code_1787702791259[[#This Row],[Cantidad]]*gemini_code_1787702791259[[#This Row],[Costo_Unitario_USD]]</f>
        <v>350</v>
      </c>
      <c r="P213" s="12">
        <f>+gemini_code_1787702791259[[#This Row],[venta total]]-gemini_code_1787702791259[[#This Row],[Costo total]]</f>
        <v>250</v>
      </c>
      <c r="Q213" s="2">
        <f>gemini_code_1787702791259[[#This Row],[Ganancia bruta]]/gemini_code_1787702791259[[#This Row],[venta total]]</f>
        <v>0.41666666666666669</v>
      </c>
      <c r="R213" t="str">
        <f>IF(gemini_code_1787702791259[[#This Row],[Dias_Entrega]]&lt;=gemini_code_1787702791259[[#This Row],[Promesa_SLA_Dias]],"A tiempo","Fuera de SLA")</f>
        <v>A tiempo</v>
      </c>
    </row>
    <row r="214" spans="1:18" x14ac:dyDescent="0.25">
      <c r="A214" t="s">
        <v>25</v>
      </c>
      <c r="B214" s="1">
        <v>46235</v>
      </c>
      <c r="C214" t="s">
        <v>26</v>
      </c>
      <c r="D214" t="s">
        <v>27</v>
      </c>
      <c r="E214" t="s">
        <v>16</v>
      </c>
      <c r="F214" t="s">
        <v>28</v>
      </c>
      <c r="G214" t="s">
        <v>29</v>
      </c>
      <c r="H214">
        <v>3</v>
      </c>
      <c r="I214" s="12">
        <v>90</v>
      </c>
      <c r="J214" s="12">
        <v>50</v>
      </c>
      <c r="K214">
        <v>6</v>
      </c>
      <c r="L214">
        <v>4</v>
      </c>
      <c r="M214">
        <v>300</v>
      </c>
      <c r="N214" s="12">
        <f>+gemini_code_1787702791259[[#This Row],[Cantidad]]*gemini_code_1787702791259[[#This Row],[Precio_Unitario_USD]]</f>
        <v>270</v>
      </c>
      <c r="O214" s="12">
        <f>+gemini_code_1787702791259[[#This Row],[Cantidad]]*gemini_code_1787702791259[[#This Row],[Costo_Unitario_USD]]</f>
        <v>150</v>
      </c>
      <c r="P214" s="12">
        <f>+gemini_code_1787702791259[[#This Row],[venta total]]-gemini_code_1787702791259[[#This Row],[Costo total]]</f>
        <v>120</v>
      </c>
      <c r="Q214" s="2">
        <f>gemini_code_1787702791259[[#This Row],[Ganancia bruta]]/gemini_code_1787702791259[[#This Row],[venta total]]</f>
        <v>0.44444444444444442</v>
      </c>
      <c r="R214" t="str">
        <f>IF(gemini_code_1787702791259[[#This Row],[Dias_Entrega]]&lt;=gemini_code_1787702791259[[#This Row],[Promesa_SLA_Dias]],"A tiempo","Fuera de SLA")</f>
        <v>Fuera de SLA</v>
      </c>
    </row>
    <row r="215" spans="1:18" x14ac:dyDescent="0.25">
      <c r="A215" t="s">
        <v>30</v>
      </c>
      <c r="B215" s="1">
        <v>46236</v>
      </c>
      <c r="C215" t="s">
        <v>14</v>
      </c>
      <c r="D215" t="s">
        <v>15</v>
      </c>
      <c r="E215" t="s">
        <v>22</v>
      </c>
      <c r="F215" t="s">
        <v>31</v>
      </c>
      <c r="G215" t="s">
        <v>32</v>
      </c>
      <c r="H215">
        <v>4</v>
      </c>
      <c r="I215" s="12">
        <v>110</v>
      </c>
      <c r="J215" s="12">
        <v>60</v>
      </c>
      <c r="K215">
        <v>1</v>
      </c>
      <c r="L215">
        <v>2</v>
      </c>
      <c r="M215">
        <v>400</v>
      </c>
      <c r="N215" s="12">
        <f>+gemini_code_1787702791259[[#This Row],[Cantidad]]*gemini_code_1787702791259[[#This Row],[Precio_Unitario_USD]]</f>
        <v>440</v>
      </c>
      <c r="O215" s="12">
        <f>+gemini_code_1787702791259[[#This Row],[Cantidad]]*gemini_code_1787702791259[[#This Row],[Costo_Unitario_USD]]</f>
        <v>240</v>
      </c>
      <c r="P215" s="12">
        <f>+gemini_code_1787702791259[[#This Row],[venta total]]-gemini_code_1787702791259[[#This Row],[Costo total]]</f>
        <v>200</v>
      </c>
      <c r="Q215" s="2">
        <f>gemini_code_1787702791259[[#This Row],[Ganancia bruta]]/gemini_code_1787702791259[[#This Row],[venta total]]</f>
        <v>0.45454545454545453</v>
      </c>
      <c r="R215" t="str">
        <f>IF(gemini_code_1787702791259[[#This Row],[Dias_Entrega]]&lt;=gemini_code_1787702791259[[#This Row],[Promesa_SLA_Dias]],"A tiempo","Fuera de SLA")</f>
        <v>A tiempo</v>
      </c>
    </row>
    <row r="216" spans="1:18" x14ac:dyDescent="0.25">
      <c r="A216" t="s">
        <v>33</v>
      </c>
      <c r="B216" s="1">
        <v>46236</v>
      </c>
      <c r="C216" t="s">
        <v>20</v>
      </c>
      <c r="D216" t="s">
        <v>21</v>
      </c>
      <c r="E216" t="s">
        <v>16</v>
      </c>
      <c r="F216" t="s">
        <v>17</v>
      </c>
      <c r="G216" t="s">
        <v>34</v>
      </c>
      <c r="H216">
        <v>3</v>
      </c>
      <c r="I216" s="12">
        <v>650</v>
      </c>
      <c r="J216" s="12">
        <v>450</v>
      </c>
      <c r="K216">
        <v>2</v>
      </c>
      <c r="L216">
        <v>3</v>
      </c>
      <c r="M216">
        <v>1800</v>
      </c>
      <c r="N216" s="12">
        <f>+gemini_code_1787702791259[[#This Row],[Cantidad]]*gemini_code_1787702791259[[#This Row],[Precio_Unitario_USD]]</f>
        <v>1950</v>
      </c>
      <c r="O216" s="12">
        <f>+gemini_code_1787702791259[[#This Row],[Cantidad]]*gemini_code_1787702791259[[#This Row],[Costo_Unitario_USD]]</f>
        <v>1350</v>
      </c>
      <c r="P216" s="12">
        <f>+gemini_code_1787702791259[[#This Row],[venta total]]-gemini_code_1787702791259[[#This Row],[Costo total]]</f>
        <v>600</v>
      </c>
      <c r="Q216" s="2">
        <f>gemini_code_1787702791259[[#This Row],[Ganancia bruta]]/gemini_code_1787702791259[[#This Row],[venta total]]</f>
        <v>0.30769230769230771</v>
      </c>
      <c r="R216" t="str">
        <f>IF(gemini_code_1787702791259[[#This Row],[Dias_Entrega]]&lt;=gemini_code_1787702791259[[#This Row],[Promesa_SLA_Dias]],"A tiempo","Fuera de SLA")</f>
        <v>A tiempo</v>
      </c>
    </row>
    <row r="217" spans="1:18" x14ac:dyDescent="0.25">
      <c r="A217" t="s">
        <v>35</v>
      </c>
      <c r="B217" s="1">
        <v>46236</v>
      </c>
      <c r="C217" t="s">
        <v>26</v>
      </c>
      <c r="D217" t="s">
        <v>27</v>
      </c>
      <c r="E217" t="s">
        <v>16</v>
      </c>
      <c r="F217" t="s">
        <v>23</v>
      </c>
      <c r="G217" t="s">
        <v>36</v>
      </c>
      <c r="H217">
        <v>8</v>
      </c>
      <c r="I217" s="12">
        <v>45</v>
      </c>
      <c r="J217" s="12">
        <v>20</v>
      </c>
      <c r="K217">
        <v>5</v>
      </c>
      <c r="L217">
        <v>3</v>
      </c>
      <c r="M217">
        <v>400</v>
      </c>
      <c r="N217" s="12">
        <f>+gemini_code_1787702791259[[#This Row],[Cantidad]]*gemini_code_1787702791259[[#This Row],[Precio_Unitario_USD]]</f>
        <v>360</v>
      </c>
      <c r="O217" s="12">
        <f>+gemini_code_1787702791259[[#This Row],[Cantidad]]*gemini_code_1787702791259[[#This Row],[Costo_Unitario_USD]]</f>
        <v>160</v>
      </c>
      <c r="P217" s="12">
        <f>+gemini_code_1787702791259[[#This Row],[venta total]]-gemini_code_1787702791259[[#This Row],[Costo total]]</f>
        <v>200</v>
      </c>
      <c r="Q217" s="2">
        <f>gemini_code_1787702791259[[#This Row],[Ganancia bruta]]/gemini_code_1787702791259[[#This Row],[venta total]]</f>
        <v>0.55555555555555558</v>
      </c>
      <c r="R217" t="str">
        <f>IF(gemini_code_1787702791259[[#This Row],[Dias_Entrega]]&lt;=gemini_code_1787702791259[[#This Row],[Promesa_SLA_Dias]],"A tiempo","Fuera de SLA")</f>
        <v>Fuera de SLA</v>
      </c>
    </row>
    <row r="218" spans="1:18" x14ac:dyDescent="0.25">
      <c r="A218" t="s">
        <v>37</v>
      </c>
      <c r="B218" s="1">
        <v>46237</v>
      </c>
      <c r="C218" t="s">
        <v>14</v>
      </c>
      <c r="D218" t="s">
        <v>15</v>
      </c>
      <c r="E218" t="s">
        <v>16</v>
      </c>
      <c r="F218" t="s">
        <v>28</v>
      </c>
      <c r="G218" t="s">
        <v>38</v>
      </c>
      <c r="H218">
        <v>2</v>
      </c>
      <c r="I218" s="12">
        <v>280</v>
      </c>
      <c r="J218" s="12">
        <v>180</v>
      </c>
      <c r="K218">
        <v>3</v>
      </c>
      <c r="L218">
        <v>3</v>
      </c>
      <c r="M218">
        <v>500</v>
      </c>
      <c r="N218" s="12">
        <f>+gemini_code_1787702791259[[#This Row],[Cantidad]]*gemini_code_1787702791259[[#This Row],[Precio_Unitario_USD]]</f>
        <v>560</v>
      </c>
      <c r="O218" s="12">
        <f>+gemini_code_1787702791259[[#This Row],[Cantidad]]*gemini_code_1787702791259[[#This Row],[Costo_Unitario_USD]]</f>
        <v>360</v>
      </c>
      <c r="P218" s="12">
        <f>+gemini_code_1787702791259[[#This Row],[venta total]]-gemini_code_1787702791259[[#This Row],[Costo total]]</f>
        <v>200</v>
      </c>
      <c r="Q218" s="2">
        <f>gemini_code_1787702791259[[#This Row],[Ganancia bruta]]/gemini_code_1787702791259[[#This Row],[venta total]]</f>
        <v>0.35714285714285715</v>
      </c>
      <c r="R218" t="str">
        <f>IF(gemini_code_1787702791259[[#This Row],[Dias_Entrega]]&lt;=gemini_code_1787702791259[[#This Row],[Promesa_SLA_Dias]],"A tiempo","Fuera de SLA")</f>
        <v>A tiempo</v>
      </c>
    </row>
    <row r="219" spans="1:18" x14ac:dyDescent="0.25">
      <c r="A219" t="s">
        <v>39</v>
      </c>
      <c r="B219" s="1">
        <v>46237</v>
      </c>
      <c r="C219" t="s">
        <v>20</v>
      </c>
      <c r="D219" t="s">
        <v>21</v>
      </c>
      <c r="E219" t="s">
        <v>22</v>
      </c>
      <c r="F219" t="s">
        <v>31</v>
      </c>
      <c r="G219" t="s">
        <v>40</v>
      </c>
      <c r="H219">
        <v>3</v>
      </c>
      <c r="I219" s="12">
        <v>150</v>
      </c>
      <c r="J219" s="12">
        <v>85</v>
      </c>
      <c r="K219">
        <v>2</v>
      </c>
      <c r="L219">
        <v>2</v>
      </c>
      <c r="M219">
        <v>400</v>
      </c>
      <c r="N219" s="12">
        <f>+gemini_code_1787702791259[[#This Row],[Cantidad]]*gemini_code_1787702791259[[#This Row],[Precio_Unitario_USD]]</f>
        <v>450</v>
      </c>
      <c r="O219" s="12">
        <f>+gemini_code_1787702791259[[#This Row],[Cantidad]]*gemini_code_1787702791259[[#This Row],[Costo_Unitario_USD]]</f>
        <v>255</v>
      </c>
      <c r="P219" s="12">
        <f>+gemini_code_1787702791259[[#This Row],[venta total]]-gemini_code_1787702791259[[#This Row],[Costo total]]</f>
        <v>195</v>
      </c>
      <c r="Q219" s="2">
        <f>gemini_code_1787702791259[[#This Row],[Ganancia bruta]]/gemini_code_1787702791259[[#This Row],[venta total]]</f>
        <v>0.43333333333333335</v>
      </c>
      <c r="R219" t="str">
        <f>IF(gemini_code_1787702791259[[#This Row],[Dias_Entrega]]&lt;=gemini_code_1787702791259[[#This Row],[Promesa_SLA_Dias]],"A tiempo","Fuera de SLA")</f>
        <v>A tiempo</v>
      </c>
    </row>
    <row r="220" spans="1:18" x14ac:dyDescent="0.25">
      <c r="A220" t="s">
        <v>41</v>
      </c>
      <c r="B220" s="1">
        <v>46237</v>
      </c>
      <c r="C220" t="s">
        <v>26</v>
      </c>
      <c r="D220" t="s">
        <v>27</v>
      </c>
      <c r="E220" t="s">
        <v>16</v>
      </c>
      <c r="F220" t="s">
        <v>17</v>
      </c>
      <c r="G220" t="s">
        <v>42</v>
      </c>
      <c r="H220">
        <v>2</v>
      </c>
      <c r="I220" s="12">
        <v>520</v>
      </c>
      <c r="J220" s="12">
        <v>380</v>
      </c>
      <c r="K220">
        <v>7</v>
      </c>
      <c r="L220">
        <v>4</v>
      </c>
      <c r="M220">
        <v>1000</v>
      </c>
      <c r="N220" s="12">
        <f>+gemini_code_1787702791259[[#This Row],[Cantidad]]*gemini_code_1787702791259[[#This Row],[Precio_Unitario_USD]]</f>
        <v>1040</v>
      </c>
      <c r="O220" s="12">
        <f>+gemini_code_1787702791259[[#This Row],[Cantidad]]*gemini_code_1787702791259[[#This Row],[Costo_Unitario_USD]]</f>
        <v>760</v>
      </c>
      <c r="P220" s="12">
        <f>+gemini_code_1787702791259[[#This Row],[venta total]]-gemini_code_1787702791259[[#This Row],[Costo total]]</f>
        <v>280</v>
      </c>
      <c r="Q220" s="2">
        <f>gemini_code_1787702791259[[#This Row],[Ganancia bruta]]/gemini_code_1787702791259[[#This Row],[venta total]]</f>
        <v>0.26923076923076922</v>
      </c>
      <c r="R220" t="str">
        <f>IF(gemini_code_1787702791259[[#This Row],[Dias_Entrega]]&lt;=gemini_code_1787702791259[[#This Row],[Promesa_SLA_Dias]],"A tiempo","Fuera de SLA")</f>
        <v>Fuera de SLA</v>
      </c>
    </row>
    <row r="221" spans="1:18" x14ac:dyDescent="0.25">
      <c r="A221" t="s">
        <v>43</v>
      </c>
      <c r="B221" s="1">
        <v>46238</v>
      </c>
      <c r="C221" t="s">
        <v>14</v>
      </c>
      <c r="D221" t="s">
        <v>15</v>
      </c>
      <c r="E221" t="s">
        <v>22</v>
      </c>
      <c r="F221" t="s">
        <v>23</v>
      </c>
      <c r="G221" t="s">
        <v>44</v>
      </c>
      <c r="H221">
        <v>6</v>
      </c>
      <c r="I221" s="12">
        <v>55</v>
      </c>
      <c r="J221" s="12">
        <v>25</v>
      </c>
      <c r="K221">
        <v>2</v>
      </c>
      <c r="L221">
        <v>3</v>
      </c>
      <c r="M221">
        <v>300</v>
      </c>
      <c r="N221" s="12">
        <f>+gemini_code_1787702791259[[#This Row],[Cantidad]]*gemini_code_1787702791259[[#This Row],[Precio_Unitario_USD]]</f>
        <v>330</v>
      </c>
      <c r="O221" s="12">
        <f>+gemini_code_1787702791259[[#This Row],[Cantidad]]*gemini_code_1787702791259[[#This Row],[Costo_Unitario_USD]]</f>
        <v>150</v>
      </c>
      <c r="P221" s="12">
        <f>+gemini_code_1787702791259[[#This Row],[venta total]]-gemini_code_1787702791259[[#This Row],[Costo total]]</f>
        <v>180</v>
      </c>
      <c r="Q221" s="2">
        <f>gemini_code_1787702791259[[#This Row],[Ganancia bruta]]/gemini_code_1787702791259[[#This Row],[venta total]]</f>
        <v>0.54545454545454541</v>
      </c>
      <c r="R221" t="str">
        <f>IF(gemini_code_1787702791259[[#This Row],[Dias_Entrega]]&lt;=gemini_code_1787702791259[[#This Row],[Promesa_SLA_Dias]],"A tiempo","Fuera de SLA")</f>
        <v>A tiempo</v>
      </c>
    </row>
    <row r="222" spans="1:18" x14ac:dyDescent="0.25">
      <c r="A222" t="s">
        <v>45</v>
      </c>
      <c r="B222" s="1">
        <v>46238</v>
      </c>
      <c r="C222" t="s">
        <v>20</v>
      </c>
      <c r="D222" t="s">
        <v>21</v>
      </c>
      <c r="E222" t="s">
        <v>16</v>
      </c>
      <c r="F222" t="s">
        <v>28</v>
      </c>
      <c r="G222" t="s">
        <v>46</v>
      </c>
      <c r="H222">
        <v>1</v>
      </c>
      <c r="I222" s="12">
        <v>450</v>
      </c>
      <c r="J222" s="12">
        <v>290</v>
      </c>
      <c r="K222">
        <v>4</v>
      </c>
      <c r="L222">
        <v>3</v>
      </c>
      <c r="M222">
        <v>400</v>
      </c>
      <c r="N222" s="12">
        <f>+gemini_code_1787702791259[[#This Row],[Cantidad]]*gemini_code_1787702791259[[#This Row],[Precio_Unitario_USD]]</f>
        <v>450</v>
      </c>
      <c r="O222" s="12">
        <f>+gemini_code_1787702791259[[#This Row],[Cantidad]]*gemini_code_1787702791259[[#This Row],[Costo_Unitario_USD]]</f>
        <v>290</v>
      </c>
      <c r="P222" s="12">
        <f>+gemini_code_1787702791259[[#This Row],[venta total]]-gemini_code_1787702791259[[#This Row],[Costo total]]</f>
        <v>160</v>
      </c>
      <c r="Q222" s="2">
        <f>gemini_code_1787702791259[[#This Row],[Ganancia bruta]]/gemini_code_1787702791259[[#This Row],[venta total]]</f>
        <v>0.35555555555555557</v>
      </c>
      <c r="R222" t="str">
        <f>IF(gemini_code_1787702791259[[#This Row],[Dias_Entrega]]&lt;=gemini_code_1787702791259[[#This Row],[Promesa_SLA_Dias]],"A tiempo","Fuera de SLA")</f>
        <v>Fuera de SLA</v>
      </c>
    </row>
    <row r="223" spans="1:18" x14ac:dyDescent="0.25">
      <c r="A223" t="s">
        <v>47</v>
      </c>
      <c r="B223" s="1">
        <v>46238</v>
      </c>
      <c r="C223" t="s">
        <v>26</v>
      </c>
      <c r="D223" t="s">
        <v>27</v>
      </c>
      <c r="E223" t="s">
        <v>22</v>
      </c>
      <c r="F223" t="s">
        <v>31</v>
      </c>
      <c r="G223" t="s">
        <v>48</v>
      </c>
      <c r="H223">
        <v>10</v>
      </c>
      <c r="I223" s="12">
        <v>35</v>
      </c>
      <c r="J223" s="12">
        <v>15</v>
      </c>
      <c r="K223">
        <v>4</v>
      </c>
      <c r="L223">
        <v>3</v>
      </c>
      <c r="M223">
        <v>300</v>
      </c>
      <c r="N223" s="12">
        <f>+gemini_code_1787702791259[[#This Row],[Cantidad]]*gemini_code_1787702791259[[#This Row],[Precio_Unitario_USD]]</f>
        <v>350</v>
      </c>
      <c r="O223" s="12">
        <f>+gemini_code_1787702791259[[#This Row],[Cantidad]]*gemini_code_1787702791259[[#This Row],[Costo_Unitario_USD]]</f>
        <v>150</v>
      </c>
      <c r="P223" s="12">
        <f>+gemini_code_1787702791259[[#This Row],[venta total]]-gemini_code_1787702791259[[#This Row],[Costo total]]</f>
        <v>200</v>
      </c>
      <c r="Q223" s="2">
        <f>gemini_code_1787702791259[[#This Row],[Ganancia bruta]]/gemini_code_1787702791259[[#This Row],[venta total]]</f>
        <v>0.5714285714285714</v>
      </c>
      <c r="R223" t="str">
        <f>IF(gemini_code_1787702791259[[#This Row],[Dias_Entrega]]&lt;=gemini_code_1787702791259[[#This Row],[Promesa_SLA_Dias]],"A tiempo","Fuera de SLA")</f>
        <v>Fuera de SLA</v>
      </c>
    </row>
    <row r="224" spans="1:18" x14ac:dyDescent="0.25">
      <c r="A224" t="s">
        <v>49</v>
      </c>
      <c r="B224" s="1">
        <v>46239</v>
      </c>
      <c r="C224" t="s">
        <v>14</v>
      </c>
      <c r="D224" t="s">
        <v>15</v>
      </c>
      <c r="E224" t="s">
        <v>16</v>
      </c>
      <c r="F224" t="s">
        <v>17</v>
      </c>
      <c r="G224" t="s">
        <v>50</v>
      </c>
      <c r="H224">
        <v>4</v>
      </c>
      <c r="I224" s="12">
        <v>220</v>
      </c>
      <c r="J224" s="12">
        <v>140</v>
      </c>
      <c r="K224">
        <v>2</v>
      </c>
      <c r="L224">
        <v>3</v>
      </c>
      <c r="M224">
        <v>800</v>
      </c>
      <c r="N224" s="12">
        <f>+gemini_code_1787702791259[[#This Row],[Cantidad]]*gemini_code_1787702791259[[#This Row],[Precio_Unitario_USD]]</f>
        <v>880</v>
      </c>
      <c r="O224" s="12">
        <f>+gemini_code_1787702791259[[#This Row],[Cantidad]]*gemini_code_1787702791259[[#This Row],[Costo_Unitario_USD]]</f>
        <v>560</v>
      </c>
      <c r="P224" s="12">
        <f>+gemini_code_1787702791259[[#This Row],[venta total]]-gemini_code_1787702791259[[#This Row],[Costo total]]</f>
        <v>320</v>
      </c>
      <c r="Q224" s="2">
        <f>gemini_code_1787702791259[[#This Row],[Ganancia bruta]]/gemini_code_1787702791259[[#This Row],[venta total]]</f>
        <v>0.36363636363636365</v>
      </c>
      <c r="R224" t="str">
        <f>IF(gemini_code_1787702791259[[#This Row],[Dias_Entrega]]&lt;=gemini_code_1787702791259[[#This Row],[Promesa_SLA_Dias]],"A tiempo","Fuera de SLA")</f>
        <v>A tiempo</v>
      </c>
    </row>
    <row r="225" spans="1:18" x14ac:dyDescent="0.25">
      <c r="A225" t="s">
        <v>51</v>
      </c>
      <c r="B225" s="1">
        <v>46239</v>
      </c>
      <c r="C225" t="s">
        <v>20</v>
      </c>
      <c r="D225" t="s">
        <v>21</v>
      </c>
      <c r="E225" t="s">
        <v>16</v>
      </c>
      <c r="F225" t="s">
        <v>23</v>
      </c>
      <c r="G225" t="s">
        <v>52</v>
      </c>
      <c r="H225">
        <v>5</v>
      </c>
      <c r="I225" s="12">
        <v>65</v>
      </c>
      <c r="J225" s="12">
        <v>30</v>
      </c>
      <c r="K225">
        <v>2</v>
      </c>
      <c r="L225">
        <v>3</v>
      </c>
      <c r="M225">
        <v>300</v>
      </c>
      <c r="N225" s="12">
        <f>+gemini_code_1787702791259[[#This Row],[Cantidad]]*gemini_code_1787702791259[[#This Row],[Precio_Unitario_USD]]</f>
        <v>325</v>
      </c>
      <c r="O225" s="12">
        <f>+gemini_code_1787702791259[[#This Row],[Cantidad]]*gemini_code_1787702791259[[#This Row],[Costo_Unitario_USD]]</f>
        <v>150</v>
      </c>
      <c r="P225" s="12">
        <f>+gemini_code_1787702791259[[#This Row],[venta total]]-gemini_code_1787702791259[[#This Row],[Costo total]]</f>
        <v>175</v>
      </c>
      <c r="Q225" s="2">
        <f>gemini_code_1787702791259[[#This Row],[Ganancia bruta]]/gemini_code_1787702791259[[#This Row],[venta total]]</f>
        <v>0.53846153846153844</v>
      </c>
      <c r="R225" t="str">
        <f>IF(gemini_code_1787702791259[[#This Row],[Dias_Entrega]]&lt;=gemini_code_1787702791259[[#This Row],[Promesa_SLA_Dias]],"A tiempo","Fuera de SLA")</f>
        <v>A tiempo</v>
      </c>
    </row>
    <row r="226" spans="1:18" x14ac:dyDescent="0.25">
      <c r="A226" t="s">
        <v>53</v>
      </c>
      <c r="B226" s="1">
        <v>46239</v>
      </c>
      <c r="C226" t="s">
        <v>26</v>
      </c>
      <c r="D226" t="s">
        <v>27</v>
      </c>
      <c r="E226" t="s">
        <v>16</v>
      </c>
      <c r="F226" t="s">
        <v>28</v>
      </c>
      <c r="G226" t="s">
        <v>54</v>
      </c>
      <c r="H226">
        <v>2</v>
      </c>
      <c r="I226" s="12">
        <v>180</v>
      </c>
      <c r="J226" s="12">
        <v>110</v>
      </c>
      <c r="K226">
        <v>6</v>
      </c>
      <c r="L226">
        <v>3</v>
      </c>
      <c r="M226">
        <v>350</v>
      </c>
      <c r="N226" s="12">
        <f>+gemini_code_1787702791259[[#This Row],[Cantidad]]*gemini_code_1787702791259[[#This Row],[Precio_Unitario_USD]]</f>
        <v>360</v>
      </c>
      <c r="O226" s="12">
        <f>+gemini_code_1787702791259[[#This Row],[Cantidad]]*gemini_code_1787702791259[[#This Row],[Costo_Unitario_USD]]</f>
        <v>220</v>
      </c>
      <c r="P226" s="12">
        <f>+gemini_code_1787702791259[[#This Row],[venta total]]-gemini_code_1787702791259[[#This Row],[Costo total]]</f>
        <v>140</v>
      </c>
      <c r="Q226" s="2">
        <f>gemini_code_1787702791259[[#This Row],[Ganancia bruta]]/gemini_code_1787702791259[[#This Row],[venta total]]</f>
        <v>0.3888888888888889</v>
      </c>
      <c r="R226" t="str">
        <f>IF(gemini_code_1787702791259[[#This Row],[Dias_Entrega]]&lt;=gemini_code_1787702791259[[#This Row],[Promesa_SLA_Dias]],"A tiempo","Fuera de SLA")</f>
        <v>Fuera de SLA</v>
      </c>
    </row>
    <row r="227" spans="1:18" x14ac:dyDescent="0.25">
      <c r="A227" t="s">
        <v>55</v>
      </c>
      <c r="B227" s="1">
        <v>46240</v>
      </c>
      <c r="C227" t="s">
        <v>14</v>
      </c>
      <c r="D227" t="s">
        <v>15</v>
      </c>
      <c r="E227" t="s">
        <v>22</v>
      </c>
      <c r="F227" t="s">
        <v>31</v>
      </c>
      <c r="G227" t="s">
        <v>56</v>
      </c>
      <c r="H227">
        <v>6</v>
      </c>
      <c r="I227" s="12">
        <v>85</v>
      </c>
      <c r="J227" s="12">
        <v>45</v>
      </c>
      <c r="K227">
        <v>1</v>
      </c>
      <c r="L227">
        <v>2</v>
      </c>
      <c r="M227">
        <v>500</v>
      </c>
      <c r="N227" s="12">
        <f>+gemini_code_1787702791259[[#This Row],[Cantidad]]*gemini_code_1787702791259[[#This Row],[Precio_Unitario_USD]]</f>
        <v>510</v>
      </c>
      <c r="O227" s="12">
        <f>+gemini_code_1787702791259[[#This Row],[Cantidad]]*gemini_code_1787702791259[[#This Row],[Costo_Unitario_USD]]</f>
        <v>270</v>
      </c>
      <c r="P227" s="12">
        <f>+gemini_code_1787702791259[[#This Row],[venta total]]-gemini_code_1787702791259[[#This Row],[Costo total]]</f>
        <v>240</v>
      </c>
      <c r="Q227" s="2">
        <f>gemini_code_1787702791259[[#This Row],[Ganancia bruta]]/gemini_code_1787702791259[[#This Row],[venta total]]</f>
        <v>0.47058823529411764</v>
      </c>
      <c r="R227" t="str">
        <f>IF(gemini_code_1787702791259[[#This Row],[Dias_Entrega]]&lt;=gemini_code_1787702791259[[#This Row],[Promesa_SLA_Dias]],"A tiempo","Fuera de SLA")</f>
        <v>A tiempo</v>
      </c>
    </row>
    <row r="228" spans="1:18" x14ac:dyDescent="0.25">
      <c r="A228" t="s">
        <v>57</v>
      </c>
      <c r="B228" s="1">
        <v>46240</v>
      </c>
      <c r="C228" t="s">
        <v>20</v>
      </c>
      <c r="D228" t="s">
        <v>21</v>
      </c>
      <c r="E228" t="s">
        <v>16</v>
      </c>
      <c r="F228" t="s">
        <v>17</v>
      </c>
      <c r="G228" t="s">
        <v>58</v>
      </c>
      <c r="H228">
        <v>12</v>
      </c>
      <c r="I228" s="12">
        <v>75</v>
      </c>
      <c r="J228" s="12">
        <v>35</v>
      </c>
      <c r="K228">
        <v>1</v>
      </c>
      <c r="L228">
        <v>2</v>
      </c>
      <c r="M228">
        <v>800</v>
      </c>
      <c r="N228" s="12">
        <f>+gemini_code_1787702791259[[#This Row],[Cantidad]]*gemini_code_1787702791259[[#This Row],[Precio_Unitario_USD]]</f>
        <v>900</v>
      </c>
      <c r="O228" s="12">
        <f>+gemini_code_1787702791259[[#This Row],[Cantidad]]*gemini_code_1787702791259[[#This Row],[Costo_Unitario_USD]]</f>
        <v>420</v>
      </c>
      <c r="P228" s="12">
        <f>+gemini_code_1787702791259[[#This Row],[venta total]]-gemini_code_1787702791259[[#This Row],[Costo total]]</f>
        <v>480</v>
      </c>
      <c r="Q228" s="2">
        <f>gemini_code_1787702791259[[#This Row],[Ganancia bruta]]/gemini_code_1787702791259[[#This Row],[venta total]]</f>
        <v>0.53333333333333333</v>
      </c>
      <c r="R228" t="str">
        <f>IF(gemini_code_1787702791259[[#This Row],[Dias_Entrega]]&lt;=gemini_code_1787702791259[[#This Row],[Promesa_SLA_Dias]],"A tiempo","Fuera de SLA")</f>
        <v>A tiempo</v>
      </c>
    </row>
    <row r="229" spans="1:18" x14ac:dyDescent="0.25">
      <c r="A229" t="s">
        <v>59</v>
      </c>
      <c r="B229" s="1">
        <v>46240</v>
      </c>
      <c r="C229" t="s">
        <v>26</v>
      </c>
      <c r="D229" t="s">
        <v>27</v>
      </c>
      <c r="E229" t="s">
        <v>22</v>
      </c>
      <c r="F229" t="s">
        <v>23</v>
      </c>
      <c r="G229" t="s">
        <v>60</v>
      </c>
      <c r="H229">
        <v>4</v>
      </c>
      <c r="I229" s="12">
        <v>110</v>
      </c>
      <c r="J229" s="12">
        <v>55</v>
      </c>
      <c r="K229">
        <v>5</v>
      </c>
      <c r="L229">
        <v>3</v>
      </c>
      <c r="M229">
        <v>400</v>
      </c>
      <c r="N229" s="12">
        <f>+gemini_code_1787702791259[[#This Row],[Cantidad]]*gemini_code_1787702791259[[#This Row],[Precio_Unitario_USD]]</f>
        <v>440</v>
      </c>
      <c r="O229" s="12">
        <f>+gemini_code_1787702791259[[#This Row],[Cantidad]]*gemini_code_1787702791259[[#This Row],[Costo_Unitario_USD]]</f>
        <v>220</v>
      </c>
      <c r="P229" s="12">
        <f>+gemini_code_1787702791259[[#This Row],[venta total]]-gemini_code_1787702791259[[#This Row],[Costo total]]</f>
        <v>220</v>
      </c>
      <c r="Q229" s="2">
        <f>gemini_code_1787702791259[[#This Row],[Ganancia bruta]]/gemini_code_1787702791259[[#This Row],[venta total]]</f>
        <v>0.5</v>
      </c>
      <c r="R229" t="str">
        <f>IF(gemini_code_1787702791259[[#This Row],[Dias_Entrega]]&lt;=gemini_code_1787702791259[[#This Row],[Promesa_SLA_Dias]],"A tiempo","Fuera de SLA")</f>
        <v>Fuera de SLA</v>
      </c>
    </row>
    <row r="230" spans="1:18" x14ac:dyDescent="0.25">
      <c r="A230" t="s">
        <v>61</v>
      </c>
      <c r="B230" s="1">
        <v>46241</v>
      </c>
      <c r="C230" t="s">
        <v>14</v>
      </c>
      <c r="D230" t="s">
        <v>15</v>
      </c>
      <c r="E230" t="s">
        <v>16</v>
      </c>
      <c r="F230" t="s">
        <v>28</v>
      </c>
      <c r="G230" t="s">
        <v>62</v>
      </c>
      <c r="H230">
        <v>15</v>
      </c>
      <c r="I230" s="12">
        <v>25</v>
      </c>
      <c r="J230" s="12">
        <v>10</v>
      </c>
      <c r="K230">
        <v>2</v>
      </c>
      <c r="L230">
        <v>3</v>
      </c>
      <c r="M230">
        <v>300</v>
      </c>
      <c r="N230" s="12">
        <f>+gemini_code_1787702791259[[#This Row],[Cantidad]]*gemini_code_1787702791259[[#This Row],[Precio_Unitario_USD]]</f>
        <v>375</v>
      </c>
      <c r="O230" s="12">
        <f>+gemini_code_1787702791259[[#This Row],[Cantidad]]*gemini_code_1787702791259[[#This Row],[Costo_Unitario_USD]]</f>
        <v>150</v>
      </c>
      <c r="P230" s="12">
        <f>+gemini_code_1787702791259[[#This Row],[venta total]]-gemini_code_1787702791259[[#This Row],[Costo total]]</f>
        <v>225</v>
      </c>
      <c r="Q230" s="2">
        <f>gemini_code_1787702791259[[#This Row],[Ganancia bruta]]/gemini_code_1787702791259[[#This Row],[venta total]]</f>
        <v>0.6</v>
      </c>
      <c r="R230" t="str">
        <f>IF(gemini_code_1787702791259[[#This Row],[Dias_Entrega]]&lt;=gemini_code_1787702791259[[#This Row],[Promesa_SLA_Dias]],"A tiempo","Fuera de SLA")</f>
        <v>A tiempo</v>
      </c>
    </row>
    <row r="231" spans="1:18" x14ac:dyDescent="0.25">
      <c r="A231" t="s">
        <v>63</v>
      </c>
      <c r="B231" s="1">
        <v>46241</v>
      </c>
      <c r="C231" t="s">
        <v>20</v>
      </c>
      <c r="D231" t="s">
        <v>21</v>
      </c>
      <c r="E231" t="s">
        <v>22</v>
      </c>
      <c r="F231" t="s">
        <v>31</v>
      </c>
      <c r="G231" t="s">
        <v>64</v>
      </c>
      <c r="H231">
        <v>5</v>
      </c>
      <c r="I231" s="12">
        <v>130</v>
      </c>
      <c r="J231" s="12">
        <v>70</v>
      </c>
      <c r="K231">
        <v>3</v>
      </c>
      <c r="L231">
        <v>3</v>
      </c>
      <c r="M231">
        <v>600</v>
      </c>
      <c r="N231" s="12">
        <f>+gemini_code_1787702791259[[#This Row],[Cantidad]]*gemini_code_1787702791259[[#This Row],[Precio_Unitario_USD]]</f>
        <v>650</v>
      </c>
      <c r="O231" s="12">
        <f>+gemini_code_1787702791259[[#This Row],[Cantidad]]*gemini_code_1787702791259[[#This Row],[Costo_Unitario_USD]]</f>
        <v>350</v>
      </c>
      <c r="P231" s="12">
        <f>+gemini_code_1787702791259[[#This Row],[venta total]]-gemini_code_1787702791259[[#This Row],[Costo total]]</f>
        <v>300</v>
      </c>
      <c r="Q231" s="2">
        <f>gemini_code_1787702791259[[#This Row],[Ganancia bruta]]/gemini_code_1787702791259[[#This Row],[venta total]]</f>
        <v>0.46153846153846156</v>
      </c>
      <c r="R231" t="str">
        <f>IF(gemini_code_1787702791259[[#This Row],[Dias_Entrega]]&lt;=gemini_code_1787702791259[[#This Row],[Promesa_SLA_Dias]],"A tiempo","Fuera de SLA")</f>
        <v>A tiempo</v>
      </c>
    </row>
    <row r="232" spans="1:18" x14ac:dyDescent="0.25">
      <c r="A232" t="s">
        <v>65</v>
      </c>
      <c r="B232" s="1">
        <v>46241</v>
      </c>
      <c r="C232" t="s">
        <v>26</v>
      </c>
      <c r="D232" t="s">
        <v>27</v>
      </c>
      <c r="E232" t="s">
        <v>16</v>
      </c>
      <c r="F232" t="s">
        <v>17</v>
      </c>
      <c r="G232" t="s">
        <v>66</v>
      </c>
      <c r="H232">
        <v>2</v>
      </c>
      <c r="I232" s="12">
        <v>500</v>
      </c>
      <c r="J232" s="12">
        <v>380</v>
      </c>
      <c r="K232">
        <v>6</v>
      </c>
      <c r="L232">
        <v>4</v>
      </c>
      <c r="M232">
        <v>900</v>
      </c>
      <c r="N232" s="12">
        <f>+gemini_code_1787702791259[[#This Row],[Cantidad]]*gemini_code_1787702791259[[#This Row],[Precio_Unitario_USD]]</f>
        <v>1000</v>
      </c>
      <c r="O232" s="12">
        <f>+gemini_code_1787702791259[[#This Row],[Cantidad]]*gemini_code_1787702791259[[#This Row],[Costo_Unitario_USD]]</f>
        <v>760</v>
      </c>
      <c r="P232" s="12">
        <f>+gemini_code_1787702791259[[#This Row],[venta total]]-gemini_code_1787702791259[[#This Row],[Costo total]]</f>
        <v>240</v>
      </c>
      <c r="Q232" s="2">
        <f>gemini_code_1787702791259[[#This Row],[Ganancia bruta]]/gemini_code_1787702791259[[#This Row],[venta total]]</f>
        <v>0.24</v>
      </c>
      <c r="R232" t="str">
        <f>IF(gemini_code_1787702791259[[#This Row],[Dias_Entrega]]&lt;=gemini_code_1787702791259[[#This Row],[Promesa_SLA_Dias]],"A tiempo","Fuera de SLA")</f>
        <v>Fuera de SLA</v>
      </c>
    </row>
    <row r="233" spans="1:18" x14ac:dyDescent="0.25">
      <c r="A233" t="s">
        <v>67</v>
      </c>
      <c r="B233" s="1">
        <v>46242</v>
      </c>
      <c r="C233" t="s">
        <v>14</v>
      </c>
      <c r="D233" t="s">
        <v>15</v>
      </c>
      <c r="E233" t="s">
        <v>16</v>
      </c>
      <c r="F233" t="s">
        <v>23</v>
      </c>
      <c r="G233" t="s">
        <v>68</v>
      </c>
      <c r="H233">
        <v>3</v>
      </c>
      <c r="I233" s="12">
        <v>95</v>
      </c>
      <c r="J233" s="12">
        <v>45</v>
      </c>
      <c r="K233">
        <v>2</v>
      </c>
      <c r="L233">
        <v>3</v>
      </c>
      <c r="M233">
        <v>300</v>
      </c>
      <c r="N233" s="12">
        <f>+gemini_code_1787702791259[[#This Row],[Cantidad]]*gemini_code_1787702791259[[#This Row],[Precio_Unitario_USD]]</f>
        <v>285</v>
      </c>
      <c r="O233" s="12">
        <f>+gemini_code_1787702791259[[#This Row],[Cantidad]]*gemini_code_1787702791259[[#This Row],[Costo_Unitario_USD]]</f>
        <v>135</v>
      </c>
      <c r="P233" s="12">
        <f>+gemini_code_1787702791259[[#This Row],[venta total]]-gemini_code_1787702791259[[#This Row],[Costo total]]</f>
        <v>150</v>
      </c>
      <c r="Q233" s="2">
        <f>gemini_code_1787702791259[[#This Row],[Ganancia bruta]]/gemini_code_1787702791259[[#This Row],[venta total]]</f>
        <v>0.52631578947368418</v>
      </c>
      <c r="R233" t="str">
        <f>IF(gemini_code_1787702791259[[#This Row],[Dias_Entrega]]&lt;=gemini_code_1787702791259[[#This Row],[Promesa_SLA_Dias]],"A tiempo","Fuera de SLA")</f>
        <v>A tiempo</v>
      </c>
    </row>
    <row r="234" spans="1:18" x14ac:dyDescent="0.25">
      <c r="A234" t="s">
        <v>69</v>
      </c>
      <c r="B234" s="1">
        <v>46242</v>
      </c>
      <c r="C234" t="s">
        <v>20</v>
      </c>
      <c r="D234" t="s">
        <v>21</v>
      </c>
      <c r="E234" t="s">
        <v>16</v>
      </c>
      <c r="F234" t="s">
        <v>28</v>
      </c>
      <c r="G234" t="s">
        <v>70</v>
      </c>
      <c r="H234">
        <v>4</v>
      </c>
      <c r="I234" s="12">
        <v>160</v>
      </c>
      <c r="J234" s="12">
        <v>95</v>
      </c>
      <c r="K234">
        <v>2</v>
      </c>
      <c r="L234">
        <v>3</v>
      </c>
      <c r="M234">
        <v>600</v>
      </c>
      <c r="N234" s="12">
        <f>+gemini_code_1787702791259[[#This Row],[Cantidad]]*gemini_code_1787702791259[[#This Row],[Precio_Unitario_USD]]</f>
        <v>640</v>
      </c>
      <c r="O234" s="12">
        <f>+gemini_code_1787702791259[[#This Row],[Cantidad]]*gemini_code_1787702791259[[#This Row],[Costo_Unitario_USD]]</f>
        <v>380</v>
      </c>
      <c r="P234" s="12">
        <f>+gemini_code_1787702791259[[#This Row],[venta total]]-gemini_code_1787702791259[[#This Row],[Costo total]]</f>
        <v>260</v>
      </c>
      <c r="Q234" s="2">
        <f>gemini_code_1787702791259[[#This Row],[Ganancia bruta]]/gemini_code_1787702791259[[#This Row],[venta total]]</f>
        <v>0.40625</v>
      </c>
      <c r="R234" t="str">
        <f>IF(gemini_code_1787702791259[[#This Row],[Dias_Entrega]]&lt;=gemini_code_1787702791259[[#This Row],[Promesa_SLA_Dias]],"A tiempo","Fuera de SLA")</f>
        <v>A tiempo</v>
      </c>
    </row>
    <row r="235" spans="1:18" x14ac:dyDescent="0.25">
      <c r="A235" t="s">
        <v>71</v>
      </c>
      <c r="B235" s="1">
        <v>46242</v>
      </c>
      <c r="C235" t="s">
        <v>26</v>
      </c>
      <c r="D235" t="s">
        <v>27</v>
      </c>
      <c r="E235" t="s">
        <v>22</v>
      </c>
      <c r="F235" t="s">
        <v>31</v>
      </c>
      <c r="G235" t="s">
        <v>72</v>
      </c>
      <c r="H235">
        <v>7</v>
      </c>
      <c r="I235" s="12">
        <v>90</v>
      </c>
      <c r="J235" s="12">
        <v>45</v>
      </c>
      <c r="K235">
        <v>4</v>
      </c>
      <c r="L235">
        <v>3</v>
      </c>
      <c r="M235">
        <v>600</v>
      </c>
      <c r="N235" s="12">
        <f>+gemini_code_1787702791259[[#This Row],[Cantidad]]*gemini_code_1787702791259[[#This Row],[Precio_Unitario_USD]]</f>
        <v>630</v>
      </c>
      <c r="O235" s="12">
        <f>+gemini_code_1787702791259[[#This Row],[Cantidad]]*gemini_code_1787702791259[[#This Row],[Costo_Unitario_USD]]</f>
        <v>315</v>
      </c>
      <c r="P235" s="12">
        <f>+gemini_code_1787702791259[[#This Row],[venta total]]-gemini_code_1787702791259[[#This Row],[Costo total]]</f>
        <v>315</v>
      </c>
      <c r="Q235" s="2">
        <f>gemini_code_1787702791259[[#This Row],[Ganancia bruta]]/gemini_code_1787702791259[[#This Row],[venta total]]</f>
        <v>0.5</v>
      </c>
      <c r="R235" t="str">
        <f>IF(gemini_code_1787702791259[[#This Row],[Dias_Entrega]]&lt;=gemini_code_1787702791259[[#This Row],[Promesa_SLA_Dias]],"A tiempo","Fuera de SLA")</f>
        <v>Fuera de SLA</v>
      </c>
    </row>
    <row r="236" spans="1:18" x14ac:dyDescent="0.25">
      <c r="A236" t="s">
        <v>73</v>
      </c>
      <c r="B236" s="1">
        <v>46243</v>
      </c>
      <c r="C236" t="s">
        <v>14</v>
      </c>
      <c r="D236" t="s">
        <v>15</v>
      </c>
      <c r="E236" t="s">
        <v>22</v>
      </c>
      <c r="F236" t="s">
        <v>17</v>
      </c>
      <c r="G236" t="s">
        <v>74</v>
      </c>
      <c r="H236">
        <v>3</v>
      </c>
      <c r="I236" s="12">
        <v>310</v>
      </c>
      <c r="J236" s="12">
        <v>210</v>
      </c>
      <c r="K236">
        <v>2</v>
      </c>
      <c r="L236">
        <v>3</v>
      </c>
      <c r="M236">
        <v>900</v>
      </c>
      <c r="N236" s="12">
        <f>+gemini_code_1787702791259[[#This Row],[Cantidad]]*gemini_code_1787702791259[[#This Row],[Precio_Unitario_USD]]</f>
        <v>930</v>
      </c>
      <c r="O236" s="12">
        <f>+gemini_code_1787702791259[[#This Row],[Cantidad]]*gemini_code_1787702791259[[#This Row],[Costo_Unitario_USD]]</f>
        <v>630</v>
      </c>
      <c r="P236" s="12">
        <f>+gemini_code_1787702791259[[#This Row],[venta total]]-gemini_code_1787702791259[[#This Row],[Costo total]]</f>
        <v>300</v>
      </c>
      <c r="Q236" s="2">
        <f>gemini_code_1787702791259[[#This Row],[Ganancia bruta]]/gemini_code_1787702791259[[#This Row],[venta total]]</f>
        <v>0.32258064516129031</v>
      </c>
      <c r="R236" t="str">
        <f>IF(gemini_code_1787702791259[[#This Row],[Dias_Entrega]]&lt;=gemini_code_1787702791259[[#This Row],[Promesa_SLA_Dias]],"A tiempo","Fuera de SLA")</f>
        <v>A tiempo</v>
      </c>
    </row>
    <row r="237" spans="1:18" x14ac:dyDescent="0.25">
      <c r="A237" t="s">
        <v>75</v>
      </c>
      <c r="B237" s="1">
        <v>46243</v>
      </c>
      <c r="C237" t="s">
        <v>20</v>
      </c>
      <c r="D237" t="s">
        <v>21</v>
      </c>
      <c r="E237" t="s">
        <v>16</v>
      </c>
      <c r="F237" t="s">
        <v>23</v>
      </c>
      <c r="G237" t="s">
        <v>76</v>
      </c>
      <c r="H237">
        <v>8</v>
      </c>
      <c r="I237" s="12">
        <v>50</v>
      </c>
      <c r="J237" s="12">
        <v>22</v>
      </c>
      <c r="K237">
        <v>2</v>
      </c>
      <c r="L237">
        <v>3</v>
      </c>
      <c r="M237">
        <v>400</v>
      </c>
      <c r="N237" s="12">
        <f>+gemini_code_1787702791259[[#This Row],[Cantidad]]*gemini_code_1787702791259[[#This Row],[Precio_Unitario_USD]]</f>
        <v>400</v>
      </c>
      <c r="O237" s="12">
        <f>+gemini_code_1787702791259[[#This Row],[Cantidad]]*gemini_code_1787702791259[[#This Row],[Costo_Unitario_USD]]</f>
        <v>176</v>
      </c>
      <c r="P237" s="12">
        <f>+gemini_code_1787702791259[[#This Row],[venta total]]-gemini_code_1787702791259[[#This Row],[Costo total]]</f>
        <v>224</v>
      </c>
      <c r="Q237" s="2">
        <f>gemini_code_1787702791259[[#This Row],[Ganancia bruta]]/gemini_code_1787702791259[[#This Row],[venta total]]</f>
        <v>0.56000000000000005</v>
      </c>
      <c r="R237" t="str">
        <f>IF(gemini_code_1787702791259[[#This Row],[Dias_Entrega]]&lt;=gemini_code_1787702791259[[#This Row],[Promesa_SLA_Dias]],"A tiempo","Fuera de SLA")</f>
        <v>A tiempo</v>
      </c>
    </row>
    <row r="238" spans="1:18" x14ac:dyDescent="0.25">
      <c r="A238" t="s">
        <v>77</v>
      </c>
      <c r="B238" s="1">
        <v>46243</v>
      </c>
      <c r="C238" t="s">
        <v>26</v>
      </c>
      <c r="D238" t="s">
        <v>27</v>
      </c>
      <c r="E238" t="s">
        <v>16</v>
      </c>
      <c r="F238" t="s">
        <v>28</v>
      </c>
      <c r="G238" t="s">
        <v>78</v>
      </c>
      <c r="H238">
        <v>1</v>
      </c>
      <c r="I238" s="12">
        <v>750</v>
      </c>
      <c r="J238" s="12">
        <v>480</v>
      </c>
      <c r="K238">
        <v>8</v>
      </c>
      <c r="L238">
        <v>4</v>
      </c>
      <c r="M238">
        <v>700</v>
      </c>
      <c r="N238" s="12">
        <f>+gemini_code_1787702791259[[#This Row],[Cantidad]]*gemini_code_1787702791259[[#This Row],[Precio_Unitario_USD]]</f>
        <v>750</v>
      </c>
      <c r="O238" s="12">
        <f>+gemini_code_1787702791259[[#This Row],[Cantidad]]*gemini_code_1787702791259[[#This Row],[Costo_Unitario_USD]]</f>
        <v>480</v>
      </c>
      <c r="P238" s="12">
        <f>+gemini_code_1787702791259[[#This Row],[venta total]]-gemini_code_1787702791259[[#This Row],[Costo total]]</f>
        <v>270</v>
      </c>
      <c r="Q238" s="2">
        <f>gemini_code_1787702791259[[#This Row],[Ganancia bruta]]/gemini_code_1787702791259[[#This Row],[venta total]]</f>
        <v>0.36</v>
      </c>
      <c r="R238" t="str">
        <f>IF(gemini_code_1787702791259[[#This Row],[Dias_Entrega]]&lt;=gemini_code_1787702791259[[#This Row],[Promesa_SLA_Dias]],"A tiempo","Fuera de SLA")</f>
        <v>Fuera de SLA</v>
      </c>
    </row>
    <row r="239" spans="1:18" x14ac:dyDescent="0.25">
      <c r="A239" t="s">
        <v>79</v>
      </c>
      <c r="B239" s="1">
        <v>46244</v>
      </c>
      <c r="C239" t="s">
        <v>14</v>
      </c>
      <c r="D239" t="s">
        <v>15</v>
      </c>
      <c r="E239" t="s">
        <v>16</v>
      </c>
      <c r="F239" t="s">
        <v>31</v>
      </c>
      <c r="G239" t="s">
        <v>80</v>
      </c>
      <c r="H239">
        <v>4</v>
      </c>
      <c r="I239" s="12">
        <v>140</v>
      </c>
      <c r="J239" s="12">
        <v>75</v>
      </c>
      <c r="K239">
        <v>3</v>
      </c>
      <c r="L239">
        <v>3</v>
      </c>
      <c r="M239">
        <v>500</v>
      </c>
      <c r="N239" s="12">
        <f>+gemini_code_1787702791259[[#This Row],[Cantidad]]*gemini_code_1787702791259[[#This Row],[Precio_Unitario_USD]]</f>
        <v>560</v>
      </c>
      <c r="O239" s="12">
        <f>+gemini_code_1787702791259[[#This Row],[Cantidad]]*gemini_code_1787702791259[[#This Row],[Costo_Unitario_USD]]</f>
        <v>300</v>
      </c>
      <c r="P239" s="12">
        <f>+gemini_code_1787702791259[[#This Row],[venta total]]-gemini_code_1787702791259[[#This Row],[Costo total]]</f>
        <v>260</v>
      </c>
      <c r="Q239" s="2">
        <f>gemini_code_1787702791259[[#This Row],[Ganancia bruta]]/gemini_code_1787702791259[[#This Row],[venta total]]</f>
        <v>0.4642857142857143</v>
      </c>
      <c r="R239" t="str">
        <f>IF(gemini_code_1787702791259[[#This Row],[Dias_Entrega]]&lt;=gemini_code_1787702791259[[#This Row],[Promesa_SLA_Dias]],"A tiempo","Fuera de SLA")</f>
        <v>A tiempo</v>
      </c>
    </row>
    <row r="240" spans="1:18" x14ac:dyDescent="0.25">
      <c r="A240" t="s">
        <v>81</v>
      </c>
      <c r="B240" s="1">
        <v>46244</v>
      </c>
      <c r="C240" t="s">
        <v>20</v>
      </c>
      <c r="D240" t="s">
        <v>21</v>
      </c>
      <c r="E240" t="s">
        <v>22</v>
      </c>
      <c r="F240" t="s">
        <v>17</v>
      </c>
      <c r="G240" t="s">
        <v>82</v>
      </c>
      <c r="H240">
        <v>6</v>
      </c>
      <c r="I240" s="12">
        <v>90</v>
      </c>
      <c r="J240" s="12">
        <v>50</v>
      </c>
      <c r="K240">
        <v>1</v>
      </c>
      <c r="L240">
        <v>2</v>
      </c>
      <c r="M240">
        <v>500</v>
      </c>
      <c r="N240" s="12">
        <f>+gemini_code_1787702791259[[#This Row],[Cantidad]]*gemini_code_1787702791259[[#This Row],[Precio_Unitario_USD]]</f>
        <v>540</v>
      </c>
      <c r="O240" s="12">
        <f>+gemini_code_1787702791259[[#This Row],[Cantidad]]*gemini_code_1787702791259[[#This Row],[Costo_Unitario_USD]]</f>
        <v>300</v>
      </c>
      <c r="P240" s="12">
        <f>+gemini_code_1787702791259[[#This Row],[venta total]]-gemini_code_1787702791259[[#This Row],[Costo total]]</f>
        <v>240</v>
      </c>
      <c r="Q240" s="2">
        <f>gemini_code_1787702791259[[#This Row],[Ganancia bruta]]/gemini_code_1787702791259[[#This Row],[venta total]]</f>
        <v>0.44444444444444442</v>
      </c>
      <c r="R240" t="str">
        <f>IF(gemini_code_1787702791259[[#This Row],[Dias_Entrega]]&lt;=gemini_code_1787702791259[[#This Row],[Promesa_SLA_Dias]],"A tiempo","Fuera de SLA")</f>
        <v>A tiempo</v>
      </c>
    </row>
    <row r="241" spans="1:18" x14ac:dyDescent="0.25">
      <c r="A241" t="s">
        <v>83</v>
      </c>
      <c r="B241" s="1">
        <v>46244</v>
      </c>
      <c r="C241" t="s">
        <v>26</v>
      </c>
      <c r="D241" t="s">
        <v>27</v>
      </c>
      <c r="E241" t="s">
        <v>16</v>
      </c>
      <c r="F241" t="s">
        <v>23</v>
      </c>
      <c r="G241" t="s">
        <v>84</v>
      </c>
      <c r="H241">
        <v>6</v>
      </c>
      <c r="I241" s="12">
        <v>60</v>
      </c>
      <c r="J241" s="12">
        <v>28</v>
      </c>
      <c r="K241">
        <v>5</v>
      </c>
      <c r="L241">
        <v>3</v>
      </c>
      <c r="M241">
        <v>350</v>
      </c>
      <c r="N241" s="12">
        <f>+gemini_code_1787702791259[[#This Row],[Cantidad]]*gemini_code_1787702791259[[#This Row],[Precio_Unitario_USD]]</f>
        <v>360</v>
      </c>
      <c r="O241" s="12">
        <f>+gemini_code_1787702791259[[#This Row],[Cantidad]]*gemini_code_1787702791259[[#This Row],[Costo_Unitario_USD]]</f>
        <v>168</v>
      </c>
      <c r="P241" s="12">
        <f>+gemini_code_1787702791259[[#This Row],[venta total]]-gemini_code_1787702791259[[#This Row],[Costo total]]</f>
        <v>192</v>
      </c>
      <c r="Q241" s="2">
        <f>gemini_code_1787702791259[[#This Row],[Ganancia bruta]]/gemini_code_1787702791259[[#This Row],[venta total]]</f>
        <v>0.53333333333333333</v>
      </c>
      <c r="R241" t="str">
        <f>IF(gemini_code_1787702791259[[#This Row],[Dias_Entrega]]&lt;=gemini_code_1787702791259[[#This Row],[Promesa_SLA_Dias]],"A tiempo","Fuera de SLA")</f>
        <v>Fuera de SLA</v>
      </c>
    </row>
    <row r="242" spans="1:18" x14ac:dyDescent="0.25">
      <c r="A242" t="s">
        <v>13</v>
      </c>
      <c r="B242" s="1">
        <v>46235</v>
      </c>
      <c r="C242" t="s">
        <v>14</v>
      </c>
      <c r="D242" t="s">
        <v>15</v>
      </c>
      <c r="E242" t="s">
        <v>16</v>
      </c>
      <c r="F242" t="s">
        <v>17</v>
      </c>
      <c r="G242" t="s">
        <v>18</v>
      </c>
      <c r="H242">
        <v>2</v>
      </c>
      <c r="I242" s="12">
        <v>850</v>
      </c>
      <c r="J242" s="12">
        <v>600</v>
      </c>
      <c r="K242">
        <v>2</v>
      </c>
      <c r="L242">
        <v>3</v>
      </c>
      <c r="M242">
        <v>1500</v>
      </c>
      <c r="N242" s="12">
        <f>+gemini_code_1787702791259[[#This Row],[Cantidad]]*gemini_code_1787702791259[[#This Row],[Precio_Unitario_USD]]</f>
        <v>1700</v>
      </c>
      <c r="O242" s="12">
        <f>+gemini_code_1787702791259[[#This Row],[Cantidad]]*gemini_code_1787702791259[[#This Row],[Costo_Unitario_USD]]</f>
        <v>1200</v>
      </c>
      <c r="P242" s="12">
        <f>+gemini_code_1787702791259[[#This Row],[venta total]]-gemini_code_1787702791259[[#This Row],[Costo total]]</f>
        <v>500</v>
      </c>
      <c r="Q242" s="2">
        <f>gemini_code_1787702791259[[#This Row],[Ganancia bruta]]/gemini_code_1787702791259[[#This Row],[venta total]]</f>
        <v>0.29411764705882354</v>
      </c>
      <c r="R242" t="str">
        <f>IF(gemini_code_1787702791259[[#This Row],[Dias_Entrega]]&lt;=gemini_code_1787702791259[[#This Row],[Promesa_SLA_Dias]],"A tiempo","Fuera de SLA")</f>
        <v>A tiempo</v>
      </c>
    </row>
    <row r="243" spans="1:18" x14ac:dyDescent="0.25">
      <c r="A243" t="s">
        <v>19</v>
      </c>
      <c r="B243" s="1">
        <v>46235</v>
      </c>
      <c r="C243" t="s">
        <v>20</v>
      </c>
      <c r="D243" t="s">
        <v>21</v>
      </c>
      <c r="E243" t="s">
        <v>22</v>
      </c>
      <c r="F243" t="s">
        <v>23</v>
      </c>
      <c r="G243" t="s">
        <v>24</v>
      </c>
      <c r="H243">
        <v>5</v>
      </c>
      <c r="I243" s="12">
        <v>120</v>
      </c>
      <c r="J243" s="12">
        <v>70</v>
      </c>
      <c r="K243">
        <v>3</v>
      </c>
      <c r="L243">
        <v>3</v>
      </c>
      <c r="M243">
        <v>500</v>
      </c>
      <c r="N243" s="12">
        <f>+gemini_code_1787702791259[[#This Row],[Cantidad]]*gemini_code_1787702791259[[#This Row],[Precio_Unitario_USD]]</f>
        <v>600</v>
      </c>
      <c r="O243" s="12">
        <f>+gemini_code_1787702791259[[#This Row],[Cantidad]]*gemini_code_1787702791259[[#This Row],[Costo_Unitario_USD]]</f>
        <v>350</v>
      </c>
      <c r="P243" s="12">
        <f>+gemini_code_1787702791259[[#This Row],[venta total]]-gemini_code_1787702791259[[#This Row],[Costo total]]</f>
        <v>250</v>
      </c>
      <c r="Q243" s="2">
        <f>gemini_code_1787702791259[[#This Row],[Ganancia bruta]]/gemini_code_1787702791259[[#This Row],[venta total]]</f>
        <v>0.41666666666666669</v>
      </c>
      <c r="R243" t="str">
        <f>IF(gemini_code_1787702791259[[#This Row],[Dias_Entrega]]&lt;=gemini_code_1787702791259[[#This Row],[Promesa_SLA_Dias]],"A tiempo","Fuera de SLA")</f>
        <v>A tiempo</v>
      </c>
    </row>
    <row r="244" spans="1:18" x14ac:dyDescent="0.25">
      <c r="A244" t="s">
        <v>25</v>
      </c>
      <c r="B244" s="1">
        <v>46235</v>
      </c>
      <c r="C244" t="s">
        <v>26</v>
      </c>
      <c r="D244" t="s">
        <v>27</v>
      </c>
      <c r="E244" t="s">
        <v>16</v>
      </c>
      <c r="F244" t="s">
        <v>28</v>
      </c>
      <c r="G244" t="s">
        <v>29</v>
      </c>
      <c r="H244">
        <v>3</v>
      </c>
      <c r="I244" s="12">
        <v>90</v>
      </c>
      <c r="J244" s="12">
        <v>50</v>
      </c>
      <c r="K244">
        <v>6</v>
      </c>
      <c r="L244">
        <v>4</v>
      </c>
      <c r="M244">
        <v>300</v>
      </c>
      <c r="N244" s="12">
        <f>+gemini_code_1787702791259[[#This Row],[Cantidad]]*gemini_code_1787702791259[[#This Row],[Precio_Unitario_USD]]</f>
        <v>270</v>
      </c>
      <c r="O244" s="12">
        <f>+gemini_code_1787702791259[[#This Row],[Cantidad]]*gemini_code_1787702791259[[#This Row],[Costo_Unitario_USD]]</f>
        <v>150</v>
      </c>
      <c r="P244" s="12">
        <f>+gemini_code_1787702791259[[#This Row],[venta total]]-gemini_code_1787702791259[[#This Row],[Costo total]]</f>
        <v>120</v>
      </c>
      <c r="Q244" s="2">
        <f>gemini_code_1787702791259[[#This Row],[Ganancia bruta]]/gemini_code_1787702791259[[#This Row],[venta total]]</f>
        <v>0.44444444444444442</v>
      </c>
      <c r="R244" t="str">
        <f>IF(gemini_code_1787702791259[[#This Row],[Dias_Entrega]]&lt;=gemini_code_1787702791259[[#This Row],[Promesa_SLA_Dias]],"A tiempo","Fuera de SLA")</f>
        <v>Fuera de SLA</v>
      </c>
    </row>
    <row r="245" spans="1:18" x14ac:dyDescent="0.25">
      <c r="A245" t="s">
        <v>30</v>
      </c>
      <c r="B245" s="1">
        <v>46236</v>
      </c>
      <c r="C245" t="s">
        <v>14</v>
      </c>
      <c r="D245" t="s">
        <v>15</v>
      </c>
      <c r="E245" t="s">
        <v>22</v>
      </c>
      <c r="F245" t="s">
        <v>31</v>
      </c>
      <c r="G245" t="s">
        <v>32</v>
      </c>
      <c r="H245">
        <v>4</v>
      </c>
      <c r="I245" s="12">
        <v>110</v>
      </c>
      <c r="J245" s="12">
        <v>60</v>
      </c>
      <c r="K245">
        <v>1</v>
      </c>
      <c r="L245">
        <v>2</v>
      </c>
      <c r="M245">
        <v>400</v>
      </c>
      <c r="N245" s="12">
        <f>+gemini_code_1787702791259[[#This Row],[Cantidad]]*gemini_code_1787702791259[[#This Row],[Precio_Unitario_USD]]</f>
        <v>440</v>
      </c>
      <c r="O245" s="12">
        <f>+gemini_code_1787702791259[[#This Row],[Cantidad]]*gemini_code_1787702791259[[#This Row],[Costo_Unitario_USD]]</f>
        <v>240</v>
      </c>
      <c r="P245" s="12">
        <f>+gemini_code_1787702791259[[#This Row],[venta total]]-gemini_code_1787702791259[[#This Row],[Costo total]]</f>
        <v>200</v>
      </c>
      <c r="Q245" s="2">
        <f>gemini_code_1787702791259[[#This Row],[Ganancia bruta]]/gemini_code_1787702791259[[#This Row],[venta total]]</f>
        <v>0.45454545454545453</v>
      </c>
      <c r="R245" t="str">
        <f>IF(gemini_code_1787702791259[[#This Row],[Dias_Entrega]]&lt;=gemini_code_1787702791259[[#This Row],[Promesa_SLA_Dias]],"A tiempo","Fuera de SLA")</f>
        <v>A tiempo</v>
      </c>
    </row>
    <row r="246" spans="1:18" x14ac:dyDescent="0.25">
      <c r="A246" t="s">
        <v>33</v>
      </c>
      <c r="B246" s="1">
        <v>46236</v>
      </c>
      <c r="C246" t="s">
        <v>20</v>
      </c>
      <c r="D246" t="s">
        <v>21</v>
      </c>
      <c r="E246" t="s">
        <v>16</v>
      </c>
      <c r="F246" t="s">
        <v>17</v>
      </c>
      <c r="G246" t="s">
        <v>34</v>
      </c>
      <c r="H246">
        <v>3</v>
      </c>
      <c r="I246" s="12">
        <v>650</v>
      </c>
      <c r="J246" s="12">
        <v>450</v>
      </c>
      <c r="K246">
        <v>2</v>
      </c>
      <c r="L246">
        <v>3</v>
      </c>
      <c r="M246">
        <v>1800</v>
      </c>
      <c r="N246" s="12">
        <f>+gemini_code_1787702791259[[#This Row],[Cantidad]]*gemini_code_1787702791259[[#This Row],[Precio_Unitario_USD]]</f>
        <v>1950</v>
      </c>
      <c r="O246" s="12">
        <f>+gemini_code_1787702791259[[#This Row],[Cantidad]]*gemini_code_1787702791259[[#This Row],[Costo_Unitario_USD]]</f>
        <v>1350</v>
      </c>
      <c r="P246" s="12">
        <f>+gemini_code_1787702791259[[#This Row],[venta total]]-gemini_code_1787702791259[[#This Row],[Costo total]]</f>
        <v>600</v>
      </c>
      <c r="Q246" s="2">
        <f>gemini_code_1787702791259[[#This Row],[Ganancia bruta]]/gemini_code_1787702791259[[#This Row],[venta total]]</f>
        <v>0.30769230769230771</v>
      </c>
      <c r="R246" t="str">
        <f>IF(gemini_code_1787702791259[[#This Row],[Dias_Entrega]]&lt;=gemini_code_1787702791259[[#This Row],[Promesa_SLA_Dias]],"A tiempo","Fuera de SLA")</f>
        <v>A tiempo</v>
      </c>
    </row>
    <row r="247" spans="1:18" x14ac:dyDescent="0.25">
      <c r="A247" t="s">
        <v>35</v>
      </c>
      <c r="B247" s="1">
        <v>46236</v>
      </c>
      <c r="C247" t="s">
        <v>26</v>
      </c>
      <c r="D247" t="s">
        <v>27</v>
      </c>
      <c r="E247" t="s">
        <v>16</v>
      </c>
      <c r="F247" t="s">
        <v>23</v>
      </c>
      <c r="G247" t="s">
        <v>36</v>
      </c>
      <c r="H247">
        <v>8</v>
      </c>
      <c r="I247" s="12">
        <v>45</v>
      </c>
      <c r="J247" s="12">
        <v>20</v>
      </c>
      <c r="K247">
        <v>5</v>
      </c>
      <c r="L247">
        <v>3</v>
      </c>
      <c r="M247">
        <v>400</v>
      </c>
      <c r="N247" s="12">
        <f>+gemini_code_1787702791259[[#This Row],[Cantidad]]*gemini_code_1787702791259[[#This Row],[Precio_Unitario_USD]]</f>
        <v>360</v>
      </c>
      <c r="O247" s="12">
        <f>+gemini_code_1787702791259[[#This Row],[Cantidad]]*gemini_code_1787702791259[[#This Row],[Costo_Unitario_USD]]</f>
        <v>160</v>
      </c>
      <c r="P247" s="12">
        <f>+gemini_code_1787702791259[[#This Row],[venta total]]-gemini_code_1787702791259[[#This Row],[Costo total]]</f>
        <v>200</v>
      </c>
      <c r="Q247" s="2">
        <f>gemini_code_1787702791259[[#This Row],[Ganancia bruta]]/gemini_code_1787702791259[[#This Row],[venta total]]</f>
        <v>0.55555555555555558</v>
      </c>
      <c r="R247" t="str">
        <f>IF(gemini_code_1787702791259[[#This Row],[Dias_Entrega]]&lt;=gemini_code_1787702791259[[#This Row],[Promesa_SLA_Dias]],"A tiempo","Fuera de SLA")</f>
        <v>Fuera de SLA</v>
      </c>
    </row>
    <row r="248" spans="1:18" x14ac:dyDescent="0.25">
      <c r="A248" t="s">
        <v>37</v>
      </c>
      <c r="B248" s="1">
        <v>46237</v>
      </c>
      <c r="C248" t="s">
        <v>14</v>
      </c>
      <c r="D248" t="s">
        <v>15</v>
      </c>
      <c r="E248" t="s">
        <v>16</v>
      </c>
      <c r="F248" t="s">
        <v>28</v>
      </c>
      <c r="G248" t="s">
        <v>38</v>
      </c>
      <c r="H248">
        <v>2</v>
      </c>
      <c r="I248" s="12">
        <v>280</v>
      </c>
      <c r="J248" s="12">
        <v>180</v>
      </c>
      <c r="K248">
        <v>3</v>
      </c>
      <c r="L248">
        <v>3</v>
      </c>
      <c r="M248">
        <v>500</v>
      </c>
      <c r="N248" s="12">
        <f>+gemini_code_1787702791259[[#This Row],[Cantidad]]*gemini_code_1787702791259[[#This Row],[Precio_Unitario_USD]]</f>
        <v>560</v>
      </c>
      <c r="O248" s="12">
        <f>+gemini_code_1787702791259[[#This Row],[Cantidad]]*gemini_code_1787702791259[[#This Row],[Costo_Unitario_USD]]</f>
        <v>360</v>
      </c>
      <c r="P248" s="12">
        <f>+gemini_code_1787702791259[[#This Row],[venta total]]-gemini_code_1787702791259[[#This Row],[Costo total]]</f>
        <v>200</v>
      </c>
      <c r="Q248" s="2">
        <f>gemini_code_1787702791259[[#This Row],[Ganancia bruta]]/gemini_code_1787702791259[[#This Row],[venta total]]</f>
        <v>0.35714285714285715</v>
      </c>
      <c r="R248" t="str">
        <f>IF(gemini_code_1787702791259[[#This Row],[Dias_Entrega]]&lt;=gemini_code_1787702791259[[#This Row],[Promesa_SLA_Dias]],"A tiempo","Fuera de SLA")</f>
        <v>A tiempo</v>
      </c>
    </row>
    <row r="249" spans="1:18" x14ac:dyDescent="0.25">
      <c r="A249" t="s">
        <v>39</v>
      </c>
      <c r="B249" s="1">
        <v>46237</v>
      </c>
      <c r="C249" t="s">
        <v>20</v>
      </c>
      <c r="D249" t="s">
        <v>21</v>
      </c>
      <c r="E249" t="s">
        <v>22</v>
      </c>
      <c r="F249" t="s">
        <v>31</v>
      </c>
      <c r="G249" t="s">
        <v>40</v>
      </c>
      <c r="H249">
        <v>3</v>
      </c>
      <c r="I249" s="12">
        <v>150</v>
      </c>
      <c r="J249" s="12">
        <v>85</v>
      </c>
      <c r="K249">
        <v>2</v>
      </c>
      <c r="L249">
        <v>2</v>
      </c>
      <c r="M249">
        <v>400</v>
      </c>
      <c r="N249" s="12">
        <f>+gemini_code_1787702791259[[#This Row],[Cantidad]]*gemini_code_1787702791259[[#This Row],[Precio_Unitario_USD]]</f>
        <v>450</v>
      </c>
      <c r="O249" s="12">
        <f>+gemini_code_1787702791259[[#This Row],[Cantidad]]*gemini_code_1787702791259[[#This Row],[Costo_Unitario_USD]]</f>
        <v>255</v>
      </c>
      <c r="P249" s="12">
        <f>+gemini_code_1787702791259[[#This Row],[venta total]]-gemini_code_1787702791259[[#This Row],[Costo total]]</f>
        <v>195</v>
      </c>
      <c r="Q249" s="2">
        <f>gemini_code_1787702791259[[#This Row],[Ganancia bruta]]/gemini_code_1787702791259[[#This Row],[venta total]]</f>
        <v>0.43333333333333335</v>
      </c>
      <c r="R249" t="str">
        <f>IF(gemini_code_1787702791259[[#This Row],[Dias_Entrega]]&lt;=gemini_code_1787702791259[[#This Row],[Promesa_SLA_Dias]],"A tiempo","Fuera de SLA")</f>
        <v>A tiempo</v>
      </c>
    </row>
    <row r="250" spans="1:18" x14ac:dyDescent="0.25">
      <c r="A250" t="s">
        <v>41</v>
      </c>
      <c r="B250" s="1">
        <v>46237</v>
      </c>
      <c r="C250" t="s">
        <v>26</v>
      </c>
      <c r="D250" t="s">
        <v>27</v>
      </c>
      <c r="E250" t="s">
        <v>16</v>
      </c>
      <c r="F250" t="s">
        <v>17</v>
      </c>
      <c r="G250" t="s">
        <v>42</v>
      </c>
      <c r="H250">
        <v>2</v>
      </c>
      <c r="I250" s="12">
        <v>520</v>
      </c>
      <c r="J250" s="12">
        <v>380</v>
      </c>
      <c r="K250">
        <v>7</v>
      </c>
      <c r="L250">
        <v>4</v>
      </c>
      <c r="M250">
        <v>1000</v>
      </c>
      <c r="N250" s="12">
        <f>+gemini_code_1787702791259[[#This Row],[Cantidad]]*gemini_code_1787702791259[[#This Row],[Precio_Unitario_USD]]</f>
        <v>1040</v>
      </c>
      <c r="O250" s="12">
        <f>+gemini_code_1787702791259[[#This Row],[Cantidad]]*gemini_code_1787702791259[[#This Row],[Costo_Unitario_USD]]</f>
        <v>760</v>
      </c>
      <c r="P250" s="12">
        <f>+gemini_code_1787702791259[[#This Row],[venta total]]-gemini_code_1787702791259[[#This Row],[Costo total]]</f>
        <v>280</v>
      </c>
      <c r="Q250" s="2">
        <f>gemini_code_1787702791259[[#This Row],[Ganancia bruta]]/gemini_code_1787702791259[[#This Row],[venta total]]</f>
        <v>0.26923076923076922</v>
      </c>
      <c r="R250" t="str">
        <f>IF(gemini_code_1787702791259[[#This Row],[Dias_Entrega]]&lt;=gemini_code_1787702791259[[#This Row],[Promesa_SLA_Dias]],"A tiempo","Fuera de SLA")</f>
        <v>Fuera de SLA</v>
      </c>
    </row>
    <row r="251" spans="1:18" x14ac:dyDescent="0.25">
      <c r="A251" t="s">
        <v>43</v>
      </c>
      <c r="B251" s="1">
        <v>46238</v>
      </c>
      <c r="C251" t="s">
        <v>14</v>
      </c>
      <c r="D251" t="s">
        <v>15</v>
      </c>
      <c r="E251" t="s">
        <v>22</v>
      </c>
      <c r="F251" t="s">
        <v>23</v>
      </c>
      <c r="G251" t="s">
        <v>44</v>
      </c>
      <c r="H251">
        <v>6</v>
      </c>
      <c r="I251" s="12">
        <v>55</v>
      </c>
      <c r="J251" s="12">
        <v>25</v>
      </c>
      <c r="K251">
        <v>2</v>
      </c>
      <c r="L251">
        <v>3</v>
      </c>
      <c r="M251">
        <v>300</v>
      </c>
      <c r="N251" s="12">
        <f>+gemini_code_1787702791259[[#This Row],[Cantidad]]*gemini_code_1787702791259[[#This Row],[Precio_Unitario_USD]]</f>
        <v>330</v>
      </c>
      <c r="O251" s="12">
        <f>+gemini_code_1787702791259[[#This Row],[Cantidad]]*gemini_code_1787702791259[[#This Row],[Costo_Unitario_USD]]</f>
        <v>150</v>
      </c>
      <c r="P251" s="12">
        <f>+gemini_code_1787702791259[[#This Row],[venta total]]-gemini_code_1787702791259[[#This Row],[Costo total]]</f>
        <v>180</v>
      </c>
      <c r="Q251" s="2">
        <f>gemini_code_1787702791259[[#This Row],[Ganancia bruta]]/gemini_code_1787702791259[[#This Row],[venta total]]</f>
        <v>0.54545454545454541</v>
      </c>
      <c r="R251" t="str">
        <f>IF(gemini_code_1787702791259[[#This Row],[Dias_Entrega]]&lt;=gemini_code_1787702791259[[#This Row],[Promesa_SLA_Dias]],"A tiempo","Fuera de SLA")</f>
        <v>A tiempo</v>
      </c>
    </row>
    <row r="252" spans="1:18" x14ac:dyDescent="0.25">
      <c r="A252" t="s">
        <v>45</v>
      </c>
      <c r="B252" s="1">
        <v>46238</v>
      </c>
      <c r="C252" t="s">
        <v>20</v>
      </c>
      <c r="D252" t="s">
        <v>21</v>
      </c>
      <c r="E252" t="s">
        <v>16</v>
      </c>
      <c r="F252" t="s">
        <v>28</v>
      </c>
      <c r="G252" t="s">
        <v>46</v>
      </c>
      <c r="H252">
        <v>1</v>
      </c>
      <c r="I252" s="12">
        <v>450</v>
      </c>
      <c r="J252" s="12">
        <v>290</v>
      </c>
      <c r="K252">
        <v>4</v>
      </c>
      <c r="L252">
        <v>3</v>
      </c>
      <c r="M252">
        <v>400</v>
      </c>
      <c r="N252" s="12">
        <f>+gemini_code_1787702791259[[#This Row],[Cantidad]]*gemini_code_1787702791259[[#This Row],[Precio_Unitario_USD]]</f>
        <v>450</v>
      </c>
      <c r="O252" s="12">
        <f>+gemini_code_1787702791259[[#This Row],[Cantidad]]*gemini_code_1787702791259[[#This Row],[Costo_Unitario_USD]]</f>
        <v>290</v>
      </c>
      <c r="P252" s="12">
        <f>+gemini_code_1787702791259[[#This Row],[venta total]]-gemini_code_1787702791259[[#This Row],[Costo total]]</f>
        <v>160</v>
      </c>
      <c r="Q252" s="2">
        <f>gemini_code_1787702791259[[#This Row],[Ganancia bruta]]/gemini_code_1787702791259[[#This Row],[venta total]]</f>
        <v>0.35555555555555557</v>
      </c>
      <c r="R252" t="str">
        <f>IF(gemini_code_1787702791259[[#This Row],[Dias_Entrega]]&lt;=gemini_code_1787702791259[[#This Row],[Promesa_SLA_Dias]],"A tiempo","Fuera de SLA")</f>
        <v>Fuera de SLA</v>
      </c>
    </row>
    <row r="253" spans="1:18" x14ac:dyDescent="0.25">
      <c r="A253" t="s">
        <v>47</v>
      </c>
      <c r="B253" s="1">
        <v>46238</v>
      </c>
      <c r="C253" t="s">
        <v>26</v>
      </c>
      <c r="D253" t="s">
        <v>27</v>
      </c>
      <c r="E253" t="s">
        <v>22</v>
      </c>
      <c r="F253" t="s">
        <v>31</v>
      </c>
      <c r="G253" t="s">
        <v>48</v>
      </c>
      <c r="H253">
        <v>10</v>
      </c>
      <c r="I253" s="12">
        <v>35</v>
      </c>
      <c r="J253" s="12">
        <v>15</v>
      </c>
      <c r="K253">
        <v>4</v>
      </c>
      <c r="L253">
        <v>3</v>
      </c>
      <c r="M253">
        <v>300</v>
      </c>
      <c r="N253" s="12">
        <f>+gemini_code_1787702791259[[#This Row],[Cantidad]]*gemini_code_1787702791259[[#This Row],[Precio_Unitario_USD]]</f>
        <v>350</v>
      </c>
      <c r="O253" s="12">
        <f>+gemini_code_1787702791259[[#This Row],[Cantidad]]*gemini_code_1787702791259[[#This Row],[Costo_Unitario_USD]]</f>
        <v>150</v>
      </c>
      <c r="P253" s="12">
        <f>+gemini_code_1787702791259[[#This Row],[venta total]]-gemini_code_1787702791259[[#This Row],[Costo total]]</f>
        <v>200</v>
      </c>
      <c r="Q253" s="2">
        <f>gemini_code_1787702791259[[#This Row],[Ganancia bruta]]/gemini_code_1787702791259[[#This Row],[venta total]]</f>
        <v>0.5714285714285714</v>
      </c>
      <c r="R253" t="str">
        <f>IF(gemini_code_1787702791259[[#This Row],[Dias_Entrega]]&lt;=gemini_code_1787702791259[[#This Row],[Promesa_SLA_Dias]],"A tiempo","Fuera de SLA")</f>
        <v>Fuera de SLA</v>
      </c>
    </row>
    <row r="254" spans="1:18" x14ac:dyDescent="0.25">
      <c r="A254" t="s">
        <v>49</v>
      </c>
      <c r="B254" s="1">
        <v>46239</v>
      </c>
      <c r="C254" t="s">
        <v>14</v>
      </c>
      <c r="D254" t="s">
        <v>15</v>
      </c>
      <c r="E254" t="s">
        <v>16</v>
      </c>
      <c r="F254" t="s">
        <v>17</v>
      </c>
      <c r="G254" t="s">
        <v>50</v>
      </c>
      <c r="H254">
        <v>4</v>
      </c>
      <c r="I254" s="12">
        <v>220</v>
      </c>
      <c r="J254" s="12">
        <v>140</v>
      </c>
      <c r="K254">
        <v>2</v>
      </c>
      <c r="L254">
        <v>3</v>
      </c>
      <c r="M254">
        <v>800</v>
      </c>
      <c r="N254" s="12">
        <f>+gemini_code_1787702791259[[#This Row],[Cantidad]]*gemini_code_1787702791259[[#This Row],[Precio_Unitario_USD]]</f>
        <v>880</v>
      </c>
      <c r="O254" s="12">
        <f>+gemini_code_1787702791259[[#This Row],[Cantidad]]*gemini_code_1787702791259[[#This Row],[Costo_Unitario_USD]]</f>
        <v>560</v>
      </c>
      <c r="P254" s="12">
        <f>+gemini_code_1787702791259[[#This Row],[venta total]]-gemini_code_1787702791259[[#This Row],[Costo total]]</f>
        <v>320</v>
      </c>
      <c r="Q254" s="2">
        <f>gemini_code_1787702791259[[#This Row],[Ganancia bruta]]/gemini_code_1787702791259[[#This Row],[venta total]]</f>
        <v>0.36363636363636365</v>
      </c>
      <c r="R254" t="str">
        <f>IF(gemini_code_1787702791259[[#This Row],[Dias_Entrega]]&lt;=gemini_code_1787702791259[[#This Row],[Promesa_SLA_Dias]],"A tiempo","Fuera de SLA")</f>
        <v>A tiempo</v>
      </c>
    </row>
    <row r="255" spans="1:18" x14ac:dyDescent="0.25">
      <c r="A255" t="s">
        <v>51</v>
      </c>
      <c r="B255" s="1">
        <v>46239</v>
      </c>
      <c r="C255" t="s">
        <v>20</v>
      </c>
      <c r="D255" t="s">
        <v>21</v>
      </c>
      <c r="E255" t="s">
        <v>16</v>
      </c>
      <c r="F255" t="s">
        <v>23</v>
      </c>
      <c r="G255" t="s">
        <v>52</v>
      </c>
      <c r="H255">
        <v>5</v>
      </c>
      <c r="I255" s="12">
        <v>65</v>
      </c>
      <c r="J255" s="12">
        <v>30</v>
      </c>
      <c r="K255">
        <v>2</v>
      </c>
      <c r="L255">
        <v>3</v>
      </c>
      <c r="M255">
        <v>300</v>
      </c>
      <c r="N255" s="12">
        <f>+gemini_code_1787702791259[[#This Row],[Cantidad]]*gemini_code_1787702791259[[#This Row],[Precio_Unitario_USD]]</f>
        <v>325</v>
      </c>
      <c r="O255" s="12">
        <f>+gemini_code_1787702791259[[#This Row],[Cantidad]]*gemini_code_1787702791259[[#This Row],[Costo_Unitario_USD]]</f>
        <v>150</v>
      </c>
      <c r="P255" s="12">
        <f>+gemini_code_1787702791259[[#This Row],[venta total]]-gemini_code_1787702791259[[#This Row],[Costo total]]</f>
        <v>175</v>
      </c>
      <c r="Q255" s="2">
        <f>gemini_code_1787702791259[[#This Row],[Ganancia bruta]]/gemini_code_1787702791259[[#This Row],[venta total]]</f>
        <v>0.53846153846153844</v>
      </c>
      <c r="R255" t="str">
        <f>IF(gemini_code_1787702791259[[#This Row],[Dias_Entrega]]&lt;=gemini_code_1787702791259[[#This Row],[Promesa_SLA_Dias]],"A tiempo","Fuera de SLA")</f>
        <v>A tiempo</v>
      </c>
    </row>
    <row r="256" spans="1:18" x14ac:dyDescent="0.25">
      <c r="A256" t="s">
        <v>53</v>
      </c>
      <c r="B256" s="1">
        <v>46239</v>
      </c>
      <c r="C256" t="s">
        <v>26</v>
      </c>
      <c r="D256" t="s">
        <v>27</v>
      </c>
      <c r="E256" t="s">
        <v>16</v>
      </c>
      <c r="F256" t="s">
        <v>28</v>
      </c>
      <c r="G256" t="s">
        <v>54</v>
      </c>
      <c r="H256">
        <v>2</v>
      </c>
      <c r="I256" s="12">
        <v>180</v>
      </c>
      <c r="J256" s="12">
        <v>110</v>
      </c>
      <c r="K256">
        <v>6</v>
      </c>
      <c r="L256">
        <v>3</v>
      </c>
      <c r="M256">
        <v>350</v>
      </c>
      <c r="N256" s="12">
        <f>+gemini_code_1787702791259[[#This Row],[Cantidad]]*gemini_code_1787702791259[[#This Row],[Precio_Unitario_USD]]</f>
        <v>360</v>
      </c>
      <c r="O256" s="12">
        <f>+gemini_code_1787702791259[[#This Row],[Cantidad]]*gemini_code_1787702791259[[#This Row],[Costo_Unitario_USD]]</f>
        <v>220</v>
      </c>
      <c r="P256" s="12">
        <f>+gemini_code_1787702791259[[#This Row],[venta total]]-gemini_code_1787702791259[[#This Row],[Costo total]]</f>
        <v>140</v>
      </c>
      <c r="Q256" s="2">
        <f>gemini_code_1787702791259[[#This Row],[Ganancia bruta]]/gemini_code_1787702791259[[#This Row],[venta total]]</f>
        <v>0.3888888888888889</v>
      </c>
      <c r="R256" t="str">
        <f>IF(gemini_code_1787702791259[[#This Row],[Dias_Entrega]]&lt;=gemini_code_1787702791259[[#This Row],[Promesa_SLA_Dias]],"A tiempo","Fuera de SLA")</f>
        <v>Fuera de SLA</v>
      </c>
    </row>
    <row r="257" spans="1:18" x14ac:dyDescent="0.25">
      <c r="A257" t="s">
        <v>55</v>
      </c>
      <c r="B257" s="1">
        <v>46240</v>
      </c>
      <c r="C257" t="s">
        <v>14</v>
      </c>
      <c r="D257" t="s">
        <v>15</v>
      </c>
      <c r="E257" t="s">
        <v>22</v>
      </c>
      <c r="F257" t="s">
        <v>31</v>
      </c>
      <c r="G257" t="s">
        <v>56</v>
      </c>
      <c r="H257">
        <v>6</v>
      </c>
      <c r="I257" s="12">
        <v>85</v>
      </c>
      <c r="J257" s="12">
        <v>45</v>
      </c>
      <c r="K257">
        <v>1</v>
      </c>
      <c r="L257">
        <v>2</v>
      </c>
      <c r="M257">
        <v>500</v>
      </c>
      <c r="N257" s="12">
        <f>+gemini_code_1787702791259[[#This Row],[Cantidad]]*gemini_code_1787702791259[[#This Row],[Precio_Unitario_USD]]</f>
        <v>510</v>
      </c>
      <c r="O257" s="12">
        <f>+gemini_code_1787702791259[[#This Row],[Cantidad]]*gemini_code_1787702791259[[#This Row],[Costo_Unitario_USD]]</f>
        <v>270</v>
      </c>
      <c r="P257" s="12">
        <f>+gemini_code_1787702791259[[#This Row],[venta total]]-gemini_code_1787702791259[[#This Row],[Costo total]]</f>
        <v>240</v>
      </c>
      <c r="Q257" s="2">
        <f>gemini_code_1787702791259[[#This Row],[Ganancia bruta]]/gemini_code_1787702791259[[#This Row],[venta total]]</f>
        <v>0.47058823529411764</v>
      </c>
      <c r="R257" t="str">
        <f>IF(gemini_code_1787702791259[[#This Row],[Dias_Entrega]]&lt;=gemini_code_1787702791259[[#This Row],[Promesa_SLA_Dias]],"A tiempo","Fuera de SLA")</f>
        <v>A tiempo</v>
      </c>
    </row>
    <row r="258" spans="1:18" x14ac:dyDescent="0.25">
      <c r="A258" t="s">
        <v>57</v>
      </c>
      <c r="B258" s="1">
        <v>46240</v>
      </c>
      <c r="C258" t="s">
        <v>20</v>
      </c>
      <c r="D258" t="s">
        <v>21</v>
      </c>
      <c r="E258" t="s">
        <v>16</v>
      </c>
      <c r="F258" t="s">
        <v>17</v>
      </c>
      <c r="G258" t="s">
        <v>58</v>
      </c>
      <c r="H258">
        <v>12</v>
      </c>
      <c r="I258" s="12">
        <v>75</v>
      </c>
      <c r="J258" s="12">
        <v>35</v>
      </c>
      <c r="K258">
        <v>1</v>
      </c>
      <c r="L258">
        <v>2</v>
      </c>
      <c r="M258">
        <v>800</v>
      </c>
      <c r="N258" s="12">
        <f>+gemini_code_1787702791259[[#This Row],[Cantidad]]*gemini_code_1787702791259[[#This Row],[Precio_Unitario_USD]]</f>
        <v>900</v>
      </c>
      <c r="O258" s="12">
        <f>+gemini_code_1787702791259[[#This Row],[Cantidad]]*gemini_code_1787702791259[[#This Row],[Costo_Unitario_USD]]</f>
        <v>420</v>
      </c>
      <c r="P258" s="12">
        <f>+gemini_code_1787702791259[[#This Row],[venta total]]-gemini_code_1787702791259[[#This Row],[Costo total]]</f>
        <v>480</v>
      </c>
      <c r="Q258" s="2">
        <f>gemini_code_1787702791259[[#This Row],[Ganancia bruta]]/gemini_code_1787702791259[[#This Row],[venta total]]</f>
        <v>0.53333333333333333</v>
      </c>
      <c r="R258" t="str">
        <f>IF(gemini_code_1787702791259[[#This Row],[Dias_Entrega]]&lt;=gemini_code_1787702791259[[#This Row],[Promesa_SLA_Dias]],"A tiempo","Fuera de SLA")</f>
        <v>A tiempo</v>
      </c>
    </row>
    <row r="259" spans="1:18" x14ac:dyDescent="0.25">
      <c r="A259" t="s">
        <v>59</v>
      </c>
      <c r="B259" s="1">
        <v>46240</v>
      </c>
      <c r="C259" t="s">
        <v>26</v>
      </c>
      <c r="D259" t="s">
        <v>27</v>
      </c>
      <c r="E259" t="s">
        <v>22</v>
      </c>
      <c r="F259" t="s">
        <v>23</v>
      </c>
      <c r="G259" t="s">
        <v>60</v>
      </c>
      <c r="H259">
        <v>4</v>
      </c>
      <c r="I259" s="12">
        <v>110</v>
      </c>
      <c r="J259" s="12">
        <v>55</v>
      </c>
      <c r="K259">
        <v>5</v>
      </c>
      <c r="L259">
        <v>3</v>
      </c>
      <c r="M259">
        <v>400</v>
      </c>
      <c r="N259" s="12">
        <f>+gemini_code_1787702791259[[#This Row],[Cantidad]]*gemini_code_1787702791259[[#This Row],[Precio_Unitario_USD]]</f>
        <v>440</v>
      </c>
      <c r="O259" s="12">
        <f>+gemini_code_1787702791259[[#This Row],[Cantidad]]*gemini_code_1787702791259[[#This Row],[Costo_Unitario_USD]]</f>
        <v>220</v>
      </c>
      <c r="P259" s="12">
        <f>+gemini_code_1787702791259[[#This Row],[venta total]]-gemini_code_1787702791259[[#This Row],[Costo total]]</f>
        <v>220</v>
      </c>
      <c r="Q259" s="2">
        <f>gemini_code_1787702791259[[#This Row],[Ganancia bruta]]/gemini_code_1787702791259[[#This Row],[venta total]]</f>
        <v>0.5</v>
      </c>
      <c r="R259" t="str">
        <f>IF(gemini_code_1787702791259[[#This Row],[Dias_Entrega]]&lt;=gemini_code_1787702791259[[#This Row],[Promesa_SLA_Dias]],"A tiempo","Fuera de SLA")</f>
        <v>Fuera de SLA</v>
      </c>
    </row>
    <row r="260" spans="1:18" x14ac:dyDescent="0.25">
      <c r="A260" t="s">
        <v>61</v>
      </c>
      <c r="B260" s="1">
        <v>46241</v>
      </c>
      <c r="C260" t="s">
        <v>14</v>
      </c>
      <c r="D260" t="s">
        <v>15</v>
      </c>
      <c r="E260" t="s">
        <v>16</v>
      </c>
      <c r="F260" t="s">
        <v>28</v>
      </c>
      <c r="G260" t="s">
        <v>62</v>
      </c>
      <c r="H260">
        <v>15</v>
      </c>
      <c r="I260" s="12">
        <v>25</v>
      </c>
      <c r="J260" s="12">
        <v>10</v>
      </c>
      <c r="K260">
        <v>2</v>
      </c>
      <c r="L260">
        <v>3</v>
      </c>
      <c r="M260">
        <v>300</v>
      </c>
      <c r="N260" s="12">
        <f>+gemini_code_1787702791259[[#This Row],[Cantidad]]*gemini_code_1787702791259[[#This Row],[Precio_Unitario_USD]]</f>
        <v>375</v>
      </c>
      <c r="O260" s="12">
        <f>+gemini_code_1787702791259[[#This Row],[Cantidad]]*gemini_code_1787702791259[[#This Row],[Costo_Unitario_USD]]</f>
        <v>150</v>
      </c>
      <c r="P260" s="12">
        <f>+gemini_code_1787702791259[[#This Row],[venta total]]-gemini_code_1787702791259[[#This Row],[Costo total]]</f>
        <v>225</v>
      </c>
      <c r="Q260" s="2">
        <f>gemini_code_1787702791259[[#This Row],[Ganancia bruta]]/gemini_code_1787702791259[[#This Row],[venta total]]</f>
        <v>0.6</v>
      </c>
      <c r="R260" t="str">
        <f>IF(gemini_code_1787702791259[[#This Row],[Dias_Entrega]]&lt;=gemini_code_1787702791259[[#This Row],[Promesa_SLA_Dias]],"A tiempo","Fuera de SLA")</f>
        <v>A tiempo</v>
      </c>
    </row>
    <row r="261" spans="1:18" x14ac:dyDescent="0.25">
      <c r="A261" t="s">
        <v>63</v>
      </c>
      <c r="B261" s="1">
        <v>46241</v>
      </c>
      <c r="C261" t="s">
        <v>20</v>
      </c>
      <c r="D261" t="s">
        <v>21</v>
      </c>
      <c r="E261" t="s">
        <v>22</v>
      </c>
      <c r="F261" t="s">
        <v>31</v>
      </c>
      <c r="G261" t="s">
        <v>64</v>
      </c>
      <c r="H261">
        <v>5</v>
      </c>
      <c r="I261" s="12">
        <v>130</v>
      </c>
      <c r="J261" s="12">
        <v>70</v>
      </c>
      <c r="K261">
        <v>3</v>
      </c>
      <c r="L261">
        <v>3</v>
      </c>
      <c r="M261">
        <v>600</v>
      </c>
      <c r="N261" s="12">
        <f>+gemini_code_1787702791259[[#This Row],[Cantidad]]*gemini_code_1787702791259[[#This Row],[Precio_Unitario_USD]]</f>
        <v>650</v>
      </c>
      <c r="O261" s="12">
        <f>+gemini_code_1787702791259[[#This Row],[Cantidad]]*gemini_code_1787702791259[[#This Row],[Costo_Unitario_USD]]</f>
        <v>350</v>
      </c>
      <c r="P261" s="12">
        <f>+gemini_code_1787702791259[[#This Row],[venta total]]-gemini_code_1787702791259[[#This Row],[Costo total]]</f>
        <v>300</v>
      </c>
      <c r="Q261" s="2">
        <f>gemini_code_1787702791259[[#This Row],[Ganancia bruta]]/gemini_code_1787702791259[[#This Row],[venta total]]</f>
        <v>0.46153846153846156</v>
      </c>
      <c r="R261" t="str">
        <f>IF(gemini_code_1787702791259[[#This Row],[Dias_Entrega]]&lt;=gemini_code_1787702791259[[#This Row],[Promesa_SLA_Dias]],"A tiempo","Fuera de SLA")</f>
        <v>A tiempo</v>
      </c>
    </row>
    <row r="262" spans="1:18" x14ac:dyDescent="0.25">
      <c r="A262" t="s">
        <v>65</v>
      </c>
      <c r="B262" s="1">
        <v>46241</v>
      </c>
      <c r="C262" t="s">
        <v>26</v>
      </c>
      <c r="D262" t="s">
        <v>27</v>
      </c>
      <c r="E262" t="s">
        <v>16</v>
      </c>
      <c r="F262" t="s">
        <v>17</v>
      </c>
      <c r="G262" t="s">
        <v>66</v>
      </c>
      <c r="H262">
        <v>2</v>
      </c>
      <c r="I262" s="12">
        <v>500</v>
      </c>
      <c r="J262" s="12">
        <v>380</v>
      </c>
      <c r="K262">
        <v>6</v>
      </c>
      <c r="L262">
        <v>4</v>
      </c>
      <c r="M262">
        <v>900</v>
      </c>
      <c r="N262" s="12">
        <f>+gemini_code_1787702791259[[#This Row],[Cantidad]]*gemini_code_1787702791259[[#This Row],[Precio_Unitario_USD]]</f>
        <v>1000</v>
      </c>
      <c r="O262" s="12">
        <f>+gemini_code_1787702791259[[#This Row],[Cantidad]]*gemini_code_1787702791259[[#This Row],[Costo_Unitario_USD]]</f>
        <v>760</v>
      </c>
      <c r="P262" s="12">
        <f>+gemini_code_1787702791259[[#This Row],[venta total]]-gemini_code_1787702791259[[#This Row],[Costo total]]</f>
        <v>240</v>
      </c>
      <c r="Q262" s="2">
        <f>gemini_code_1787702791259[[#This Row],[Ganancia bruta]]/gemini_code_1787702791259[[#This Row],[venta total]]</f>
        <v>0.24</v>
      </c>
      <c r="R262" t="str">
        <f>IF(gemini_code_1787702791259[[#This Row],[Dias_Entrega]]&lt;=gemini_code_1787702791259[[#This Row],[Promesa_SLA_Dias]],"A tiempo","Fuera de SLA")</f>
        <v>Fuera de SLA</v>
      </c>
    </row>
    <row r="263" spans="1:18" x14ac:dyDescent="0.25">
      <c r="A263" t="s">
        <v>67</v>
      </c>
      <c r="B263" s="1">
        <v>46242</v>
      </c>
      <c r="C263" t="s">
        <v>14</v>
      </c>
      <c r="D263" t="s">
        <v>15</v>
      </c>
      <c r="E263" t="s">
        <v>16</v>
      </c>
      <c r="F263" t="s">
        <v>23</v>
      </c>
      <c r="G263" t="s">
        <v>68</v>
      </c>
      <c r="H263">
        <v>3</v>
      </c>
      <c r="I263" s="12">
        <v>95</v>
      </c>
      <c r="J263" s="12">
        <v>45</v>
      </c>
      <c r="K263">
        <v>2</v>
      </c>
      <c r="L263">
        <v>3</v>
      </c>
      <c r="M263">
        <v>300</v>
      </c>
      <c r="N263" s="12">
        <f>+gemini_code_1787702791259[[#This Row],[Cantidad]]*gemini_code_1787702791259[[#This Row],[Precio_Unitario_USD]]</f>
        <v>285</v>
      </c>
      <c r="O263" s="12">
        <f>+gemini_code_1787702791259[[#This Row],[Cantidad]]*gemini_code_1787702791259[[#This Row],[Costo_Unitario_USD]]</f>
        <v>135</v>
      </c>
      <c r="P263" s="12">
        <f>+gemini_code_1787702791259[[#This Row],[venta total]]-gemini_code_1787702791259[[#This Row],[Costo total]]</f>
        <v>150</v>
      </c>
      <c r="Q263" s="2">
        <f>gemini_code_1787702791259[[#This Row],[Ganancia bruta]]/gemini_code_1787702791259[[#This Row],[venta total]]</f>
        <v>0.52631578947368418</v>
      </c>
      <c r="R263" t="str">
        <f>IF(gemini_code_1787702791259[[#This Row],[Dias_Entrega]]&lt;=gemini_code_1787702791259[[#This Row],[Promesa_SLA_Dias]],"A tiempo","Fuera de SLA")</f>
        <v>A tiempo</v>
      </c>
    </row>
    <row r="264" spans="1:18" x14ac:dyDescent="0.25">
      <c r="A264" t="s">
        <v>69</v>
      </c>
      <c r="B264" s="1">
        <v>46242</v>
      </c>
      <c r="C264" t="s">
        <v>20</v>
      </c>
      <c r="D264" t="s">
        <v>21</v>
      </c>
      <c r="E264" t="s">
        <v>16</v>
      </c>
      <c r="F264" t="s">
        <v>28</v>
      </c>
      <c r="G264" t="s">
        <v>70</v>
      </c>
      <c r="H264">
        <v>4</v>
      </c>
      <c r="I264" s="12">
        <v>160</v>
      </c>
      <c r="J264" s="12">
        <v>95</v>
      </c>
      <c r="K264">
        <v>2</v>
      </c>
      <c r="L264">
        <v>3</v>
      </c>
      <c r="M264">
        <v>600</v>
      </c>
      <c r="N264" s="12">
        <f>+gemini_code_1787702791259[[#This Row],[Cantidad]]*gemini_code_1787702791259[[#This Row],[Precio_Unitario_USD]]</f>
        <v>640</v>
      </c>
      <c r="O264" s="12">
        <f>+gemini_code_1787702791259[[#This Row],[Cantidad]]*gemini_code_1787702791259[[#This Row],[Costo_Unitario_USD]]</f>
        <v>380</v>
      </c>
      <c r="P264" s="12">
        <f>+gemini_code_1787702791259[[#This Row],[venta total]]-gemini_code_1787702791259[[#This Row],[Costo total]]</f>
        <v>260</v>
      </c>
      <c r="Q264" s="2">
        <f>gemini_code_1787702791259[[#This Row],[Ganancia bruta]]/gemini_code_1787702791259[[#This Row],[venta total]]</f>
        <v>0.40625</v>
      </c>
      <c r="R264" t="str">
        <f>IF(gemini_code_1787702791259[[#This Row],[Dias_Entrega]]&lt;=gemini_code_1787702791259[[#This Row],[Promesa_SLA_Dias]],"A tiempo","Fuera de SLA")</f>
        <v>A tiempo</v>
      </c>
    </row>
    <row r="265" spans="1:18" x14ac:dyDescent="0.25">
      <c r="A265" t="s">
        <v>71</v>
      </c>
      <c r="B265" s="1">
        <v>46242</v>
      </c>
      <c r="C265" t="s">
        <v>26</v>
      </c>
      <c r="D265" t="s">
        <v>27</v>
      </c>
      <c r="E265" t="s">
        <v>22</v>
      </c>
      <c r="F265" t="s">
        <v>31</v>
      </c>
      <c r="G265" t="s">
        <v>72</v>
      </c>
      <c r="H265">
        <v>7</v>
      </c>
      <c r="I265" s="12">
        <v>90</v>
      </c>
      <c r="J265" s="12">
        <v>45</v>
      </c>
      <c r="K265">
        <v>4</v>
      </c>
      <c r="L265">
        <v>3</v>
      </c>
      <c r="M265">
        <v>600</v>
      </c>
      <c r="N265" s="12">
        <f>+gemini_code_1787702791259[[#This Row],[Cantidad]]*gemini_code_1787702791259[[#This Row],[Precio_Unitario_USD]]</f>
        <v>630</v>
      </c>
      <c r="O265" s="12">
        <f>+gemini_code_1787702791259[[#This Row],[Cantidad]]*gemini_code_1787702791259[[#This Row],[Costo_Unitario_USD]]</f>
        <v>315</v>
      </c>
      <c r="P265" s="12">
        <f>+gemini_code_1787702791259[[#This Row],[venta total]]-gemini_code_1787702791259[[#This Row],[Costo total]]</f>
        <v>315</v>
      </c>
      <c r="Q265" s="2">
        <f>gemini_code_1787702791259[[#This Row],[Ganancia bruta]]/gemini_code_1787702791259[[#This Row],[venta total]]</f>
        <v>0.5</v>
      </c>
      <c r="R265" t="str">
        <f>IF(gemini_code_1787702791259[[#This Row],[Dias_Entrega]]&lt;=gemini_code_1787702791259[[#This Row],[Promesa_SLA_Dias]],"A tiempo","Fuera de SLA")</f>
        <v>Fuera de SLA</v>
      </c>
    </row>
    <row r="266" spans="1:18" x14ac:dyDescent="0.25">
      <c r="A266" t="s">
        <v>73</v>
      </c>
      <c r="B266" s="1">
        <v>46243</v>
      </c>
      <c r="C266" t="s">
        <v>14</v>
      </c>
      <c r="D266" t="s">
        <v>15</v>
      </c>
      <c r="E266" t="s">
        <v>22</v>
      </c>
      <c r="F266" t="s">
        <v>17</v>
      </c>
      <c r="G266" t="s">
        <v>74</v>
      </c>
      <c r="H266">
        <v>3</v>
      </c>
      <c r="I266" s="12">
        <v>310</v>
      </c>
      <c r="J266" s="12">
        <v>210</v>
      </c>
      <c r="K266">
        <v>2</v>
      </c>
      <c r="L266">
        <v>3</v>
      </c>
      <c r="M266">
        <v>900</v>
      </c>
      <c r="N266" s="12">
        <f>+gemini_code_1787702791259[[#This Row],[Cantidad]]*gemini_code_1787702791259[[#This Row],[Precio_Unitario_USD]]</f>
        <v>930</v>
      </c>
      <c r="O266" s="12">
        <f>+gemini_code_1787702791259[[#This Row],[Cantidad]]*gemini_code_1787702791259[[#This Row],[Costo_Unitario_USD]]</f>
        <v>630</v>
      </c>
      <c r="P266" s="12">
        <f>+gemini_code_1787702791259[[#This Row],[venta total]]-gemini_code_1787702791259[[#This Row],[Costo total]]</f>
        <v>300</v>
      </c>
      <c r="Q266" s="2">
        <f>gemini_code_1787702791259[[#This Row],[Ganancia bruta]]/gemini_code_1787702791259[[#This Row],[venta total]]</f>
        <v>0.32258064516129031</v>
      </c>
      <c r="R266" t="str">
        <f>IF(gemini_code_1787702791259[[#This Row],[Dias_Entrega]]&lt;=gemini_code_1787702791259[[#This Row],[Promesa_SLA_Dias]],"A tiempo","Fuera de SLA")</f>
        <v>A tiempo</v>
      </c>
    </row>
    <row r="267" spans="1:18" x14ac:dyDescent="0.25">
      <c r="A267" t="s">
        <v>75</v>
      </c>
      <c r="B267" s="1">
        <v>46243</v>
      </c>
      <c r="C267" t="s">
        <v>20</v>
      </c>
      <c r="D267" t="s">
        <v>21</v>
      </c>
      <c r="E267" t="s">
        <v>16</v>
      </c>
      <c r="F267" t="s">
        <v>23</v>
      </c>
      <c r="G267" t="s">
        <v>76</v>
      </c>
      <c r="H267">
        <v>8</v>
      </c>
      <c r="I267" s="12">
        <v>50</v>
      </c>
      <c r="J267" s="12">
        <v>22</v>
      </c>
      <c r="K267">
        <v>2</v>
      </c>
      <c r="L267">
        <v>3</v>
      </c>
      <c r="M267">
        <v>400</v>
      </c>
      <c r="N267" s="12">
        <f>+gemini_code_1787702791259[[#This Row],[Cantidad]]*gemini_code_1787702791259[[#This Row],[Precio_Unitario_USD]]</f>
        <v>400</v>
      </c>
      <c r="O267" s="12">
        <f>+gemini_code_1787702791259[[#This Row],[Cantidad]]*gemini_code_1787702791259[[#This Row],[Costo_Unitario_USD]]</f>
        <v>176</v>
      </c>
      <c r="P267" s="12">
        <f>+gemini_code_1787702791259[[#This Row],[venta total]]-gemini_code_1787702791259[[#This Row],[Costo total]]</f>
        <v>224</v>
      </c>
      <c r="Q267" s="2">
        <f>gemini_code_1787702791259[[#This Row],[Ganancia bruta]]/gemini_code_1787702791259[[#This Row],[venta total]]</f>
        <v>0.56000000000000005</v>
      </c>
      <c r="R267" t="str">
        <f>IF(gemini_code_1787702791259[[#This Row],[Dias_Entrega]]&lt;=gemini_code_1787702791259[[#This Row],[Promesa_SLA_Dias]],"A tiempo","Fuera de SLA")</f>
        <v>A tiempo</v>
      </c>
    </row>
    <row r="268" spans="1:18" x14ac:dyDescent="0.25">
      <c r="A268" t="s">
        <v>77</v>
      </c>
      <c r="B268" s="1">
        <v>46243</v>
      </c>
      <c r="C268" t="s">
        <v>26</v>
      </c>
      <c r="D268" t="s">
        <v>27</v>
      </c>
      <c r="E268" t="s">
        <v>16</v>
      </c>
      <c r="F268" t="s">
        <v>28</v>
      </c>
      <c r="G268" t="s">
        <v>78</v>
      </c>
      <c r="H268">
        <v>1</v>
      </c>
      <c r="I268" s="12">
        <v>750</v>
      </c>
      <c r="J268" s="12">
        <v>480</v>
      </c>
      <c r="K268">
        <v>8</v>
      </c>
      <c r="L268">
        <v>4</v>
      </c>
      <c r="M268">
        <v>700</v>
      </c>
      <c r="N268" s="12">
        <f>+gemini_code_1787702791259[[#This Row],[Cantidad]]*gemini_code_1787702791259[[#This Row],[Precio_Unitario_USD]]</f>
        <v>750</v>
      </c>
      <c r="O268" s="12">
        <f>+gemini_code_1787702791259[[#This Row],[Cantidad]]*gemini_code_1787702791259[[#This Row],[Costo_Unitario_USD]]</f>
        <v>480</v>
      </c>
      <c r="P268" s="12">
        <f>+gemini_code_1787702791259[[#This Row],[venta total]]-gemini_code_1787702791259[[#This Row],[Costo total]]</f>
        <v>270</v>
      </c>
      <c r="Q268" s="2">
        <f>gemini_code_1787702791259[[#This Row],[Ganancia bruta]]/gemini_code_1787702791259[[#This Row],[venta total]]</f>
        <v>0.36</v>
      </c>
      <c r="R268" t="str">
        <f>IF(gemini_code_1787702791259[[#This Row],[Dias_Entrega]]&lt;=gemini_code_1787702791259[[#This Row],[Promesa_SLA_Dias]],"A tiempo","Fuera de SLA")</f>
        <v>Fuera de SLA</v>
      </c>
    </row>
    <row r="269" spans="1:18" x14ac:dyDescent="0.25">
      <c r="A269" t="s">
        <v>79</v>
      </c>
      <c r="B269" s="1">
        <v>46244</v>
      </c>
      <c r="C269" t="s">
        <v>14</v>
      </c>
      <c r="D269" t="s">
        <v>15</v>
      </c>
      <c r="E269" t="s">
        <v>16</v>
      </c>
      <c r="F269" t="s">
        <v>31</v>
      </c>
      <c r="G269" t="s">
        <v>80</v>
      </c>
      <c r="H269">
        <v>4</v>
      </c>
      <c r="I269" s="12">
        <v>140</v>
      </c>
      <c r="J269" s="12">
        <v>75</v>
      </c>
      <c r="K269">
        <v>3</v>
      </c>
      <c r="L269">
        <v>3</v>
      </c>
      <c r="M269">
        <v>500</v>
      </c>
      <c r="N269" s="12">
        <f>+gemini_code_1787702791259[[#This Row],[Cantidad]]*gemini_code_1787702791259[[#This Row],[Precio_Unitario_USD]]</f>
        <v>560</v>
      </c>
      <c r="O269" s="12">
        <f>+gemini_code_1787702791259[[#This Row],[Cantidad]]*gemini_code_1787702791259[[#This Row],[Costo_Unitario_USD]]</f>
        <v>300</v>
      </c>
      <c r="P269" s="12">
        <f>+gemini_code_1787702791259[[#This Row],[venta total]]-gemini_code_1787702791259[[#This Row],[Costo total]]</f>
        <v>260</v>
      </c>
      <c r="Q269" s="2">
        <f>gemini_code_1787702791259[[#This Row],[Ganancia bruta]]/gemini_code_1787702791259[[#This Row],[venta total]]</f>
        <v>0.4642857142857143</v>
      </c>
      <c r="R269" t="str">
        <f>IF(gemini_code_1787702791259[[#This Row],[Dias_Entrega]]&lt;=gemini_code_1787702791259[[#This Row],[Promesa_SLA_Dias]],"A tiempo","Fuera de SLA")</f>
        <v>A tiempo</v>
      </c>
    </row>
    <row r="270" spans="1:18" x14ac:dyDescent="0.25">
      <c r="A270" t="s">
        <v>81</v>
      </c>
      <c r="B270" s="1">
        <v>46244</v>
      </c>
      <c r="C270" t="s">
        <v>20</v>
      </c>
      <c r="D270" t="s">
        <v>21</v>
      </c>
      <c r="E270" t="s">
        <v>22</v>
      </c>
      <c r="F270" t="s">
        <v>17</v>
      </c>
      <c r="G270" t="s">
        <v>82</v>
      </c>
      <c r="H270">
        <v>6</v>
      </c>
      <c r="I270" s="12">
        <v>90</v>
      </c>
      <c r="J270" s="12">
        <v>50</v>
      </c>
      <c r="K270">
        <v>1</v>
      </c>
      <c r="L270">
        <v>2</v>
      </c>
      <c r="M270">
        <v>500</v>
      </c>
      <c r="N270" s="12">
        <f>+gemini_code_1787702791259[[#This Row],[Cantidad]]*gemini_code_1787702791259[[#This Row],[Precio_Unitario_USD]]</f>
        <v>540</v>
      </c>
      <c r="O270" s="12">
        <f>+gemini_code_1787702791259[[#This Row],[Cantidad]]*gemini_code_1787702791259[[#This Row],[Costo_Unitario_USD]]</f>
        <v>300</v>
      </c>
      <c r="P270" s="12">
        <f>+gemini_code_1787702791259[[#This Row],[venta total]]-gemini_code_1787702791259[[#This Row],[Costo total]]</f>
        <v>240</v>
      </c>
      <c r="Q270" s="2">
        <f>gemini_code_1787702791259[[#This Row],[Ganancia bruta]]/gemini_code_1787702791259[[#This Row],[venta total]]</f>
        <v>0.44444444444444442</v>
      </c>
      <c r="R270" t="str">
        <f>IF(gemini_code_1787702791259[[#This Row],[Dias_Entrega]]&lt;=gemini_code_1787702791259[[#This Row],[Promesa_SLA_Dias]],"A tiempo","Fuera de SLA")</f>
        <v>A tiempo</v>
      </c>
    </row>
    <row r="271" spans="1:18" x14ac:dyDescent="0.25">
      <c r="A271" t="s">
        <v>83</v>
      </c>
      <c r="B271" s="1">
        <v>46244</v>
      </c>
      <c r="C271" t="s">
        <v>26</v>
      </c>
      <c r="D271" t="s">
        <v>27</v>
      </c>
      <c r="E271" t="s">
        <v>16</v>
      </c>
      <c r="F271" t="s">
        <v>23</v>
      </c>
      <c r="G271" t="s">
        <v>84</v>
      </c>
      <c r="H271">
        <v>6</v>
      </c>
      <c r="I271" s="12">
        <v>60</v>
      </c>
      <c r="J271" s="12">
        <v>28</v>
      </c>
      <c r="K271">
        <v>5</v>
      </c>
      <c r="L271">
        <v>3</v>
      </c>
      <c r="M271">
        <v>350</v>
      </c>
      <c r="N271" s="12">
        <f>+gemini_code_1787702791259[[#This Row],[Cantidad]]*gemini_code_1787702791259[[#This Row],[Precio_Unitario_USD]]</f>
        <v>360</v>
      </c>
      <c r="O271" s="12">
        <f>+gemini_code_1787702791259[[#This Row],[Cantidad]]*gemini_code_1787702791259[[#This Row],[Costo_Unitario_USD]]</f>
        <v>168</v>
      </c>
      <c r="P271" s="12">
        <f>+gemini_code_1787702791259[[#This Row],[venta total]]-gemini_code_1787702791259[[#This Row],[Costo total]]</f>
        <v>192</v>
      </c>
      <c r="Q271" s="2">
        <f>gemini_code_1787702791259[[#This Row],[Ganancia bruta]]/gemini_code_1787702791259[[#This Row],[venta total]]</f>
        <v>0.53333333333333333</v>
      </c>
      <c r="R271" t="str">
        <f>IF(gemini_code_1787702791259[[#This Row],[Dias_Entrega]]&lt;=gemini_code_1787702791259[[#This Row],[Promesa_SLA_Dias]],"A tiempo","Fuera de SLA")</f>
        <v>Fuera de SLA</v>
      </c>
    </row>
    <row r="272" spans="1:18" x14ac:dyDescent="0.25">
      <c r="A272" t="s">
        <v>13</v>
      </c>
      <c r="B272" s="1">
        <v>46235</v>
      </c>
      <c r="C272" t="s">
        <v>14</v>
      </c>
      <c r="D272" t="s">
        <v>15</v>
      </c>
      <c r="E272" t="s">
        <v>16</v>
      </c>
      <c r="F272" t="s">
        <v>17</v>
      </c>
      <c r="G272" t="s">
        <v>18</v>
      </c>
      <c r="H272">
        <v>2</v>
      </c>
      <c r="I272" s="12">
        <v>850</v>
      </c>
      <c r="J272" s="12">
        <v>600</v>
      </c>
      <c r="K272">
        <v>2</v>
      </c>
      <c r="L272">
        <v>3</v>
      </c>
      <c r="M272">
        <v>1500</v>
      </c>
      <c r="N272" s="12">
        <f>+gemini_code_1787702791259[[#This Row],[Cantidad]]*gemini_code_1787702791259[[#This Row],[Precio_Unitario_USD]]</f>
        <v>1700</v>
      </c>
      <c r="O272" s="12">
        <f>+gemini_code_1787702791259[[#This Row],[Cantidad]]*gemini_code_1787702791259[[#This Row],[Costo_Unitario_USD]]</f>
        <v>1200</v>
      </c>
      <c r="P272" s="12">
        <f>+gemini_code_1787702791259[[#This Row],[venta total]]-gemini_code_1787702791259[[#This Row],[Costo total]]</f>
        <v>500</v>
      </c>
      <c r="Q272" s="2">
        <f>gemini_code_1787702791259[[#This Row],[Ganancia bruta]]/gemini_code_1787702791259[[#This Row],[venta total]]</f>
        <v>0.29411764705882354</v>
      </c>
      <c r="R272" t="str">
        <f>IF(gemini_code_1787702791259[[#This Row],[Dias_Entrega]]&lt;=gemini_code_1787702791259[[#This Row],[Promesa_SLA_Dias]],"A tiempo","Fuera de SLA")</f>
        <v>A tiempo</v>
      </c>
    </row>
    <row r="273" spans="1:18" x14ac:dyDescent="0.25">
      <c r="A273" t="s">
        <v>19</v>
      </c>
      <c r="B273" s="1">
        <v>46235</v>
      </c>
      <c r="C273" t="s">
        <v>20</v>
      </c>
      <c r="D273" t="s">
        <v>21</v>
      </c>
      <c r="E273" t="s">
        <v>22</v>
      </c>
      <c r="F273" t="s">
        <v>23</v>
      </c>
      <c r="G273" t="s">
        <v>24</v>
      </c>
      <c r="H273">
        <v>5</v>
      </c>
      <c r="I273" s="12">
        <v>120</v>
      </c>
      <c r="J273" s="12">
        <v>70</v>
      </c>
      <c r="K273">
        <v>3</v>
      </c>
      <c r="L273">
        <v>3</v>
      </c>
      <c r="M273">
        <v>500</v>
      </c>
      <c r="N273" s="12">
        <f>+gemini_code_1787702791259[[#This Row],[Cantidad]]*gemini_code_1787702791259[[#This Row],[Precio_Unitario_USD]]</f>
        <v>600</v>
      </c>
      <c r="O273" s="12">
        <f>+gemini_code_1787702791259[[#This Row],[Cantidad]]*gemini_code_1787702791259[[#This Row],[Costo_Unitario_USD]]</f>
        <v>350</v>
      </c>
      <c r="P273" s="12">
        <f>+gemini_code_1787702791259[[#This Row],[venta total]]-gemini_code_1787702791259[[#This Row],[Costo total]]</f>
        <v>250</v>
      </c>
      <c r="Q273" s="2">
        <f>gemini_code_1787702791259[[#This Row],[Ganancia bruta]]/gemini_code_1787702791259[[#This Row],[venta total]]</f>
        <v>0.41666666666666669</v>
      </c>
      <c r="R273" t="str">
        <f>IF(gemini_code_1787702791259[[#This Row],[Dias_Entrega]]&lt;=gemini_code_1787702791259[[#This Row],[Promesa_SLA_Dias]],"A tiempo","Fuera de SLA")</f>
        <v>A tiempo</v>
      </c>
    </row>
    <row r="274" spans="1:18" x14ac:dyDescent="0.25">
      <c r="A274" t="s">
        <v>25</v>
      </c>
      <c r="B274" s="1">
        <v>46235</v>
      </c>
      <c r="C274" t="s">
        <v>26</v>
      </c>
      <c r="D274" t="s">
        <v>27</v>
      </c>
      <c r="E274" t="s">
        <v>16</v>
      </c>
      <c r="F274" t="s">
        <v>28</v>
      </c>
      <c r="G274" t="s">
        <v>29</v>
      </c>
      <c r="H274">
        <v>3</v>
      </c>
      <c r="I274" s="12">
        <v>90</v>
      </c>
      <c r="J274" s="12">
        <v>50</v>
      </c>
      <c r="K274">
        <v>6</v>
      </c>
      <c r="L274">
        <v>4</v>
      </c>
      <c r="M274">
        <v>300</v>
      </c>
      <c r="N274" s="12">
        <f>+gemini_code_1787702791259[[#This Row],[Cantidad]]*gemini_code_1787702791259[[#This Row],[Precio_Unitario_USD]]</f>
        <v>270</v>
      </c>
      <c r="O274" s="12">
        <f>+gemini_code_1787702791259[[#This Row],[Cantidad]]*gemini_code_1787702791259[[#This Row],[Costo_Unitario_USD]]</f>
        <v>150</v>
      </c>
      <c r="P274" s="12">
        <f>+gemini_code_1787702791259[[#This Row],[venta total]]-gemini_code_1787702791259[[#This Row],[Costo total]]</f>
        <v>120</v>
      </c>
      <c r="Q274" s="2">
        <f>gemini_code_1787702791259[[#This Row],[Ganancia bruta]]/gemini_code_1787702791259[[#This Row],[venta total]]</f>
        <v>0.44444444444444442</v>
      </c>
      <c r="R274" t="str">
        <f>IF(gemini_code_1787702791259[[#This Row],[Dias_Entrega]]&lt;=gemini_code_1787702791259[[#This Row],[Promesa_SLA_Dias]],"A tiempo","Fuera de SLA")</f>
        <v>Fuera de SLA</v>
      </c>
    </row>
    <row r="275" spans="1:18" x14ac:dyDescent="0.25">
      <c r="A275" t="s">
        <v>30</v>
      </c>
      <c r="B275" s="1">
        <v>46236</v>
      </c>
      <c r="C275" t="s">
        <v>14</v>
      </c>
      <c r="D275" t="s">
        <v>15</v>
      </c>
      <c r="E275" t="s">
        <v>22</v>
      </c>
      <c r="F275" t="s">
        <v>31</v>
      </c>
      <c r="G275" t="s">
        <v>32</v>
      </c>
      <c r="H275">
        <v>4</v>
      </c>
      <c r="I275" s="12">
        <v>110</v>
      </c>
      <c r="J275" s="12">
        <v>60</v>
      </c>
      <c r="K275">
        <v>1</v>
      </c>
      <c r="L275">
        <v>2</v>
      </c>
      <c r="M275">
        <v>400</v>
      </c>
      <c r="N275" s="12">
        <f>+gemini_code_1787702791259[[#This Row],[Cantidad]]*gemini_code_1787702791259[[#This Row],[Precio_Unitario_USD]]</f>
        <v>440</v>
      </c>
      <c r="O275" s="12">
        <f>+gemini_code_1787702791259[[#This Row],[Cantidad]]*gemini_code_1787702791259[[#This Row],[Costo_Unitario_USD]]</f>
        <v>240</v>
      </c>
      <c r="P275" s="12">
        <f>+gemini_code_1787702791259[[#This Row],[venta total]]-gemini_code_1787702791259[[#This Row],[Costo total]]</f>
        <v>200</v>
      </c>
      <c r="Q275" s="2">
        <f>gemini_code_1787702791259[[#This Row],[Ganancia bruta]]/gemini_code_1787702791259[[#This Row],[venta total]]</f>
        <v>0.45454545454545453</v>
      </c>
      <c r="R275" t="str">
        <f>IF(gemini_code_1787702791259[[#This Row],[Dias_Entrega]]&lt;=gemini_code_1787702791259[[#This Row],[Promesa_SLA_Dias]],"A tiempo","Fuera de SLA")</f>
        <v>A tiempo</v>
      </c>
    </row>
    <row r="276" spans="1:18" x14ac:dyDescent="0.25">
      <c r="A276" t="s">
        <v>33</v>
      </c>
      <c r="B276" s="1">
        <v>46236</v>
      </c>
      <c r="C276" t="s">
        <v>20</v>
      </c>
      <c r="D276" t="s">
        <v>21</v>
      </c>
      <c r="E276" t="s">
        <v>16</v>
      </c>
      <c r="F276" t="s">
        <v>17</v>
      </c>
      <c r="G276" t="s">
        <v>34</v>
      </c>
      <c r="H276">
        <v>3</v>
      </c>
      <c r="I276" s="12">
        <v>650</v>
      </c>
      <c r="J276" s="12">
        <v>450</v>
      </c>
      <c r="K276">
        <v>2</v>
      </c>
      <c r="L276">
        <v>3</v>
      </c>
      <c r="M276">
        <v>1800</v>
      </c>
      <c r="N276" s="12">
        <f>+gemini_code_1787702791259[[#This Row],[Cantidad]]*gemini_code_1787702791259[[#This Row],[Precio_Unitario_USD]]</f>
        <v>1950</v>
      </c>
      <c r="O276" s="12">
        <f>+gemini_code_1787702791259[[#This Row],[Cantidad]]*gemini_code_1787702791259[[#This Row],[Costo_Unitario_USD]]</f>
        <v>1350</v>
      </c>
      <c r="P276" s="12">
        <f>+gemini_code_1787702791259[[#This Row],[venta total]]-gemini_code_1787702791259[[#This Row],[Costo total]]</f>
        <v>600</v>
      </c>
      <c r="Q276" s="2">
        <f>gemini_code_1787702791259[[#This Row],[Ganancia bruta]]/gemini_code_1787702791259[[#This Row],[venta total]]</f>
        <v>0.30769230769230771</v>
      </c>
      <c r="R276" t="str">
        <f>IF(gemini_code_1787702791259[[#This Row],[Dias_Entrega]]&lt;=gemini_code_1787702791259[[#This Row],[Promesa_SLA_Dias]],"A tiempo","Fuera de SLA")</f>
        <v>A tiempo</v>
      </c>
    </row>
    <row r="277" spans="1:18" x14ac:dyDescent="0.25">
      <c r="A277" t="s">
        <v>35</v>
      </c>
      <c r="B277" s="1">
        <v>46236</v>
      </c>
      <c r="C277" t="s">
        <v>26</v>
      </c>
      <c r="D277" t="s">
        <v>27</v>
      </c>
      <c r="E277" t="s">
        <v>16</v>
      </c>
      <c r="F277" t="s">
        <v>23</v>
      </c>
      <c r="G277" t="s">
        <v>36</v>
      </c>
      <c r="H277">
        <v>8</v>
      </c>
      <c r="I277" s="12">
        <v>45</v>
      </c>
      <c r="J277" s="12">
        <v>20</v>
      </c>
      <c r="K277">
        <v>5</v>
      </c>
      <c r="L277">
        <v>3</v>
      </c>
      <c r="M277">
        <v>400</v>
      </c>
      <c r="N277" s="12">
        <f>+gemini_code_1787702791259[[#This Row],[Cantidad]]*gemini_code_1787702791259[[#This Row],[Precio_Unitario_USD]]</f>
        <v>360</v>
      </c>
      <c r="O277" s="12">
        <f>+gemini_code_1787702791259[[#This Row],[Cantidad]]*gemini_code_1787702791259[[#This Row],[Costo_Unitario_USD]]</f>
        <v>160</v>
      </c>
      <c r="P277" s="12">
        <f>+gemini_code_1787702791259[[#This Row],[venta total]]-gemini_code_1787702791259[[#This Row],[Costo total]]</f>
        <v>200</v>
      </c>
      <c r="Q277" s="2">
        <f>gemini_code_1787702791259[[#This Row],[Ganancia bruta]]/gemini_code_1787702791259[[#This Row],[venta total]]</f>
        <v>0.55555555555555558</v>
      </c>
      <c r="R277" t="str">
        <f>IF(gemini_code_1787702791259[[#This Row],[Dias_Entrega]]&lt;=gemini_code_1787702791259[[#This Row],[Promesa_SLA_Dias]],"A tiempo","Fuera de SLA")</f>
        <v>Fuera de SLA</v>
      </c>
    </row>
    <row r="278" spans="1:18" x14ac:dyDescent="0.25">
      <c r="A278" t="s">
        <v>37</v>
      </c>
      <c r="B278" s="1">
        <v>46237</v>
      </c>
      <c r="C278" t="s">
        <v>14</v>
      </c>
      <c r="D278" t="s">
        <v>15</v>
      </c>
      <c r="E278" t="s">
        <v>16</v>
      </c>
      <c r="F278" t="s">
        <v>28</v>
      </c>
      <c r="G278" t="s">
        <v>38</v>
      </c>
      <c r="H278">
        <v>2</v>
      </c>
      <c r="I278" s="12">
        <v>280</v>
      </c>
      <c r="J278" s="12">
        <v>180</v>
      </c>
      <c r="K278">
        <v>3</v>
      </c>
      <c r="L278">
        <v>3</v>
      </c>
      <c r="M278">
        <v>500</v>
      </c>
      <c r="N278" s="12">
        <f>+gemini_code_1787702791259[[#This Row],[Cantidad]]*gemini_code_1787702791259[[#This Row],[Precio_Unitario_USD]]</f>
        <v>560</v>
      </c>
      <c r="O278" s="12">
        <f>+gemini_code_1787702791259[[#This Row],[Cantidad]]*gemini_code_1787702791259[[#This Row],[Costo_Unitario_USD]]</f>
        <v>360</v>
      </c>
      <c r="P278" s="12">
        <f>+gemini_code_1787702791259[[#This Row],[venta total]]-gemini_code_1787702791259[[#This Row],[Costo total]]</f>
        <v>200</v>
      </c>
      <c r="Q278" s="2">
        <f>gemini_code_1787702791259[[#This Row],[Ganancia bruta]]/gemini_code_1787702791259[[#This Row],[venta total]]</f>
        <v>0.35714285714285715</v>
      </c>
      <c r="R278" t="str">
        <f>IF(gemini_code_1787702791259[[#This Row],[Dias_Entrega]]&lt;=gemini_code_1787702791259[[#This Row],[Promesa_SLA_Dias]],"A tiempo","Fuera de SLA")</f>
        <v>A tiempo</v>
      </c>
    </row>
    <row r="279" spans="1:18" x14ac:dyDescent="0.25">
      <c r="A279" t="s">
        <v>39</v>
      </c>
      <c r="B279" s="1">
        <v>46237</v>
      </c>
      <c r="C279" t="s">
        <v>20</v>
      </c>
      <c r="D279" t="s">
        <v>21</v>
      </c>
      <c r="E279" t="s">
        <v>22</v>
      </c>
      <c r="F279" t="s">
        <v>31</v>
      </c>
      <c r="G279" t="s">
        <v>40</v>
      </c>
      <c r="H279">
        <v>3</v>
      </c>
      <c r="I279" s="12">
        <v>150</v>
      </c>
      <c r="J279" s="12">
        <v>85</v>
      </c>
      <c r="K279">
        <v>2</v>
      </c>
      <c r="L279">
        <v>2</v>
      </c>
      <c r="M279">
        <v>400</v>
      </c>
      <c r="N279" s="12">
        <f>+gemini_code_1787702791259[[#This Row],[Cantidad]]*gemini_code_1787702791259[[#This Row],[Precio_Unitario_USD]]</f>
        <v>450</v>
      </c>
      <c r="O279" s="12">
        <f>+gemini_code_1787702791259[[#This Row],[Cantidad]]*gemini_code_1787702791259[[#This Row],[Costo_Unitario_USD]]</f>
        <v>255</v>
      </c>
      <c r="P279" s="12">
        <f>+gemini_code_1787702791259[[#This Row],[venta total]]-gemini_code_1787702791259[[#This Row],[Costo total]]</f>
        <v>195</v>
      </c>
      <c r="Q279" s="2">
        <f>gemini_code_1787702791259[[#This Row],[Ganancia bruta]]/gemini_code_1787702791259[[#This Row],[venta total]]</f>
        <v>0.43333333333333335</v>
      </c>
      <c r="R279" t="str">
        <f>IF(gemini_code_1787702791259[[#This Row],[Dias_Entrega]]&lt;=gemini_code_1787702791259[[#This Row],[Promesa_SLA_Dias]],"A tiempo","Fuera de SLA")</f>
        <v>A tiempo</v>
      </c>
    </row>
    <row r="280" spans="1:18" x14ac:dyDescent="0.25">
      <c r="A280" t="s">
        <v>41</v>
      </c>
      <c r="B280" s="1">
        <v>46237</v>
      </c>
      <c r="C280" t="s">
        <v>26</v>
      </c>
      <c r="D280" t="s">
        <v>27</v>
      </c>
      <c r="E280" t="s">
        <v>16</v>
      </c>
      <c r="F280" t="s">
        <v>17</v>
      </c>
      <c r="G280" t="s">
        <v>42</v>
      </c>
      <c r="H280">
        <v>2</v>
      </c>
      <c r="I280" s="12">
        <v>520</v>
      </c>
      <c r="J280" s="12">
        <v>380</v>
      </c>
      <c r="K280">
        <v>7</v>
      </c>
      <c r="L280">
        <v>4</v>
      </c>
      <c r="M280">
        <v>1000</v>
      </c>
      <c r="N280" s="12">
        <f>+gemini_code_1787702791259[[#This Row],[Cantidad]]*gemini_code_1787702791259[[#This Row],[Precio_Unitario_USD]]</f>
        <v>1040</v>
      </c>
      <c r="O280" s="12">
        <f>+gemini_code_1787702791259[[#This Row],[Cantidad]]*gemini_code_1787702791259[[#This Row],[Costo_Unitario_USD]]</f>
        <v>760</v>
      </c>
      <c r="P280" s="12">
        <f>+gemini_code_1787702791259[[#This Row],[venta total]]-gemini_code_1787702791259[[#This Row],[Costo total]]</f>
        <v>280</v>
      </c>
      <c r="Q280" s="2">
        <f>gemini_code_1787702791259[[#This Row],[Ganancia bruta]]/gemini_code_1787702791259[[#This Row],[venta total]]</f>
        <v>0.26923076923076922</v>
      </c>
      <c r="R280" t="str">
        <f>IF(gemini_code_1787702791259[[#This Row],[Dias_Entrega]]&lt;=gemini_code_1787702791259[[#This Row],[Promesa_SLA_Dias]],"A tiempo","Fuera de SLA")</f>
        <v>Fuera de SLA</v>
      </c>
    </row>
    <row r="281" spans="1:18" x14ac:dyDescent="0.25">
      <c r="A281" t="s">
        <v>43</v>
      </c>
      <c r="B281" s="1">
        <v>46238</v>
      </c>
      <c r="C281" t="s">
        <v>14</v>
      </c>
      <c r="D281" t="s">
        <v>15</v>
      </c>
      <c r="E281" t="s">
        <v>22</v>
      </c>
      <c r="F281" t="s">
        <v>23</v>
      </c>
      <c r="G281" t="s">
        <v>44</v>
      </c>
      <c r="H281">
        <v>6</v>
      </c>
      <c r="I281" s="12">
        <v>55</v>
      </c>
      <c r="J281" s="12">
        <v>25</v>
      </c>
      <c r="K281">
        <v>2</v>
      </c>
      <c r="L281">
        <v>3</v>
      </c>
      <c r="M281">
        <v>300</v>
      </c>
      <c r="N281" s="12">
        <f>+gemini_code_1787702791259[[#This Row],[Cantidad]]*gemini_code_1787702791259[[#This Row],[Precio_Unitario_USD]]</f>
        <v>330</v>
      </c>
      <c r="O281" s="12">
        <f>+gemini_code_1787702791259[[#This Row],[Cantidad]]*gemini_code_1787702791259[[#This Row],[Costo_Unitario_USD]]</f>
        <v>150</v>
      </c>
      <c r="P281" s="12">
        <f>+gemini_code_1787702791259[[#This Row],[venta total]]-gemini_code_1787702791259[[#This Row],[Costo total]]</f>
        <v>180</v>
      </c>
      <c r="Q281" s="2">
        <f>gemini_code_1787702791259[[#This Row],[Ganancia bruta]]/gemini_code_1787702791259[[#This Row],[venta total]]</f>
        <v>0.54545454545454541</v>
      </c>
      <c r="R281" t="str">
        <f>IF(gemini_code_1787702791259[[#This Row],[Dias_Entrega]]&lt;=gemini_code_1787702791259[[#This Row],[Promesa_SLA_Dias]],"A tiempo","Fuera de SLA")</f>
        <v>A tiempo</v>
      </c>
    </row>
    <row r="282" spans="1:18" x14ac:dyDescent="0.25">
      <c r="A282" t="s">
        <v>45</v>
      </c>
      <c r="B282" s="1">
        <v>46238</v>
      </c>
      <c r="C282" t="s">
        <v>20</v>
      </c>
      <c r="D282" t="s">
        <v>21</v>
      </c>
      <c r="E282" t="s">
        <v>16</v>
      </c>
      <c r="F282" t="s">
        <v>28</v>
      </c>
      <c r="G282" t="s">
        <v>46</v>
      </c>
      <c r="H282">
        <v>1</v>
      </c>
      <c r="I282" s="12">
        <v>450</v>
      </c>
      <c r="J282" s="12">
        <v>290</v>
      </c>
      <c r="K282">
        <v>4</v>
      </c>
      <c r="L282">
        <v>3</v>
      </c>
      <c r="M282">
        <v>400</v>
      </c>
      <c r="N282" s="12">
        <f>+gemini_code_1787702791259[[#This Row],[Cantidad]]*gemini_code_1787702791259[[#This Row],[Precio_Unitario_USD]]</f>
        <v>450</v>
      </c>
      <c r="O282" s="12">
        <f>+gemini_code_1787702791259[[#This Row],[Cantidad]]*gemini_code_1787702791259[[#This Row],[Costo_Unitario_USD]]</f>
        <v>290</v>
      </c>
      <c r="P282" s="12">
        <f>+gemini_code_1787702791259[[#This Row],[venta total]]-gemini_code_1787702791259[[#This Row],[Costo total]]</f>
        <v>160</v>
      </c>
      <c r="Q282" s="2">
        <f>gemini_code_1787702791259[[#This Row],[Ganancia bruta]]/gemini_code_1787702791259[[#This Row],[venta total]]</f>
        <v>0.35555555555555557</v>
      </c>
      <c r="R282" t="str">
        <f>IF(gemini_code_1787702791259[[#This Row],[Dias_Entrega]]&lt;=gemini_code_1787702791259[[#This Row],[Promesa_SLA_Dias]],"A tiempo","Fuera de SLA")</f>
        <v>Fuera de SLA</v>
      </c>
    </row>
    <row r="283" spans="1:18" x14ac:dyDescent="0.25">
      <c r="A283" t="s">
        <v>47</v>
      </c>
      <c r="B283" s="1">
        <v>46238</v>
      </c>
      <c r="C283" t="s">
        <v>26</v>
      </c>
      <c r="D283" t="s">
        <v>27</v>
      </c>
      <c r="E283" t="s">
        <v>22</v>
      </c>
      <c r="F283" t="s">
        <v>31</v>
      </c>
      <c r="G283" t="s">
        <v>48</v>
      </c>
      <c r="H283">
        <v>10</v>
      </c>
      <c r="I283" s="12">
        <v>35</v>
      </c>
      <c r="J283" s="12">
        <v>15</v>
      </c>
      <c r="K283">
        <v>4</v>
      </c>
      <c r="L283">
        <v>3</v>
      </c>
      <c r="M283">
        <v>300</v>
      </c>
      <c r="N283" s="12">
        <f>+gemini_code_1787702791259[[#This Row],[Cantidad]]*gemini_code_1787702791259[[#This Row],[Precio_Unitario_USD]]</f>
        <v>350</v>
      </c>
      <c r="O283" s="12">
        <f>+gemini_code_1787702791259[[#This Row],[Cantidad]]*gemini_code_1787702791259[[#This Row],[Costo_Unitario_USD]]</f>
        <v>150</v>
      </c>
      <c r="P283" s="12">
        <f>+gemini_code_1787702791259[[#This Row],[venta total]]-gemini_code_1787702791259[[#This Row],[Costo total]]</f>
        <v>200</v>
      </c>
      <c r="Q283" s="2">
        <f>gemini_code_1787702791259[[#This Row],[Ganancia bruta]]/gemini_code_1787702791259[[#This Row],[venta total]]</f>
        <v>0.5714285714285714</v>
      </c>
      <c r="R283" t="str">
        <f>IF(gemini_code_1787702791259[[#This Row],[Dias_Entrega]]&lt;=gemini_code_1787702791259[[#This Row],[Promesa_SLA_Dias]],"A tiempo","Fuera de SLA")</f>
        <v>Fuera de SLA</v>
      </c>
    </row>
    <row r="284" spans="1:18" x14ac:dyDescent="0.25">
      <c r="A284" t="s">
        <v>49</v>
      </c>
      <c r="B284" s="1">
        <v>46239</v>
      </c>
      <c r="C284" t="s">
        <v>14</v>
      </c>
      <c r="D284" t="s">
        <v>15</v>
      </c>
      <c r="E284" t="s">
        <v>16</v>
      </c>
      <c r="F284" t="s">
        <v>17</v>
      </c>
      <c r="G284" t="s">
        <v>50</v>
      </c>
      <c r="H284">
        <v>4</v>
      </c>
      <c r="I284" s="12">
        <v>220</v>
      </c>
      <c r="J284" s="12">
        <v>140</v>
      </c>
      <c r="K284">
        <v>2</v>
      </c>
      <c r="L284">
        <v>3</v>
      </c>
      <c r="M284">
        <v>800</v>
      </c>
      <c r="N284" s="12">
        <f>+gemini_code_1787702791259[[#This Row],[Cantidad]]*gemini_code_1787702791259[[#This Row],[Precio_Unitario_USD]]</f>
        <v>880</v>
      </c>
      <c r="O284" s="12">
        <f>+gemini_code_1787702791259[[#This Row],[Cantidad]]*gemini_code_1787702791259[[#This Row],[Costo_Unitario_USD]]</f>
        <v>560</v>
      </c>
      <c r="P284" s="12">
        <f>+gemini_code_1787702791259[[#This Row],[venta total]]-gemini_code_1787702791259[[#This Row],[Costo total]]</f>
        <v>320</v>
      </c>
      <c r="Q284" s="2">
        <f>gemini_code_1787702791259[[#This Row],[Ganancia bruta]]/gemini_code_1787702791259[[#This Row],[venta total]]</f>
        <v>0.36363636363636365</v>
      </c>
      <c r="R284" t="str">
        <f>IF(gemini_code_1787702791259[[#This Row],[Dias_Entrega]]&lt;=gemini_code_1787702791259[[#This Row],[Promesa_SLA_Dias]],"A tiempo","Fuera de SLA")</f>
        <v>A tiempo</v>
      </c>
    </row>
    <row r="285" spans="1:18" x14ac:dyDescent="0.25">
      <c r="A285" t="s">
        <v>51</v>
      </c>
      <c r="B285" s="1">
        <v>46239</v>
      </c>
      <c r="C285" t="s">
        <v>20</v>
      </c>
      <c r="D285" t="s">
        <v>21</v>
      </c>
      <c r="E285" t="s">
        <v>16</v>
      </c>
      <c r="F285" t="s">
        <v>23</v>
      </c>
      <c r="G285" t="s">
        <v>52</v>
      </c>
      <c r="H285">
        <v>5</v>
      </c>
      <c r="I285" s="12">
        <v>65</v>
      </c>
      <c r="J285" s="12">
        <v>30</v>
      </c>
      <c r="K285">
        <v>2</v>
      </c>
      <c r="L285">
        <v>3</v>
      </c>
      <c r="M285">
        <v>300</v>
      </c>
      <c r="N285" s="12">
        <f>+gemini_code_1787702791259[[#This Row],[Cantidad]]*gemini_code_1787702791259[[#This Row],[Precio_Unitario_USD]]</f>
        <v>325</v>
      </c>
      <c r="O285" s="12">
        <f>+gemini_code_1787702791259[[#This Row],[Cantidad]]*gemini_code_1787702791259[[#This Row],[Costo_Unitario_USD]]</f>
        <v>150</v>
      </c>
      <c r="P285" s="12">
        <f>+gemini_code_1787702791259[[#This Row],[venta total]]-gemini_code_1787702791259[[#This Row],[Costo total]]</f>
        <v>175</v>
      </c>
      <c r="Q285" s="2">
        <f>gemini_code_1787702791259[[#This Row],[Ganancia bruta]]/gemini_code_1787702791259[[#This Row],[venta total]]</f>
        <v>0.53846153846153844</v>
      </c>
      <c r="R285" t="str">
        <f>IF(gemini_code_1787702791259[[#This Row],[Dias_Entrega]]&lt;=gemini_code_1787702791259[[#This Row],[Promesa_SLA_Dias]],"A tiempo","Fuera de SLA")</f>
        <v>A tiempo</v>
      </c>
    </row>
    <row r="286" spans="1:18" x14ac:dyDescent="0.25">
      <c r="A286" t="s">
        <v>53</v>
      </c>
      <c r="B286" s="1">
        <v>46239</v>
      </c>
      <c r="C286" t="s">
        <v>26</v>
      </c>
      <c r="D286" t="s">
        <v>27</v>
      </c>
      <c r="E286" t="s">
        <v>16</v>
      </c>
      <c r="F286" t="s">
        <v>28</v>
      </c>
      <c r="G286" t="s">
        <v>54</v>
      </c>
      <c r="H286">
        <v>2</v>
      </c>
      <c r="I286" s="12">
        <v>180</v>
      </c>
      <c r="J286" s="12">
        <v>110</v>
      </c>
      <c r="K286">
        <v>6</v>
      </c>
      <c r="L286">
        <v>3</v>
      </c>
      <c r="M286">
        <v>350</v>
      </c>
      <c r="N286" s="12">
        <f>+gemini_code_1787702791259[[#This Row],[Cantidad]]*gemini_code_1787702791259[[#This Row],[Precio_Unitario_USD]]</f>
        <v>360</v>
      </c>
      <c r="O286" s="12">
        <f>+gemini_code_1787702791259[[#This Row],[Cantidad]]*gemini_code_1787702791259[[#This Row],[Costo_Unitario_USD]]</f>
        <v>220</v>
      </c>
      <c r="P286" s="12">
        <f>+gemini_code_1787702791259[[#This Row],[venta total]]-gemini_code_1787702791259[[#This Row],[Costo total]]</f>
        <v>140</v>
      </c>
      <c r="Q286" s="2">
        <f>gemini_code_1787702791259[[#This Row],[Ganancia bruta]]/gemini_code_1787702791259[[#This Row],[venta total]]</f>
        <v>0.3888888888888889</v>
      </c>
      <c r="R286" t="str">
        <f>IF(gemini_code_1787702791259[[#This Row],[Dias_Entrega]]&lt;=gemini_code_1787702791259[[#This Row],[Promesa_SLA_Dias]],"A tiempo","Fuera de SLA")</f>
        <v>Fuera de SLA</v>
      </c>
    </row>
    <row r="287" spans="1:18" x14ac:dyDescent="0.25">
      <c r="A287" t="s">
        <v>55</v>
      </c>
      <c r="B287" s="1">
        <v>46240</v>
      </c>
      <c r="C287" t="s">
        <v>14</v>
      </c>
      <c r="D287" t="s">
        <v>15</v>
      </c>
      <c r="E287" t="s">
        <v>22</v>
      </c>
      <c r="F287" t="s">
        <v>31</v>
      </c>
      <c r="G287" t="s">
        <v>56</v>
      </c>
      <c r="H287">
        <v>6</v>
      </c>
      <c r="I287" s="12">
        <v>85</v>
      </c>
      <c r="J287" s="12">
        <v>45</v>
      </c>
      <c r="K287">
        <v>1</v>
      </c>
      <c r="L287">
        <v>2</v>
      </c>
      <c r="M287">
        <v>500</v>
      </c>
      <c r="N287" s="12">
        <f>+gemini_code_1787702791259[[#This Row],[Cantidad]]*gemini_code_1787702791259[[#This Row],[Precio_Unitario_USD]]</f>
        <v>510</v>
      </c>
      <c r="O287" s="12">
        <f>+gemini_code_1787702791259[[#This Row],[Cantidad]]*gemini_code_1787702791259[[#This Row],[Costo_Unitario_USD]]</f>
        <v>270</v>
      </c>
      <c r="P287" s="12">
        <f>+gemini_code_1787702791259[[#This Row],[venta total]]-gemini_code_1787702791259[[#This Row],[Costo total]]</f>
        <v>240</v>
      </c>
      <c r="Q287" s="2">
        <f>gemini_code_1787702791259[[#This Row],[Ganancia bruta]]/gemini_code_1787702791259[[#This Row],[venta total]]</f>
        <v>0.47058823529411764</v>
      </c>
      <c r="R287" t="str">
        <f>IF(gemini_code_1787702791259[[#This Row],[Dias_Entrega]]&lt;=gemini_code_1787702791259[[#This Row],[Promesa_SLA_Dias]],"A tiempo","Fuera de SLA")</f>
        <v>A tiempo</v>
      </c>
    </row>
    <row r="288" spans="1:18" x14ac:dyDescent="0.25">
      <c r="A288" t="s">
        <v>57</v>
      </c>
      <c r="B288" s="1">
        <v>46240</v>
      </c>
      <c r="C288" t="s">
        <v>20</v>
      </c>
      <c r="D288" t="s">
        <v>21</v>
      </c>
      <c r="E288" t="s">
        <v>16</v>
      </c>
      <c r="F288" t="s">
        <v>17</v>
      </c>
      <c r="G288" t="s">
        <v>58</v>
      </c>
      <c r="H288">
        <v>12</v>
      </c>
      <c r="I288" s="12">
        <v>75</v>
      </c>
      <c r="J288" s="12">
        <v>35</v>
      </c>
      <c r="K288">
        <v>1</v>
      </c>
      <c r="L288">
        <v>2</v>
      </c>
      <c r="M288">
        <v>800</v>
      </c>
      <c r="N288" s="12">
        <f>+gemini_code_1787702791259[[#This Row],[Cantidad]]*gemini_code_1787702791259[[#This Row],[Precio_Unitario_USD]]</f>
        <v>900</v>
      </c>
      <c r="O288" s="12">
        <f>+gemini_code_1787702791259[[#This Row],[Cantidad]]*gemini_code_1787702791259[[#This Row],[Costo_Unitario_USD]]</f>
        <v>420</v>
      </c>
      <c r="P288" s="12">
        <f>+gemini_code_1787702791259[[#This Row],[venta total]]-gemini_code_1787702791259[[#This Row],[Costo total]]</f>
        <v>480</v>
      </c>
      <c r="Q288" s="2">
        <f>gemini_code_1787702791259[[#This Row],[Ganancia bruta]]/gemini_code_1787702791259[[#This Row],[venta total]]</f>
        <v>0.53333333333333333</v>
      </c>
      <c r="R288" t="str">
        <f>IF(gemini_code_1787702791259[[#This Row],[Dias_Entrega]]&lt;=gemini_code_1787702791259[[#This Row],[Promesa_SLA_Dias]],"A tiempo","Fuera de SLA")</f>
        <v>A tiempo</v>
      </c>
    </row>
    <row r="289" spans="1:18" x14ac:dyDescent="0.25">
      <c r="A289" t="s">
        <v>59</v>
      </c>
      <c r="B289" s="1">
        <v>46240</v>
      </c>
      <c r="C289" t="s">
        <v>26</v>
      </c>
      <c r="D289" t="s">
        <v>27</v>
      </c>
      <c r="E289" t="s">
        <v>22</v>
      </c>
      <c r="F289" t="s">
        <v>23</v>
      </c>
      <c r="G289" t="s">
        <v>60</v>
      </c>
      <c r="H289">
        <v>4</v>
      </c>
      <c r="I289" s="12">
        <v>110</v>
      </c>
      <c r="J289" s="12">
        <v>55</v>
      </c>
      <c r="K289">
        <v>5</v>
      </c>
      <c r="L289">
        <v>3</v>
      </c>
      <c r="M289">
        <v>400</v>
      </c>
      <c r="N289" s="12">
        <f>+gemini_code_1787702791259[[#This Row],[Cantidad]]*gemini_code_1787702791259[[#This Row],[Precio_Unitario_USD]]</f>
        <v>440</v>
      </c>
      <c r="O289" s="12">
        <f>+gemini_code_1787702791259[[#This Row],[Cantidad]]*gemini_code_1787702791259[[#This Row],[Costo_Unitario_USD]]</f>
        <v>220</v>
      </c>
      <c r="P289" s="12">
        <f>+gemini_code_1787702791259[[#This Row],[venta total]]-gemini_code_1787702791259[[#This Row],[Costo total]]</f>
        <v>220</v>
      </c>
      <c r="Q289" s="2">
        <f>gemini_code_1787702791259[[#This Row],[Ganancia bruta]]/gemini_code_1787702791259[[#This Row],[venta total]]</f>
        <v>0.5</v>
      </c>
      <c r="R289" t="str">
        <f>IF(gemini_code_1787702791259[[#This Row],[Dias_Entrega]]&lt;=gemini_code_1787702791259[[#This Row],[Promesa_SLA_Dias]],"A tiempo","Fuera de SLA")</f>
        <v>Fuera de SLA</v>
      </c>
    </row>
    <row r="290" spans="1:18" x14ac:dyDescent="0.25">
      <c r="A290" t="s">
        <v>61</v>
      </c>
      <c r="B290" s="1">
        <v>46241</v>
      </c>
      <c r="C290" t="s">
        <v>14</v>
      </c>
      <c r="D290" t="s">
        <v>15</v>
      </c>
      <c r="E290" t="s">
        <v>16</v>
      </c>
      <c r="F290" t="s">
        <v>28</v>
      </c>
      <c r="G290" t="s">
        <v>62</v>
      </c>
      <c r="H290">
        <v>15</v>
      </c>
      <c r="I290" s="12">
        <v>25</v>
      </c>
      <c r="J290" s="12">
        <v>10</v>
      </c>
      <c r="K290">
        <v>2</v>
      </c>
      <c r="L290">
        <v>3</v>
      </c>
      <c r="M290">
        <v>300</v>
      </c>
      <c r="N290" s="12">
        <f>+gemini_code_1787702791259[[#This Row],[Cantidad]]*gemini_code_1787702791259[[#This Row],[Precio_Unitario_USD]]</f>
        <v>375</v>
      </c>
      <c r="O290" s="12">
        <f>+gemini_code_1787702791259[[#This Row],[Cantidad]]*gemini_code_1787702791259[[#This Row],[Costo_Unitario_USD]]</f>
        <v>150</v>
      </c>
      <c r="P290" s="12">
        <f>+gemini_code_1787702791259[[#This Row],[venta total]]-gemini_code_1787702791259[[#This Row],[Costo total]]</f>
        <v>225</v>
      </c>
      <c r="Q290" s="2">
        <f>gemini_code_1787702791259[[#This Row],[Ganancia bruta]]/gemini_code_1787702791259[[#This Row],[venta total]]</f>
        <v>0.6</v>
      </c>
      <c r="R290" t="str">
        <f>IF(gemini_code_1787702791259[[#This Row],[Dias_Entrega]]&lt;=gemini_code_1787702791259[[#This Row],[Promesa_SLA_Dias]],"A tiempo","Fuera de SLA")</f>
        <v>A tiempo</v>
      </c>
    </row>
    <row r="291" spans="1:18" x14ac:dyDescent="0.25">
      <c r="A291" t="s">
        <v>63</v>
      </c>
      <c r="B291" s="1">
        <v>46241</v>
      </c>
      <c r="C291" t="s">
        <v>20</v>
      </c>
      <c r="D291" t="s">
        <v>21</v>
      </c>
      <c r="E291" t="s">
        <v>22</v>
      </c>
      <c r="F291" t="s">
        <v>31</v>
      </c>
      <c r="G291" t="s">
        <v>64</v>
      </c>
      <c r="H291">
        <v>5</v>
      </c>
      <c r="I291" s="12">
        <v>130</v>
      </c>
      <c r="J291" s="12">
        <v>70</v>
      </c>
      <c r="K291">
        <v>3</v>
      </c>
      <c r="L291">
        <v>3</v>
      </c>
      <c r="M291">
        <v>600</v>
      </c>
      <c r="N291" s="12">
        <f>+gemini_code_1787702791259[[#This Row],[Cantidad]]*gemini_code_1787702791259[[#This Row],[Precio_Unitario_USD]]</f>
        <v>650</v>
      </c>
      <c r="O291" s="12">
        <f>+gemini_code_1787702791259[[#This Row],[Cantidad]]*gemini_code_1787702791259[[#This Row],[Costo_Unitario_USD]]</f>
        <v>350</v>
      </c>
      <c r="P291" s="12">
        <f>+gemini_code_1787702791259[[#This Row],[venta total]]-gemini_code_1787702791259[[#This Row],[Costo total]]</f>
        <v>300</v>
      </c>
      <c r="Q291" s="2">
        <f>gemini_code_1787702791259[[#This Row],[Ganancia bruta]]/gemini_code_1787702791259[[#This Row],[venta total]]</f>
        <v>0.46153846153846156</v>
      </c>
      <c r="R291" t="str">
        <f>IF(gemini_code_1787702791259[[#This Row],[Dias_Entrega]]&lt;=gemini_code_1787702791259[[#This Row],[Promesa_SLA_Dias]],"A tiempo","Fuera de SLA")</f>
        <v>A tiempo</v>
      </c>
    </row>
    <row r="292" spans="1:18" x14ac:dyDescent="0.25">
      <c r="A292" t="s">
        <v>65</v>
      </c>
      <c r="B292" s="1">
        <v>46241</v>
      </c>
      <c r="C292" t="s">
        <v>26</v>
      </c>
      <c r="D292" t="s">
        <v>27</v>
      </c>
      <c r="E292" t="s">
        <v>16</v>
      </c>
      <c r="F292" t="s">
        <v>17</v>
      </c>
      <c r="G292" t="s">
        <v>66</v>
      </c>
      <c r="H292">
        <v>2</v>
      </c>
      <c r="I292" s="12">
        <v>500</v>
      </c>
      <c r="J292" s="12">
        <v>380</v>
      </c>
      <c r="K292">
        <v>6</v>
      </c>
      <c r="L292">
        <v>4</v>
      </c>
      <c r="M292">
        <v>900</v>
      </c>
      <c r="N292" s="12">
        <f>+gemini_code_1787702791259[[#This Row],[Cantidad]]*gemini_code_1787702791259[[#This Row],[Precio_Unitario_USD]]</f>
        <v>1000</v>
      </c>
      <c r="O292" s="12">
        <f>+gemini_code_1787702791259[[#This Row],[Cantidad]]*gemini_code_1787702791259[[#This Row],[Costo_Unitario_USD]]</f>
        <v>760</v>
      </c>
      <c r="P292" s="12">
        <f>+gemini_code_1787702791259[[#This Row],[venta total]]-gemini_code_1787702791259[[#This Row],[Costo total]]</f>
        <v>240</v>
      </c>
      <c r="Q292" s="2">
        <f>gemini_code_1787702791259[[#This Row],[Ganancia bruta]]/gemini_code_1787702791259[[#This Row],[venta total]]</f>
        <v>0.24</v>
      </c>
      <c r="R292" t="str">
        <f>IF(gemini_code_1787702791259[[#This Row],[Dias_Entrega]]&lt;=gemini_code_1787702791259[[#This Row],[Promesa_SLA_Dias]],"A tiempo","Fuera de SLA")</f>
        <v>Fuera de SLA</v>
      </c>
    </row>
    <row r="293" spans="1:18" x14ac:dyDescent="0.25">
      <c r="A293" t="s">
        <v>67</v>
      </c>
      <c r="B293" s="1">
        <v>46242</v>
      </c>
      <c r="C293" t="s">
        <v>14</v>
      </c>
      <c r="D293" t="s">
        <v>15</v>
      </c>
      <c r="E293" t="s">
        <v>16</v>
      </c>
      <c r="F293" t="s">
        <v>23</v>
      </c>
      <c r="G293" t="s">
        <v>68</v>
      </c>
      <c r="H293">
        <v>3</v>
      </c>
      <c r="I293" s="12">
        <v>95</v>
      </c>
      <c r="J293" s="12">
        <v>45</v>
      </c>
      <c r="K293">
        <v>2</v>
      </c>
      <c r="L293">
        <v>3</v>
      </c>
      <c r="M293">
        <v>300</v>
      </c>
      <c r="N293" s="12">
        <f>+gemini_code_1787702791259[[#This Row],[Cantidad]]*gemini_code_1787702791259[[#This Row],[Precio_Unitario_USD]]</f>
        <v>285</v>
      </c>
      <c r="O293" s="12">
        <f>+gemini_code_1787702791259[[#This Row],[Cantidad]]*gemini_code_1787702791259[[#This Row],[Costo_Unitario_USD]]</f>
        <v>135</v>
      </c>
      <c r="P293" s="12">
        <f>+gemini_code_1787702791259[[#This Row],[venta total]]-gemini_code_1787702791259[[#This Row],[Costo total]]</f>
        <v>150</v>
      </c>
      <c r="Q293" s="2">
        <f>gemini_code_1787702791259[[#This Row],[Ganancia bruta]]/gemini_code_1787702791259[[#This Row],[venta total]]</f>
        <v>0.52631578947368418</v>
      </c>
      <c r="R293" t="str">
        <f>IF(gemini_code_1787702791259[[#This Row],[Dias_Entrega]]&lt;=gemini_code_1787702791259[[#This Row],[Promesa_SLA_Dias]],"A tiempo","Fuera de SLA")</f>
        <v>A tiempo</v>
      </c>
    </row>
    <row r="294" spans="1:18" x14ac:dyDescent="0.25">
      <c r="A294" t="s">
        <v>69</v>
      </c>
      <c r="B294" s="1">
        <v>46242</v>
      </c>
      <c r="C294" t="s">
        <v>20</v>
      </c>
      <c r="D294" t="s">
        <v>21</v>
      </c>
      <c r="E294" t="s">
        <v>16</v>
      </c>
      <c r="F294" t="s">
        <v>28</v>
      </c>
      <c r="G294" t="s">
        <v>70</v>
      </c>
      <c r="H294">
        <v>4</v>
      </c>
      <c r="I294" s="12">
        <v>160</v>
      </c>
      <c r="J294" s="12">
        <v>95</v>
      </c>
      <c r="K294">
        <v>2</v>
      </c>
      <c r="L294">
        <v>3</v>
      </c>
      <c r="M294">
        <v>600</v>
      </c>
      <c r="N294" s="12">
        <f>+gemini_code_1787702791259[[#This Row],[Cantidad]]*gemini_code_1787702791259[[#This Row],[Precio_Unitario_USD]]</f>
        <v>640</v>
      </c>
      <c r="O294" s="12">
        <f>+gemini_code_1787702791259[[#This Row],[Cantidad]]*gemini_code_1787702791259[[#This Row],[Costo_Unitario_USD]]</f>
        <v>380</v>
      </c>
      <c r="P294" s="12">
        <f>+gemini_code_1787702791259[[#This Row],[venta total]]-gemini_code_1787702791259[[#This Row],[Costo total]]</f>
        <v>260</v>
      </c>
      <c r="Q294" s="2">
        <f>gemini_code_1787702791259[[#This Row],[Ganancia bruta]]/gemini_code_1787702791259[[#This Row],[venta total]]</f>
        <v>0.40625</v>
      </c>
      <c r="R294" t="str">
        <f>IF(gemini_code_1787702791259[[#This Row],[Dias_Entrega]]&lt;=gemini_code_1787702791259[[#This Row],[Promesa_SLA_Dias]],"A tiempo","Fuera de SLA")</f>
        <v>A tiempo</v>
      </c>
    </row>
    <row r="295" spans="1:18" x14ac:dyDescent="0.25">
      <c r="A295" t="s">
        <v>71</v>
      </c>
      <c r="B295" s="1">
        <v>46242</v>
      </c>
      <c r="C295" t="s">
        <v>26</v>
      </c>
      <c r="D295" t="s">
        <v>27</v>
      </c>
      <c r="E295" t="s">
        <v>22</v>
      </c>
      <c r="F295" t="s">
        <v>31</v>
      </c>
      <c r="G295" t="s">
        <v>72</v>
      </c>
      <c r="H295">
        <v>7</v>
      </c>
      <c r="I295" s="12">
        <v>90</v>
      </c>
      <c r="J295" s="12">
        <v>45</v>
      </c>
      <c r="K295">
        <v>4</v>
      </c>
      <c r="L295">
        <v>3</v>
      </c>
      <c r="M295">
        <v>600</v>
      </c>
      <c r="N295" s="12">
        <f>+gemini_code_1787702791259[[#This Row],[Cantidad]]*gemini_code_1787702791259[[#This Row],[Precio_Unitario_USD]]</f>
        <v>630</v>
      </c>
      <c r="O295" s="12">
        <f>+gemini_code_1787702791259[[#This Row],[Cantidad]]*gemini_code_1787702791259[[#This Row],[Costo_Unitario_USD]]</f>
        <v>315</v>
      </c>
      <c r="P295" s="12">
        <f>+gemini_code_1787702791259[[#This Row],[venta total]]-gemini_code_1787702791259[[#This Row],[Costo total]]</f>
        <v>315</v>
      </c>
      <c r="Q295" s="2">
        <f>gemini_code_1787702791259[[#This Row],[Ganancia bruta]]/gemini_code_1787702791259[[#This Row],[venta total]]</f>
        <v>0.5</v>
      </c>
      <c r="R295" t="str">
        <f>IF(gemini_code_1787702791259[[#This Row],[Dias_Entrega]]&lt;=gemini_code_1787702791259[[#This Row],[Promesa_SLA_Dias]],"A tiempo","Fuera de SLA")</f>
        <v>Fuera de SLA</v>
      </c>
    </row>
    <row r="296" spans="1:18" x14ac:dyDescent="0.25">
      <c r="A296" t="s">
        <v>73</v>
      </c>
      <c r="B296" s="1">
        <v>46243</v>
      </c>
      <c r="C296" t="s">
        <v>14</v>
      </c>
      <c r="D296" t="s">
        <v>15</v>
      </c>
      <c r="E296" t="s">
        <v>22</v>
      </c>
      <c r="F296" t="s">
        <v>17</v>
      </c>
      <c r="G296" t="s">
        <v>74</v>
      </c>
      <c r="H296">
        <v>3</v>
      </c>
      <c r="I296" s="12">
        <v>310</v>
      </c>
      <c r="J296" s="12">
        <v>210</v>
      </c>
      <c r="K296">
        <v>2</v>
      </c>
      <c r="L296">
        <v>3</v>
      </c>
      <c r="M296">
        <v>900</v>
      </c>
      <c r="N296" s="12">
        <f>+gemini_code_1787702791259[[#This Row],[Cantidad]]*gemini_code_1787702791259[[#This Row],[Precio_Unitario_USD]]</f>
        <v>930</v>
      </c>
      <c r="O296" s="12">
        <f>+gemini_code_1787702791259[[#This Row],[Cantidad]]*gemini_code_1787702791259[[#This Row],[Costo_Unitario_USD]]</f>
        <v>630</v>
      </c>
      <c r="P296" s="12">
        <f>+gemini_code_1787702791259[[#This Row],[venta total]]-gemini_code_1787702791259[[#This Row],[Costo total]]</f>
        <v>300</v>
      </c>
      <c r="Q296" s="2">
        <f>gemini_code_1787702791259[[#This Row],[Ganancia bruta]]/gemini_code_1787702791259[[#This Row],[venta total]]</f>
        <v>0.32258064516129031</v>
      </c>
      <c r="R296" t="str">
        <f>IF(gemini_code_1787702791259[[#This Row],[Dias_Entrega]]&lt;=gemini_code_1787702791259[[#This Row],[Promesa_SLA_Dias]],"A tiempo","Fuera de SLA")</f>
        <v>A tiempo</v>
      </c>
    </row>
    <row r="297" spans="1:18" x14ac:dyDescent="0.25">
      <c r="A297" t="s">
        <v>75</v>
      </c>
      <c r="B297" s="1">
        <v>46243</v>
      </c>
      <c r="C297" t="s">
        <v>20</v>
      </c>
      <c r="D297" t="s">
        <v>21</v>
      </c>
      <c r="E297" t="s">
        <v>16</v>
      </c>
      <c r="F297" t="s">
        <v>23</v>
      </c>
      <c r="G297" t="s">
        <v>76</v>
      </c>
      <c r="H297">
        <v>8</v>
      </c>
      <c r="I297" s="12">
        <v>50</v>
      </c>
      <c r="J297" s="12">
        <v>22</v>
      </c>
      <c r="K297">
        <v>2</v>
      </c>
      <c r="L297">
        <v>3</v>
      </c>
      <c r="M297">
        <v>400</v>
      </c>
      <c r="N297" s="12">
        <f>+gemini_code_1787702791259[[#This Row],[Cantidad]]*gemini_code_1787702791259[[#This Row],[Precio_Unitario_USD]]</f>
        <v>400</v>
      </c>
      <c r="O297" s="12">
        <f>+gemini_code_1787702791259[[#This Row],[Cantidad]]*gemini_code_1787702791259[[#This Row],[Costo_Unitario_USD]]</f>
        <v>176</v>
      </c>
      <c r="P297" s="12">
        <f>+gemini_code_1787702791259[[#This Row],[venta total]]-gemini_code_1787702791259[[#This Row],[Costo total]]</f>
        <v>224</v>
      </c>
      <c r="Q297" s="2">
        <f>gemini_code_1787702791259[[#This Row],[Ganancia bruta]]/gemini_code_1787702791259[[#This Row],[venta total]]</f>
        <v>0.56000000000000005</v>
      </c>
      <c r="R297" t="str">
        <f>IF(gemini_code_1787702791259[[#This Row],[Dias_Entrega]]&lt;=gemini_code_1787702791259[[#This Row],[Promesa_SLA_Dias]],"A tiempo","Fuera de SLA")</f>
        <v>A tiempo</v>
      </c>
    </row>
    <row r="298" spans="1:18" x14ac:dyDescent="0.25">
      <c r="A298" t="s">
        <v>77</v>
      </c>
      <c r="B298" s="1">
        <v>46243</v>
      </c>
      <c r="C298" t="s">
        <v>26</v>
      </c>
      <c r="D298" t="s">
        <v>27</v>
      </c>
      <c r="E298" t="s">
        <v>16</v>
      </c>
      <c r="F298" t="s">
        <v>28</v>
      </c>
      <c r="G298" t="s">
        <v>78</v>
      </c>
      <c r="H298">
        <v>1</v>
      </c>
      <c r="I298" s="12">
        <v>750</v>
      </c>
      <c r="J298" s="12">
        <v>480</v>
      </c>
      <c r="K298">
        <v>8</v>
      </c>
      <c r="L298">
        <v>4</v>
      </c>
      <c r="M298">
        <v>700</v>
      </c>
      <c r="N298" s="12">
        <f>+gemini_code_1787702791259[[#This Row],[Cantidad]]*gemini_code_1787702791259[[#This Row],[Precio_Unitario_USD]]</f>
        <v>750</v>
      </c>
      <c r="O298" s="12">
        <f>+gemini_code_1787702791259[[#This Row],[Cantidad]]*gemini_code_1787702791259[[#This Row],[Costo_Unitario_USD]]</f>
        <v>480</v>
      </c>
      <c r="P298" s="12">
        <f>+gemini_code_1787702791259[[#This Row],[venta total]]-gemini_code_1787702791259[[#This Row],[Costo total]]</f>
        <v>270</v>
      </c>
      <c r="Q298" s="2">
        <f>gemini_code_1787702791259[[#This Row],[Ganancia bruta]]/gemini_code_1787702791259[[#This Row],[venta total]]</f>
        <v>0.36</v>
      </c>
      <c r="R298" t="str">
        <f>IF(gemini_code_1787702791259[[#This Row],[Dias_Entrega]]&lt;=gemini_code_1787702791259[[#This Row],[Promesa_SLA_Dias]],"A tiempo","Fuera de SLA")</f>
        <v>Fuera de SLA</v>
      </c>
    </row>
    <row r="299" spans="1:18" x14ac:dyDescent="0.25">
      <c r="A299" t="s">
        <v>79</v>
      </c>
      <c r="B299" s="1">
        <v>46244</v>
      </c>
      <c r="C299" t="s">
        <v>14</v>
      </c>
      <c r="D299" t="s">
        <v>15</v>
      </c>
      <c r="E299" t="s">
        <v>16</v>
      </c>
      <c r="F299" t="s">
        <v>31</v>
      </c>
      <c r="G299" t="s">
        <v>80</v>
      </c>
      <c r="H299">
        <v>4</v>
      </c>
      <c r="I299" s="12">
        <v>140</v>
      </c>
      <c r="J299" s="12">
        <v>75</v>
      </c>
      <c r="K299">
        <v>3</v>
      </c>
      <c r="L299">
        <v>3</v>
      </c>
      <c r="M299">
        <v>500</v>
      </c>
      <c r="N299" s="12">
        <f>+gemini_code_1787702791259[[#This Row],[Cantidad]]*gemini_code_1787702791259[[#This Row],[Precio_Unitario_USD]]</f>
        <v>560</v>
      </c>
      <c r="O299" s="12">
        <f>+gemini_code_1787702791259[[#This Row],[Cantidad]]*gemini_code_1787702791259[[#This Row],[Costo_Unitario_USD]]</f>
        <v>300</v>
      </c>
      <c r="P299" s="12">
        <f>+gemini_code_1787702791259[[#This Row],[venta total]]-gemini_code_1787702791259[[#This Row],[Costo total]]</f>
        <v>260</v>
      </c>
      <c r="Q299" s="2">
        <f>gemini_code_1787702791259[[#This Row],[Ganancia bruta]]/gemini_code_1787702791259[[#This Row],[venta total]]</f>
        <v>0.4642857142857143</v>
      </c>
      <c r="R299" t="str">
        <f>IF(gemini_code_1787702791259[[#This Row],[Dias_Entrega]]&lt;=gemini_code_1787702791259[[#This Row],[Promesa_SLA_Dias]],"A tiempo","Fuera de SLA")</f>
        <v>A tiempo</v>
      </c>
    </row>
    <row r="300" spans="1:18" x14ac:dyDescent="0.25">
      <c r="A300" t="s">
        <v>81</v>
      </c>
      <c r="B300" s="1">
        <v>46244</v>
      </c>
      <c r="C300" t="s">
        <v>20</v>
      </c>
      <c r="D300" t="s">
        <v>21</v>
      </c>
      <c r="E300" t="s">
        <v>22</v>
      </c>
      <c r="F300" t="s">
        <v>17</v>
      </c>
      <c r="G300" t="s">
        <v>82</v>
      </c>
      <c r="H300">
        <v>6</v>
      </c>
      <c r="I300" s="12">
        <v>90</v>
      </c>
      <c r="J300" s="12">
        <v>50</v>
      </c>
      <c r="K300">
        <v>1</v>
      </c>
      <c r="L300">
        <v>2</v>
      </c>
      <c r="M300">
        <v>500</v>
      </c>
      <c r="N300" s="12">
        <f>+gemini_code_1787702791259[[#This Row],[Cantidad]]*gemini_code_1787702791259[[#This Row],[Precio_Unitario_USD]]</f>
        <v>540</v>
      </c>
      <c r="O300" s="12">
        <f>+gemini_code_1787702791259[[#This Row],[Cantidad]]*gemini_code_1787702791259[[#This Row],[Costo_Unitario_USD]]</f>
        <v>300</v>
      </c>
      <c r="P300" s="12">
        <f>+gemini_code_1787702791259[[#This Row],[venta total]]-gemini_code_1787702791259[[#This Row],[Costo total]]</f>
        <v>240</v>
      </c>
      <c r="Q300" s="2">
        <f>gemini_code_1787702791259[[#This Row],[Ganancia bruta]]/gemini_code_1787702791259[[#This Row],[venta total]]</f>
        <v>0.44444444444444442</v>
      </c>
      <c r="R300" t="str">
        <f>IF(gemini_code_1787702791259[[#This Row],[Dias_Entrega]]&lt;=gemini_code_1787702791259[[#This Row],[Promesa_SLA_Dias]],"A tiempo","Fuera de SLA")</f>
        <v>A tiempo</v>
      </c>
    </row>
    <row r="301" spans="1:18" x14ac:dyDescent="0.25">
      <c r="A301" t="s">
        <v>83</v>
      </c>
      <c r="B301" s="1">
        <v>46244</v>
      </c>
      <c r="C301" t="s">
        <v>26</v>
      </c>
      <c r="D301" t="s">
        <v>27</v>
      </c>
      <c r="E301" t="s">
        <v>16</v>
      </c>
      <c r="F301" t="s">
        <v>23</v>
      </c>
      <c r="G301" t="s">
        <v>84</v>
      </c>
      <c r="H301">
        <v>6</v>
      </c>
      <c r="I301" s="12">
        <v>60</v>
      </c>
      <c r="J301" s="12">
        <v>28</v>
      </c>
      <c r="K301">
        <v>5</v>
      </c>
      <c r="L301">
        <v>3</v>
      </c>
      <c r="M301">
        <v>350</v>
      </c>
      <c r="N301" s="12">
        <f>+gemini_code_1787702791259[[#This Row],[Cantidad]]*gemini_code_1787702791259[[#This Row],[Precio_Unitario_USD]]</f>
        <v>360</v>
      </c>
      <c r="O301" s="12">
        <f>+gemini_code_1787702791259[[#This Row],[Cantidad]]*gemini_code_1787702791259[[#This Row],[Costo_Unitario_USD]]</f>
        <v>168</v>
      </c>
      <c r="P301" s="12">
        <f>+gemini_code_1787702791259[[#This Row],[venta total]]-gemini_code_1787702791259[[#This Row],[Costo total]]</f>
        <v>192</v>
      </c>
      <c r="Q301" s="2">
        <f>gemini_code_1787702791259[[#This Row],[Ganancia bruta]]/gemini_code_1787702791259[[#This Row],[venta total]]</f>
        <v>0.53333333333333333</v>
      </c>
      <c r="R301" t="str">
        <f>IF(gemini_code_1787702791259[[#This Row],[Dias_Entrega]]&lt;=gemini_code_1787702791259[[#This Row],[Promesa_SLA_Dias]],"A tiempo","Fuera de SLA")</f>
        <v>Fuera de SLA</v>
      </c>
    </row>
    <row r="302" spans="1:18" x14ac:dyDescent="0.25">
      <c r="A302" t="s">
        <v>13</v>
      </c>
      <c r="B302" s="1">
        <v>46235</v>
      </c>
      <c r="C302" t="s">
        <v>14</v>
      </c>
      <c r="D302" t="s">
        <v>15</v>
      </c>
      <c r="E302" t="s">
        <v>16</v>
      </c>
      <c r="F302" t="s">
        <v>17</v>
      </c>
      <c r="G302" t="s">
        <v>18</v>
      </c>
      <c r="H302">
        <v>2</v>
      </c>
      <c r="I302" s="12">
        <v>850</v>
      </c>
      <c r="J302" s="12">
        <v>600</v>
      </c>
      <c r="K302">
        <v>2</v>
      </c>
      <c r="L302">
        <v>3</v>
      </c>
      <c r="M302">
        <v>1500</v>
      </c>
      <c r="N302" s="12">
        <f>+gemini_code_1787702791259[[#This Row],[Cantidad]]*gemini_code_1787702791259[[#This Row],[Precio_Unitario_USD]]</f>
        <v>1700</v>
      </c>
      <c r="O302" s="12">
        <f>+gemini_code_1787702791259[[#This Row],[Cantidad]]*gemini_code_1787702791259[[#This Row],[Costo_Unitario_USD]]</f>
        <v>1200</v>
      </c>
      <c r="P302" s="12">
        <f>+gemini_code_1787702791259[[#This Row],[venta total]]-gemini_code_1787702791259[[#This Row],[Costo total]]</f>
        <v>500</v>
      </c>
      <c r="Q302" s="2">
        <f>gemini_code_1787702791259[[#This Row],[Ganancia bruta]]/gemini_code_1787702791259[[#This Row],[venta total]]</f>
        <v>0.29411764705882354</v>
      </c>
      <c r="R302" t="str">
        <f>IF(gemini_code_1787702791259[[#This Row],[Dias_Entrega]]&lt;=gemini_code_1787702791259[[#This Row],[Promesa_SLA_Dias]],"A tiempo","Fuera de SLA")</f>
        <v>A tiempo</v>
      </c>
    </row>
    <row r="303" spans="1:18" x14ac:dyDescent="0.25">
      <c r="A303" t="s">
        <v>19</v>
      </c>
      <c r="B303" s="1">
        <v>46235</v>
      </c>
      <c r="C303" t="s">
        <v>20</v>
      </c>
      <c r="D303" t="s">
        <v>21</v>
      </c>
      <c r="E303" t="s">
        <v>22</v>
      </c>
      <c r="F303" t="s">
        <v>23</v>
      </c>
      <c r="G303" t="s">
        <v>24</v>
      </c>
      <c r="H303">
        <v>5</v>
      </c>
      <c r="I303" s="12">
        <v>120</v>
      </c>
      <c r="J303" s="12">
        <v>70</v>
      </c>
      <c r="K303">
        <v>3</v>
      </c>
      <c r="L303">
        <v>3</v>
      </c>
      <c r="M303">
        <v>500</v>
      </c>
      <c r="N303" s="12">
        <f>+gemini_code_1787702791259[[#This Row],[Cantidad]]*gemini_code_1787702791259[[#This Row],[Precio_Unitario_USD]]</f>
        <v>600</v>
      </c>
      <c r="O303" s="12">
        <f>+gemini_code_1787702791259[[#This Row],[Cantidad]]*gemini_code_1787702791259[[#This Row],[Costo_Unitario_USD]]</f>
        <v>350</v>
      </c>
      <c r="P303" s="12">
        <f>+gemini_code_1787702791259[[#This Row],[venta total]]-gemini_code_1787702791259[[#This Row],[Costo total]]</f>
        <v>250</v>
      </c>
      <c r="Q303" s="2">
        <f>gemini_code_1787702791259[[#This Row],[Ganancia bruta]]/gemini_code_1787702791259[[#This Row],[venta total]]</f>
        <v>0.41666666666666669</v>
      </c>
      <c r="R303" t="str">
        <f>IF(gemini_code_1787702791259[[#This Row],[Dias_Entrega]]&lt;=gemini_code_1787702791259[[#This Row],[Promesa_SLA_Dias]],"A tiempo","Fuera de SLA")</f>
        <v>A tiempo</v>
      </c>
    </row>
    <row r="304" spans="1:18" x14ac:dyDescent="0.25">
      <c r="A304" t="s">
        <v>25</v>
      </c>
      <c r="B304" s="1">
        <v>46235</v>
      </c>
      <c r="C304" t="s">
        <v>26</v>
      </c>
      <c r="D304" t="s">
        <v>27</v>
      </c>
      <c r="E304" t="s">
        <v>16</v>
      </c>
      <c r="F304" t="s">
        <v>28</v>
      </c>
      <c r="G304" t="s">
        <v>29</v>
      </c>
      <c r="H304">
        <v>3</v>
      </c>
      <c r="I304" s="12">
        <v>90</v>
      </c>
      <c r="J304" s="12">
        <v>50</v>
      </c>
      <c r="K304">
        <v>6</v>
      </c>
      <c r="L304">
        <v>4</v>
      </c>
      <c r="M304">
        <v>300</v>
      </c>
      <c r="N304" s="12">
        <f>+gemini_code_1787702791259[[#This Row],[Cantidad]]*gemini_code_1787702791259[[#This Row],[Precio_Unitario_USD]]</f>
        <v>270</v>
      </c>
      <c r="O304" s="12">
        <f>+gemini_code_1787702791259[[#This Row],[Cantidad]]*gemini_code_1787702791259[[#This Row],[Costo_Unitario_USD]]</f>
        <v>150</v>
      </c>
      <c r="P304" s="12">
        <f>+gemini_code_1787702791259[[#This Row],[venta total]]-gemini_code_1787702791259[[#This Row],[Costo total]]</f>
        <v>120</v>
      </c>
      <c r="Q304" s="2">
        <f>gemini_code_1787702791259[[#This Row],[Ganancia bruta]]/gemini_code_1787702791259[[#This Row],[venta total]]</f>
        <v>0.44444444444444442</v>
      </c>
      <c r="R304" t="str">
        <f>IF(gemini_code_1787702791259[[#This Row],[Dias_Entrega]]&lt;=gemini_code_1787702791259[[#This Row],[Promesa_SLA_Dias]],"A tiempo","Fuera de SLA")</f>
        <v>Fuera de SLA</v>
      </c>
    </row>
    <row r="305" spans="1:18" x14ac:dyDescent="0.25">
      <c r="A305" t="s">
        <v>30</v>
      </c>
      <c r="B305" s="1">
        <v>46236</v>
      </c>
      <c r="C305" t="s">
        <v>14</v>
      </c>
      <c r="D305" t="s">
        <v>15</v>
      </c>
      <c r="E305" t="s">
        <v>22</v>
      </c>
      <c r="F305" t="s">
        <v>31</v>
      </c>
      <c r="G305" t="s">
        <v>32</v>
      </c>
      <c r="H305">
        <v>4</v>
      </c>
      <c r="I305" s="12">
        <v>110</v>
      </c>
      <c r="J305" s="12">
        <v>60</v>
      </c>
      <c r="K305">
        <v>1</v>
      </c>
      <c r="L305">
        <v>2</v>
      </c>
      <c r="M305">
        <v>400</v>
      </c>
      <c r="N305" s="12">
        <f>+gemini_code_1787702791259[[#This Row],[Cantidad]]*gemini_code_1787702791259[[#This Row],[Precio_Unitario_USD]]</f>
        <v>440</v>
      </c>
      <c r="O305" s="12">
        <f>+gemini_code_1787702791259[[#This Row],[Cantidad]]*gemini_code_1787702791259[[#This Row],[Costo_Unitario_USD]]</f>
        <v>240</v>
      </c>
      <c r="P305" s="12">
        <f>+gemini_code_1787702791259[[#This Row],[venta total]]-gemini_code_1787702791259[[#This Row],[Costo total]]</f>
        <v>200</v>
      </c>
      <c r="Q305" s="2">
        <f>gemini_code_1787702791259[[#This Row],[Ganancia bruta]]/gemini_code_1787702791259[[#This Row],[venta total]]</f>
        <v>0.45454545454545453</v>
      </c>
      <c r="R305" t="str">
        <f>IF(gemini_code_1787702791259[[#This Row],[Dias_Entrega]]&lt;=gemini_code_1787702791259[[#This Row],[Promesa_SLA_Dias]],"A tiempo","Fuera de SLA")</f>
        <v>A tiempo</v>
      </c>
    </row>
    <row r="306" spans="1:18" x14ac:dyDescent="0.25">
      <c r="A306" t="s">
        <v>33</v>
      </c>
      <c r="B306" s="1">
        <v>46236</v>
      </c>
      <c r="C306" t="s">
        <v>20</v>
      </c>
      <c r="D306" t="s">
        <v>21</v>
      </c>
      <c r="E306" t="s">
        <v>16</v>
      </c>
      <c r="F306" t="s">
        <v>17</v>
      </c>
      <c r="G306" t="s">
        <v>34</v>
      </c>
      <c r="H306">
        <v>3</v>
      </c>
      <c r="I306" s="12">
        <v>650</v>
      </c>
      <c r="J306" s="12">
        <v>450</v>
      </c>
      <c r="K306">
        <v>2</v>
      </c>
      <c r="L306">
        <v>3</v>
      </c>
      <c r="M306">
        <v>1800</v>
      </c>
      <c r="N306" s="12">
        <f>+gemini_code_1787702791259[[#This Row],[Cantidad]]*gemini_code_1787702791259[[#This Row],[Precio_Unitario_USD]]</f>
        <v>1950</v>
      </c>
      <c r="O306" s="12">
        <f>+gemini_code_1787702791259[[#This Row],[Cantidad]]*gemini_code_1787702791259[[#This Row],[Costo_Unitario_USD]]</f>
        <v>1350</v>
      </c>
      <c r="P306" s="12">
        <f>+gemini_code_1787702791259[[#This Row],[venta total]]-gemini_code_1787702791259[[#This Row],[Costo total]]</f>
        <v>600</v>
      </c>
      <c r="Q306" s="2">
        <f>gemini_code_1787702791259[[#This Row],[Ganancia bruta]]/gemini_code_1787702791259[[#This Row],[venta total]]</f>
        <v>0.30769230769230771</v>
      </c>
      <c r="R306" t="str">
        <f>IF(gemini_code_1787702791259[[#This Row],[Dias_Entrega]]&lt;=gemini_code_1787702791259[[#This Row],[Promesa_SLA_Dias]],"A tiempo","Fuera de SLA")</f>
        <v>A tiempo</v>
      </c>
    </row>
    <row r="307" spans="1:18" x14ac:dyDescent="0.25">
      <c r="A307" t="s">
        <v>35</v>
      </c>
      <c r="B307" s="1">
        <v>46236</v>
      </c>
      <c r="C307" t="s">
        <v>26</v>
      </c>
      <c r="D307" t="s">
        <v>27</v>
      </c>
      <c r="E307" t="s">
        <v>16</v>
      </c>
      <c r="F307" t="s">
        <v>23</v>
      </c>
      <c r="G307" t="s">
        <v>36</v>
      </c>
      <c r="H307">
        <v>8</v>
      </c>
      <c r="I307" s="12">
        <v>45</v>
      </c>
      <c r="J307" s="12">
        <v>20</v>
      </c>
      <c r="K307">
        <v>5</v>
      </c>
      <c r="L307">
        <v>3</v>
      </c>
      <c r="M307">
        <v>400</v>
      </c>
      <c r="N307" s="12">
        <f>+gemini_code_1787702791259[[#This Row],[Cantidad]]*gemini_code_1787702791259[[#This Row],[Precio_Unitario_USD]]</f>
        <v>360</v>
      </c>
      <c r="O307" s="12">
        <f>+gemini_code_1787702791259[[#This Row],[Cantidad]]*gemini_code_1787702791259[[#This Row],[Costo_Unitario_USD]]</f>
        <v>160</v>
      </c>
      <c r="P307" s="12">
        <f>+gemini_code_1787702791259[[#This Row],[venta total]]-gemini_code_1787702791259[[#This Row],[Costo total]]</f>
        <v>200</v>
      </c>
      <c r="Q307" s="2">
        <f>gemini_code_1787702791259[[#This Row],[Ganancia bruta]]/gemini_code_1787702791259[[#This Row],[venta total]]</f>
        <v>0.55555555555555558</v>
      </c>
      <c r="R307" t="str">
        <f>IF(gemini_code_1787702791259[[#This Row],[Dias_Entrega]]&lt;=gemini_code_1787702791259[[#This Row],[Promesa_SLA_Dias]],"A tiempo","Fuera de SLA")</f>
        <v>Fuera de SLA</v>
      </c>
    </row>
    <row r="308" spans="1:18" x14ac:dyDescent="0.25">
      <c r="A308" t="s">
        <v>37</v>
      </c>
      <c r="B308" s="1">
        <v>46237</v>
      </c>
      <c r="C308" t="s">
        <v>14</v>
      </c>
      <c r="D308" t="s">
        <v>15</v>
      </c>
      <c r="E308" t="s">
        <v>16</v>
      </c>
      <c r="F308" t="s">
        <v>28</v>
      </c>
      <c r="G308" t="s">
        <v>38</v>
      </c>
      <c r="H308">
        <v>2</v>
      </c>
      <c r="I308" s="12">
        <v>280</v>
      </c>
      <c r="J308" s="12">
        <v>180</v>
      </c>
      <c r="K308">
        <v>3</v>
      </c>
      <c r="L308">
        <v>3</v>
      </c>
      <c r="M308">
        <v>500</v>
      </c>
      <c r="N308" s="12">
        <f>+gemini_code_1787702791259[[#This Row],[Cantidad]]*gemini_code_1787702791259[[#This Row],[Precio_Unitario_USD]]</f>
        <v>560</v>
      </c>
      <c r="O308" s="12">
        <f>+gemini_code_1787702791259[[#This Row],[Cantidad]]*gemini_code_1787702791259[[#This Row],[Costo_Unitario_USD]]</f>
        <v>360</v>
      </c>
      <c r="P308" s="12">
        <f>+gemini_code_1787702791259[[#This Row],[venta total]]-gemini_code_1787702791259[[#This Row],[Costo total]]</f>
        <v>200</v>
      </c>
      <c r="Q308" s="2">
        <f>gemini_code_1787702791259[[#This Row],[Ganancia bruta]]/gemini_code_1787702791259[[#This Row],[venta total]]</f>
        <v>0.35714285714285715</v>
      </c>
      <c r="R308" t="str">
        <f>IF(gemini_code_1787702791259[[#This Row],[Dias_Entrega]]&lt;=gemini_code_1787702791259[[#This Row],[Promesa_SLA_Dias]],"A tiempo","Fuera de SLA")</f>
        <v>A tiempo</v>
      </c>
    </row>
    <row r="309" spans="1:18" x14ac:dyDescent="0.25">
      <c r="A309" t="s">
        <v>39</v>
      </c>
      <c r="B309" s="1">
        <v>46237</v>
      </c>
      <c r="C309" t="s">
        <v>20</v>
      </c>
      <c r="D309" t="s">
        <v>21</v>
      </c>
      <c r="E309" t="s">
        <v>22</v>
      </c>
      <c r="F309" t="s">
        <v>31</v>
      </c>
      <c r="G309" t="s">
        <v>40</v>
      </c>
      <c r="H309">
        <v>3</v>
      </c>
      <c r="I309" s="12">
        <v>150</v>
      </c>
      <c r="J309" s="12">
        <v>85</v>
      </c>
      <c r="K309">
        <v>2</v>
      </c>
      <c r="L309">
        <v>2</v>
      </c>
      <c r="M309">
        <v>400</v>
      </c>
      <c r="N309" s="12">
        <f>+gemini_code_1787702791259[[#This Row],[Cantidad]]*gemini_code_1787702791259[[#This Row],[Precio_Unitario_USD]]</f>
        <v>450</v>
      </c>
      <c r="O309" s="12">
        <f>+gemini_code_1787702791259[[#This Row],[Cantidad]]*gemini_code_1787702791259[[#This Row],[Costo_Unitario_USD]]</f>
        <v>255</v>
      </c>
      <c r="P309" s="12">
        <f>+gemini_code_1787702791259[[#This Row],[venta total]]-gemini_code_1787702791259[[#This Row],[Costo total]]</f>
        <v>195</v>
      </c>
      <c r="Q309" s="2">
        <f>gemini_code_1787702791259[[#This Row],[Ganancia bruta]]/gemini_code_1787702791259[[#This Row],[venta total]]</f>
        <v>0.43333333333333335</v>
      </c>
      <c r="R309" t="str">
        <f>IF(gemini_code_1787702791259[[#This Row],[Dias_Entrega]]&lt;=gemini_code_1787702791259[[#This Row],[Promesa_SLA_Dias]],"A tiempo","Fuera de SLA")</f>
        <v>A tiempo</v>
      </c>
    </row>
    <row r="310" spans="1:18" x14ac:dyDescent="0.25">
      <c r="A310" t="s">
        <v>41</v>
      </c>
      <c r="B310" s="1">
        <v>46237</v>
      </c>
      <c r="C310" t="s">
        <v>26</v>
      </c>
      <c r="D310" t="s">
        <v>27</v>
      </c>
      <c r="E310" t="s">
        <v>16</v>
      </c>
      <c r="F310" t="s">
        <v>17</v>
      </c>
      <c r="G310" t="s">
        <v>42</v>
      </c>
      <c r="H310">
        <v>2</v>
      </c>
      <c r="I310" s="12">
        <v>520</v>
      </c>
      <c r="J310" s="12">
        <v>380</v>
      </c>
      <c r="K310">
        <v>7</v>
      </c>
      <c r="L310">
        <v>4</v>
      </c>
      <c r="M310">
        <v>1000</v>
      </c>
      <c r="N310" s="12">
        <f>+gemini_code_1787702791259[[#This Row],[Cantidad]]*gemini_code_1787702791259[[#This Row],[Precio_Unitario_USD]]</f>
        <v>1040</v>
      </c>
      <c r="O310" s="12">
        <f>+gemini_code_1787702791259[[#This Row],[Cantidad]]*gemini_code_1787702791259[[#This Row],[Costo_Unitario_USD]]</f>
        <v>760</v>
      </c>
      <c r="P310" s="12">
        <f>+gemini_code_1787702791259[[#This Row],[venta total]]-gemini_code_1787702791259[[#This Row],[Costo total]]</f>
        <v>280</v>
      </c>
      <c r="Q310" s="2">
        <f>gemini_code_1787702791259[[#This Row],[Ganancia bruta]]/gemini_code_1787702791259[[#This Row],[venta total]]</f>
        <v>0.26923076923076922</v>
      </c>
      <c r="R310" t="str">
        <f>IF(gemini_code_1787702791259[[#This Row],[Dias_Entrega]]&lt;=gemini_code_1787702791259[[#This Row],[Promesa_SLA_Dias]],"A tiempo","Fuera de SLA")</f>
        <v>Fuera de SLA</v>
      </c>
    </row>
    <row r="311" spans="1:18" x14ac:dyDescent="0.25">
      <c r="A311" t="s">
        <v>43</v>
      </c>
      <c r="B311" s="1">
        <v>46238</v>
      </c>
      <c r="C311" t="s">
        <v>14</v>
      </c>
      <c r="D311" t="s">
        <v>15</v>
      </c>
      <c r="E311" t="s">
        <v>22</v>
      </c>
      <c r="F311" t="s">
        <v>23</v>
      </c>
      <c r="G311" t="s">
        <v>44</v>
      </c>
      <c r="H311">
        <v>6</v>
      </c>
      <c r="I311" s="12">
        <v>55</v>
      </c>
      <c r="J311" s="12">
        <v>25</v>
      </c>
      <c r="K311">
        <v>2</v>
      </c>
      <c r="L311">
        <v>3</v>
      </c>
      <c r="M311">
        <v>300</v>
      </c>
      <c r="N311" s="12">
        <f>+gemini_code_1787702791259[[#This Row],[Cantidad]]*gemini_code_1787702791259[[#This Row],[Precio_Unitario_USD]]</f>
        <v>330</v>
      </c>
      <c r="O311" s="12">
        <f>+gemini_code_1787702791259[[#This Row],[Cantidad]]*gemini_code_1787702791259[[#This Row],[Costo_Unitario_USD]]</f>
        <v>150</v>
      </c>
      <c r="P311" s="12">
        <f>+gemini_code_1787702791259[[#This Row],[venta total]]-gemini_code_1787702791259[[#This Row],[Costo total]]</f>
        <v>180</v>
      </c>
      <c r="Q311" s="2">
        <f>gemini_code_1787702791259[[#This Row],[Ganancia bruta]]/gemini_code_1787702791259[[#This Row],[venta total]]</f>
        <v>0.54545454545454541</v>
      </c>
      <c r="R311" t="str">
        <f>IF(gemini_code_1787702791259[[#This Row],[Dias_Entrega]]&lt;=gemini_code_1787702791259[[#This Row],[Promesa_SLA_Dias]],"A tiempo","Fuera de SLA")</f>
        <v>A tiempo</v>
      </c>
    </row>
    <row r="312" spans="1:18" x14ac:dyDescent="0.25">
      <c r="A312" t="s">
        <v>45</v>
      </c>
      <c r="B312" s="1">
        <v>46238</v>
      </c>
      <c r="C312" t="s">
        <v>20</v>
      </c>
      <c r="D312" t="s">
        <v>21</v>
      </c>
      <c r="E312" t="s">
        <v>16</v>
      </c>
      <c r="F312" t="s">
        <v>28</v>
      </c>
      <c r="G312" t="s">
        <v>46</v>
      </c>
      <c r="H312">
        <v>1</v>
      </c>
      <c r="I312" s="12">
        <v>450</v>
      </c>
      <c r="J312" s="12">
        <v>290</v>
      </c>
      <c r="K312">
        <v>4</v>
      </c>
      <c r="L312">
        <v>3</v>
      </c>
      <c r="M312">
        <v>400</v>
      </c>
      <c r="N312" s="12">
        <f>+gemini_code_1787702791259[[#This Row],[Cantidad]]*gemini_code_1787702791259[[#This Row],[Precio_Unitario_USD]]</f>
        <v>450</v>
      </c>
      <c r="O312" s="12">
        <f>+gemini_code_1787702791259[[#This Row],[Cantidad]]*gemini_code_1787702791259[[#This Row],[Costo_Unitario_USD]]</f>
        <v>290</v>
      </c>
      <c r="P312" s="12">
        <f>+gemini_code_1787702791259[[#This Row],[venta total]]-gemini_code_1787702791259[[#This Row],[Costo total]]</f>
        <v>160</v>
      </c>
      <c r="Q312" s="2">
        <f>gemini_code_1787702791259[[#This Row],[Ganancia bruta]]/gemini_code_1787702791259[[#This Row],[venta total]]</f>
        <v>0.35555555555555557</v>
      </c>
      <c r="R312" t="str">
        <f>IF(gemini_code_1787702791259[[#This Row],[Dias_Entrega]]&lt;=gemini_code_1787702791259[[#This Row],[Promesa_SLA_Dias]],"A tiempo","Fuera de SLA")</f>
        <v>Fuera de SLA</v>
      </c>
    </row>
    <row r="313" spans="1:18" x14ac:dyDescent="0.25">
      <c r="A313" t="s">
        <v>47</v>
      </c>
      <c r="B313" s="1">
        <v>46238</v>
      </c>
      <c r="C313" t="s">
        <v>26</v>
      </c>
      <c r="D313" t="s">
        <v>27</v>
      </c>
      <c r="E313" t="s">
        <v>22</v>
      </c>
      <c r="F313" t="s">
        <v>31</v>
      </c>
      <c r="G313" t="s">
        <v>48</v>
      </c>
      <c r="H313">
        <v>10</v>
      </c>
      <c r="I313" s="12">
        <v>35</v>
      </c>
      <c r="J313" s="12">
        <v>15</v>
      </c>
      <c r="K313">
        <v>4</v>
      </c>
      <c r="L313">
        <v>3</v>
      </c>
      <c r="M313">
        <v>300</v>
      </c>
      <c r="N313" s="12">
        <f>+gemini_code_1787702791259[[#This Row],[Cantidad]]*gemini_code_1787702791259[[#This Row],[Precio_Unitario_USD]]</f>
        <v>350</v>
      </c>
      <c r="O313" s="12">
        <f>+gemini_code_1787702791259[[#This Row],[Cantidad]]*gemini_code_1787702791259[[#This Row],[Costo_Unitario_USD]]</f>
        <v>150</v>
      </c>
      <c r="P313" s="12">
        <f>+gemini_code_1787702791259[[#This Row],[venta total]]-gemini_code_1787702791259[[#This Row],[Costo total]]</f>
        <v>200</v>
      </c>
      <c r="Q313" s="2">
        <f>gemini_code_1787702791259[[#This Row],[Ganancia bruta]]/gemini_code_1787702791259[[#This Row],[venta total]]</f>
        <v>0.5714285714285714</v>
      </c>
      <c r="R313" t="str">
        <f>IF(gemini_code_1787702791259[[#This Row],[Dias_Entrega]]&lt;=gemini_code_1787702791259[[#This Row],[Promesa_SLA_Dias]],"A tiempo","Fuera de SLA")</f>
        <v>Fuera de SLA</v>
      </c>
    </row>
    <row r="314" spans="1:18" x14ac:dyDescent="0.25">
      <c r="A314" t="s">
        <v>49</v>
      </c>
      <c r="B314" s="1">
        <v>46239</v>
      </c>
      <c r="C314" t="s">
        <v>14</v>
      </c>
      <c r="D314" t="s">
        <v>15</v>
      </c>
      <c r="E314" t="s">
        <v>16</v>
      </c>
      <c r="F314" t="s">
        <v>17</v>
      </c>
      <c r="G314" t="s">
        <v>50</v>
      </c>
      <c r="H314">
        <v>4</v>
      </c>
      <c r="I314" s="12">
        <v>220</v>
      </c>
      <c r="J314" s="12">
        <v>140</v>
      </c>
      <c r="K314">
        <v>2</v>
      </c>
      <c r="L314">
        <v>3</v>
      </c>
      <c r="M314">
        <v>800</v>
      </c>
      <c r="N314" s="12">
        <f>+gemini_code_1787702791259[[#This Row],[Cantidad]]*gemini_code_1787702791259[[#This Row],[Precio_Unitario_USD]]</f>
        <v>880</v>
      </c>
      <c r="O314" s="12">
        <f>+gemini_code_1787702791259[[#This Row],[Cantidad]]*gemini_code_1787702791259[[#This Row],[Costo_Unitario_USD]]</f>
        <v>560</v>
      </c>
      <c r="P314" s="12">
        <f>+gemini_code_1787702791259[[#This Row],[venta total]]-gemini_code_1787702791259[[#This Row],[Costo total]]</f>
        <v>320</v>
      </c>
      <c r="Q314" s="2">
        <f>gemini_code_1787702791259[[#This Row],[Ganancia bruta]]/gemini_code_1787702791259[[#This Row],[venta total]]</f>
        <v>0.36363636363636365</v>
      </c>
      <c r="R314" t="str">
        <f>IF(gemini_code_1787702791259[[#This Row],[Dias_Entrega]]&lt;=gemini_code_1787702791259[[#This Row],[Promesa_SLA_Dias]],"A tiempo","Fuera de SLA")</f>
        <v>A tiempo</v>
      </c>
    </row>
    <row r="315" spans="1:18" x14ac:dyDescent="0.25">
      <c r="A315" t="s">
        <v>51</v>
      </c>
      <c r="B315" s="1">
        <v>46239</v>
      </c>
      <c r="C315" t="s">
        <v>20</v>
      </c>
      <c r="D315" t="s">
        <v>21</v>
      </c>
      <c r="E315" t="s">
        <v>16</v>
      </c>
      <c r="F315" t="s">
        <v>23</v>
      </c>
      <c r="G315" t="s">
        <v>52</v>
      </c>
      <c r="H315">
        <v>5</v>
      </c>
      <c r="I315" s="12">
        <v>65</v>
      </c>
      <c r="J315" s="12">
        <v>30</v>
      </c>
      <c r="K315">
        <v>2</v>
      </c>
      <c r="L315">
        <v>3</v>
      </c>
      <c r="M315">
        <v>300</v>
      </c>
      <c r="N315" s="12">
        <f>+gemini_code_1787702791259[[#This Row],[Cantidad]]*gemini_code_1787702791259[[#This Row],[Precio_Unitario_USD]]</f>
        <v>325</v>
      </c>
      <c r="O315" s="12">
        <f>+gemini_code_1787702791259[[#This Row],[Cantidad]]*gemini_code_1787702791259[[#This Row],[Costo_Unitario_USD]]</f>
        <v>150</v>
      </c>
      <c r="P315" s="12">
        <f>+gemini_code_1787702791259[[#This Row],[venta total]]-gemini_code_1787702791259[[#This Row],[Costo total]]</f>
        <v>175</v>
      </c>
      <c r="Q315" s="2">
        <f>gemini_code_1787702791259[[#This Row],[Ganancia bruta]]/gemini_code_1787702791259[[#This Row],[venta total]]</f>
        <v>0.53846153846153844</v>
      </c>
      <c r="R315" t="str">
        <f>IF(gemini_code_1787702791259[[#This Row],[Dias_Entrega]]&lt;=gemini_code_1787702791259[[#This Row],[Promesa_SLA_Dias]],"A tiempo","Fuera de SLA")</f>
        <v>A tiempo</v>
      </c>
    </row>
    <row r="316" spans="1:18" x14ac:dyDescent="0.25">
      <c r="A316" t="s">
        <v>53</v>
      </c>
      <c r="B316" s="1">
        <v>46239</v>
      </c>
      <c r="C316" t="s">
        <v>26</v>
      </c>
      <c r="D316" t="s">
        <v>27</v>
      </c>
      <c r="E316" t="s">
        <v>16</v>
      </c>
      <c r="F316" t="s">
        <v>28</v>
      </c>
      <c r="G316" t="s">
        <v>54</v>
      </c>
      <c r="H316">
        <v>2</v>
      </c>
      <c r="I316" s="12">
        <v>180</v>
      </c>
      <c r="J316" s="12">
        <v>110</v>
      </c>
      <c r="K316">
        <v>6</v>
      </c>
      <c r="L316">
        <v>3</v>
      </c>
      <c r="M316">
        <v>350</v>
      </c>
      <c r="N316" s="12">
        <f>+gemini_code_1787702791259[[#This Row],[Cantidad]]*gemini_code_1787702791259[[#This Row],[Precio_Unitario_USD]]</f>
        <v>360</v>
      </c>
      <c r="O316" s="12">
        <f>+gemini_code_1787702791259[[#This Row],[Cantidad]]*gemini_code_1787702791259[[#This Row],[Costo_Unitario_USD]]</f>
        <v>220</v>
      </c>
      <c r="P316" s="12">
        <f>+gemini_code_1787702791259[[#This Row],[venta total]]-gemini_code_1787702791259[[#This Row],[Costo total]]</f>
        <v>140</v>
      </c>
      <c r="Q316" s="2">
        <f>gemini_code_1787702791259[[#This Row],[Ganancia bruta]]/gemini_code_1787702791259[[#This Row],[venta total]]</f>
        <v>0.3888888888888889</v>
      </c>
      <c r="R316" t="str">
        <f>IF(gemini_code_1787702791259[[#This Row],[Dias_Entrega]]&lt;=gemini_code_1787702791259[[#This Row],[Promesa_SLA_Dias]],"A tiempo","Fuera de SLA")</f>
        <v>Fuera de SLA</v>
      </c>
    </row>
    <row r="317" spans="1:18" x14ac:dyDescent="0.25">
      <c r="A317" t="s">
        <v>55</v>
      </c>
      <c r="B317" s="1">
        <v>46240</v>
      </c>
      <c r="C317" t="s">
        <v>14</v>
      </c>
      <c r="D317" t="s">
        <v>15</v>
      </c>
      <c r="E317" t="s">
        <v>22</v>
      </c>
      <c r="F317" t="s">
        <v>31</v>
      </c>
      <c r="G317" t="s">
        <v>56</v>
      </c>
      <c r="H317">
        <v>6</v>
      </c>
      <c r="I317" s="12">
        <v>85</v>
      </c>
      <c r="J317" s="12">
        <v>45</v>
      </c>
      <c r="K317">
        <v>1</v>
      </c>
      <c r="L317">
        <v>2</v>
      </c>
      <c r="M317">
        <v>500</v>
      </c>
      <c r="N317" s="12">
        <f>+gemini_code_1787702791259[[#This Row],[Cantidad]]*gemini_code_1787702791259[[#This Row],[Precio_Unitario_USD]]</f>
        <v>510</v>
      </c>
      <c r="O317" s="12">
        <f>+gemini_code_1787702791259[[#This Row],[Cantidad]]*gemini_code_1787702791259[[#This Row],[Costo_Unitario_USD]]</f>
        <v>270</v>
      </c>
      <c r="P317" s="12">
        <f>+gemini_code_1787702791259[[#This Row],[venta total]]-gemini_code_1787702791259[[#This Row],[Costo total]]</f>
        <v>240</v>
      </c>
      <c r="Q317" s="2">
        <f>gemini_code_1787702791259[[#This Row],[Ganancia bruta]]/gemini_code_1787702791259[[#This Row],[venta total]]</f>
        <v>0.47058823529411764</v>
      </c>
      <c r="R317" t="str">
        <f>IF(gemini_code_1787702791259[[#This Row],[Dias_Entrega]]&lt;=gemini_code_1787702791259[[#This Row],[Promesa_SLA_Dias]],"A tiempo","Fuera de SLA")</f>
        <v>A tiempo</v>
      </c>
    </row>
    <row r="318" spans="1:18" x14ac:dyDescent="0.25">
      <c r="A318" t="s">
        <v>57</v>
      </c>
      <c r="B318" s="1">
        <v>46240</v>
      </c>
      <c r="C318" t="s">
        <v>20</v>
      </c>
      <c r="D318" t="s">
        <v>21</v>
      </c>
      <c r="E318" t="s">
        <v>16</v>
      </c>
      <c r="F318" t="s">
        <v>17</v>
      </c>
      <c r="G318" t="s">
        <v>58</v>
      </c>
      <c r="H318">
        <v>12</v>
      </c>
      <c r="I318" s="12">
        <v>75</v>
      </c>
      <c r="J318" s="12">
        <v>35</v>
      </c>
      <c r="K318">
        <v>1</v>
      </c>
      <c r="L318">
        <v>2</v>
      </c>
      <c r="M318">
        <v>800</v>
      </c>
      <c r="N318" s="12">
        <f>+gemini_code_1787702791259[[#This Row],[Cantidad]]*gemini_code_1787702791259[[#This Row],[Precio_Unitario_USD]]</f>
        <v>900</v>
      </c>
      <c r="O318" s="12">
        <f>+gemini_code_1787702791259[[#This Row],[Cantidad]]*gemini_code_1787702791259[[#This Row],[Costo_Unitario_USD]]</f>
        <v>420</v>
      </c>
      <c r="P318" s="12">
        <f>+gemini_code_1787702791259[[#This Row],[venta total]]-gemini_code_1787702791259[[#This Row],[Costo total]]</f>
        <v>480</v>
      </c>
      <c r="Q318" s="2">
        <f>gemini_code_1787702791259[[#This Row],[Ganancia bruta]]/gemini_code_1787702791259[[#This Row],[venta total]]</f>
        <v>0.53333333333333333</v>
      </c>
      <c r="R318" t="str">
        <f>IF(gemini_code_1787702791259[[#This Row],[Dias_Entrega]]&lt;=gemini_code_1787702791259[[#This Row],[Promesa_SLA_Dias]],"A tiempo","Fuera de SLA")</f>
        <v>A tiempo</v>
      </c>
    </row>
    <row r="319" spans="1:18" x14ac:dyDescent="0.25">
      <c r="A319" t="s">
        <v>59</v>
      </c>
      <c r="B319" s="1">
        <v>46240</v>
      </c>
      <c r="C319" t="s">
        <v>26</v>
      </c>
      <c r="D319" t="s">
        <v>27</v>
      </c>
      <c r="E319" t="s">
        <v>22</v>
      </c>
      <c r="F319" t="s">
        <v>23</v>
      </c>
      <c r="G319" t="s">
        <v>60</v>
      </c>
      <c r="H319">
        <v>4</v>
      </c>
      <c r="I319" s="12">
        <v>110</v>
      </c>
      <c r="J319" s="12">
        <v>55</v>
      </c>
      <c r="K319">
        <v>5</v>
      </c>
      <c r="L319">
        <v>3</v>
      </c>
      <c r="M319">
        <v>400</v>
      </c>
      <c r="N319" s="12">
        <f>+gemini_code_1787702791259[[#This Row],[Cantidad]]*gemini_code_1787702791259[[#This Row],[Precio_Unitario_USD]]</f>
        <v>440</v>
      </c>
      <c r="O319" s="12">
        <f>+gemini_code_1787702791259[[#This Row],[Cantidad]]*gemini_code_1787702791259[[#This Row],[Costo_Unitario_USD]]</f>
        <v>220</v>
      </c>
      <c r="P319" s="12">
        <f>+gemini_code_1787702791259[[#This Row],[venta total]]-gemini_code_1787702791259[[#This Row],[Costo total]]</f>
        <v>220</v>
      </c>
      <c r="Q319" s="2">
        <f>gemini_code_1787702791259[[#This Row],[Ganancia bruta]]/gemini_code_1787702791259[[#This Row],[venta total]]</f>
        <v>0.5</v>
      </c>
      <c r="R319" t="str">
        <f>IF(gemini_code_1787702791259[[#This Row],[Dias_Entrega]]&lt;=gemini_code_1787702791259[[#This Row],[Promesa_SLA_Dias]],"A tiempo","Fuera de SLA")</f>
        <v>Fuera de SLA</v>
      </c>
    </row>
    <row r="320" spans="1:18" x14ac:dyDescent="0.25">
      <c r="A320" t="s">
        <v>61</v>
      </c>
      <c r="B320" s="1">
        <v>46241</v>
      </c>
      <c r="C320" t="s">
        <v>14</v>
      </c>
      <c r="D320" t="s">
        <v>15</v>
      </c>
      <c r="E320" t="s">
        <v>16</v>
      </c>
      <c r="F320" t="s">
        <v>28</v>
      </c>
      <c r="G320" t="s">
        <v>62</v>
      </c>
      <c r="H320">
        <v>15</v>
      </c>
      <c r="I320" s="12">
        <v>25</v>
      </c>
      <c r="J320" s="12">
        <v>10</v>
      </c>
      <c r="K320">
        <v>2</v>
      </c>
      <c r="L320">
        <v>3</v>
      </c>
      <c r="M320">
        <v>300</v>
      </c>
      <c r="N320" s="12">
        <f>+gemini_code_1787702791259[[#This Row],[Cantidad]]*gemini_code_1787702791259[[#This Row],[Precio_Unitario_USD]]</f>
        <v>375</v>
      </c>
      <c r="O320" s="12">
        <f>+gemini_code_1787702791259[[#This Row],[Cantidad]]*gemini_code_1787702791259[[#This Row],[Costo_Unitario_USD]]</f>
        <v>150</v>
      </c>
      <c r="P320" s="12">
        <f>+gemini_code_1787702791259[[#This Row],[venta total]]-gemini_code_1787702791259[[#This Row],[Costo total]]</f>
        <v>225</v>
      </c>
      <c r="Q320" s="2">
        <f>gemini_code_1787702791259[[#This Row],[Ganancia bruta]]/gemini_code_1787702791259[[#This Row],[venta total]]</f>
        <v>0.6</v>
      </c>
      <c r="R320" t="str">
        <f>IF(gemini_code_1787702791259[[#This Row],[Dias_Entrega]]&lt;=gemini_code_1787702791259[[#This Row],[Promesa_SLA_Dias]],"A tiempo","Fuera de SLA")</f>
        <v>A tiempo</v>
      </c>
    </row>
    <row r="321" spans="1:18" x14ac:dyDescent="0.25">
      <c r="A321" t="s">
        <v>63</v>
      </c>
      <c r="B321" s="1">
        <v>46241</v>
      </c>
      <c r="C321" t="s">
        <v>20</v>
      </c>
      <c r="D321" t="s">
        <v>21</v>
      </c>
      <c r="E321" t="s">
        <v>22</v>
      </c>
      <c r="F321" t="s">
        <v>31</v>
      </c>
      <c r="G321" t="s">
        <v>64</v>
      </c>
      <c r="H321">
        <v>5</v>
      </c>
      <c r="I321" s="12">
        <v>130</v>
      </c>
      <c r="J321" s="12">
        <v>70</v>
      </c>
      <c r="K321">
        <v>3</v>
      </c>
      <c r="L321">
        <v>3</v>
      </c>
      <c r="M321">
        <v>600</v>
      </c>
      <c r="N321" s="12">
        <f>+gemini_code_1787702791259[[#This Row],[Cantidad]]*gemini_code_1787702791259[[#This Row],[Precio_Unitario_USD]]</f>
        <v>650</v>
      </c>
      <c r="O321" s="12">
        <f>+gemini_code_1787702791259[[#This Row],[Cantidad]]*gemini_code_1787702791259[[#This Row],[Costo_Unitario_USD]]</f>
        <v>350</v>
      </c>
      <c r="P321" s="12">
        <f>+gemini_code_1787702791259[[#This Row],[venta total]]-gemini_code_1787702791259[[#This Row],[Costo total]]</f>
        <v>300</v>
      </c>
      <c r="Q321" s="2">
        <f>gemini_code_1787702791259[[#This Row],[Ganancia bruta]]/gemini_code_1787702791259[[#This Row],[venta total]]</f>
        <v>0.46153846153846156</v>
      </c>
      <c r="R321" t="str">
        <f>IF(gemini_code_1787702791259[[#This Row],[Dias_Entrega]]&lt;=gemini_code_1787702791259[[#This Row],[Promesa_SLA_Dias]],"A tiempo","Fuera de SLA")</f>
        <v>A tiempo</v>
      </c>
    </row>
    <row r="322" spans="1:18" x14ac:dyDescent="0.25">
      <c r="A322" t="s">
        <v>65</v>
      </c>
      <c r="B322" s="1">
        <v>46241</v>
      </c>
      <c r="C322" t="s">
        <v>26</v>
      </c>
      <c r="D322" t="s">
        <v>27</v>
      </c>
      <c r="E322" t="s">
        <v>16</v>
      </c>
      <c r="F322" t="s">
        <v>17</v>
      </c>
      <c r="G322" t="s">
        <v>66</v>
      </c>
      <c r="H322">
        <v>2</v>
      </c>
      <c r="I322" s="12">
        <v>500</v>
      </c>
      <c r="J322" s="12">
        <v>380</v>
      </c>
      <c r="K322">
        <v>6</v>
      </c>
      <c r="L322">
        <v>4</v>
      </c>
      <c r="M322">
        <v>900</v>
      </c>
      <c r="N322" s="12">
        <f>+gemini_code_1787702791259[[#This Row],[Cantidad]]*gemini_code_1787702791259[[#This Row],[Precio_Unitario_USD]]</f>
        <v>1000</v>
      </c>
      <c r="O322" s="12">
        <f>+gemini_code_1787702791259[[#This Row],[Cantidad]]*gemini_code_1787702791259[[#This Row],[Costo_Unitario_USD]]</f>
        <v>760</v>
      </c>
      <c r="P322" s="12">
        <f>+gemini_code_1787702791259[[#This Row],[venta total]]-gemini_code_1787702791259[[#This Row],[Costo total]]</f>
        <v>240</v>
      </c>
      <c r="Q322" s="2">
        <f>gemini_code_1787702791259[[#This Row],[Ganancia bruta]]/gemini_code_1787702791259[[#This Row],[venta total]]</f>
        <v>0.24</v>
      </c>
      <c r="R322" t="str">
        <f>IF(gemini_code_1787702791259[[#This Row],[Dias_Entrega]]&lt;=gemini_code_1787702791259[[#This Row],[Promesa_SLA_Dias]],"A tiempo","Fuera de SLA")</f>
        <v>Fuera de SLA</v>
      </c>
    </row>
    <row r="323" spans="1:18" x14ac:dyDescent="0.25">
      <c r="A323" t="s">
        <v>67</v>
      </c>
      <c r="B323" s="1">
        <v>46242</v>
      </c>
      <c r="C323" t="s">
        <v>14</v>
      </c>
      <c r="D323" t="s">
        <v>15</v>
      </c>
      <c r="E323" t="s">
        <v>16</v>
      </c>
      <c r="F323" t="s">
        <v>23</v>
      </c>
      <c r="G323" t="s">
        <v>68</v>
      </c>
      <c r="H323">
        <v>3</v>
      </c>
      <c r="I323" s="12">
        <v>95</v>
      </c>
      <c r="J323" s="12">
        <v>45</v>
      </c>
      <c r="K323">
        <v>2</v>
      </c>
      <c r="L323">
        <v>3</v>
      </c>
      <c r="M323">
        <v>300</v>
      </c>
      <c r="N323" s="12">
        <f>+gemini_code_1787702791259[[#This Row],[Cantidad]]*gemini_code_1787702791259[[#This Row],[Precio_Unitario_USD]]</f>
        <v>285</v>
      </c>
      <c r="O323" s="12">
        <f>+gemini_code_1787702791259[[#This Row],[Cantidad]]*gemini_code_1787702791259[[#This Row],[Costo_Unitario_USD]]</f>
        <v>135</v>
      </c>
      <c r="P323" s="12">
        <f>+gemini_code_1787702791259[[#This Row],[venta total]]-gemini_code_1787702791259[[#This Row],[Costo total]]</f>
        <v>150</v>
      </c>
      <c r="Q323" s="2">
        <f>gemini_code_1787702791259[[#This Row],[Ganancia bruta]]/gemini_code_1787702791259[[#This Row],[venta total]]</f>
        <v>0.52631578947368418</v>
      </c>
      <c r="R323" t="str">
        <f>IF(gemini_code_1787702791259[[#This Row],[Dias_Entrega]]&lt;=gemini_code_1787702791259[[#This Row],[Promesa_SLA_Dias]],"A tiempo","Fuera de SLA")</f>
        <v>A tiempo</v>
      </c>
    </row>
    <row r="324" spans="1:18" x14ac:dyDescent="0.25">
      <c r="A324" t="s">
        <v>69</v>
      </c>
      <c r="B324" s="1">
        <v>46242</v>
      </c>
      <c r="C324" t="s">
        <v>20</v>
      </c>
      <c r="D324" t="s">
        <v>21</v>
      </c>
      <c r="E324" t="s">
        <v>16</v>
      </c>
      <c r="F324" t="s">
        <v>28</v>
      </c>
      <c r="G324" t="s">
        <v>70</v>
      </c>
      <c r="H324">
        <v>4</v>
      </c>
      <c r="I324" s="12">
        <v>160</v>
      </c>
      <c r="J324" s="12">
        <v>95</v>
      </c>
      <c r="K324">
        <v>2</v>
      </c>
      <c r="L324">
        <v>3</v>
      </c>
      <c r="M324">
        <v>600</v>
      </c>
      <c r="N324" s="12">
        <f>+gemini_code_1787702791259[[#This Row],[Cantidad]]*gemini_code_1787702791259[[#This Row],[Precio_Unitario_USD]]</f>
        <v>640</v>
      </c>
      <c r="O324" s="12">
        <f>+gemini_code_1787702791259[[#This Row],[Cantidad]]*gemini_code_1787702791259[[#This Row],[Costo_Unitario_USD]]</f>
        <v>380</v>
      </c>
      <c r="P324" s="12">
        <f>+gemini_code_1787702791259[[#This Row],[venta total]]-gemini_code_1787702791259[[#This Row],[Costo total]]</f>
        <v>260</v>
      </c>
      <c r="Q324" s="2">
        <f>gemini_code_1787702791259[[#This Row],[Ganancia bruta]]/gemini_code_1787702791259[[#This Row],[venta total]]</f>
        <v>0.40625</v>
      </c>
      <c r="R324" t="str">
        <f>IF(gemini_code_1787702791259[[#This Row],[Dias_Entrega]]&lt;=gemini_code_1787702791259[[#This Row],[Promesa_SLA_Dias]],"A tiempo","Fuera de SLA")</f>
        <v>A tiempo</v>
      </c>
    </row>
    <row r="325" spans="1:18" x14ac:dyDescent="0.25">
      <c r="A325" t="s">
        <v>71</v>
      </c>
      <c r="B325" s="1">
        <v>46242</v>
      </c>
      <c r="C325" t="s">
        <v>26</v>
      </c>
      <c r="D325" t="s">
        <v>27</v>
      </c>
      <c r="E325" t="s">
        <v>22</v>
      </c>
      <c r="F325" t="s">
        <v>31</v>
      </c>
      <c r="G325" t="s">
        <v>72</v>
      </c>
      <c r="H325">
        <v>7</v>
      </c>
      <c r="I325" s="12">
        <v>90</v>
      </c>
      <c r="J325" s="12">
        <v>45</v>
      </c>
      <c r="K325">
        <v>4</v>
      </c>
      <c r="L325">
        <v>3</v>
      </c>
      <c r="M325">
        <v>600</v>
      </c>
      <c r="N325" s="12">
        <f>+gemini_code_1787702791259[[#This Row],[Cantidad]]*gemini_code_1787702791259[[#This Row],[Precio_Unitario_USD]]</f>
        <v>630</v>
      </c>
      <c r="O325" s="12">
        <f>+gemini_code_1787702791259[[#This Row],[Cantidad]]*gemini_code_1787702791259[[#This Row],[Costo_Unitario_USD]]</f>
        <v>315</v>
      </c>
      <c r="P325" s="12">
        <f>+gemini_code_1787702791259[[#This Row],[venta total]]-gemini_code_1787702791259[[#This Row],[Costo total]]</f>
        <v>315</v>
      </c>
      <c r="Q325" s="2">
        <f>gemini_code_1787702791259[[#This Row],[Ganancia bruta]]/gemini_code_1787702791259[[#This Row],[venta total]]</f>
        <v>0.5</v>
      </c>
      <c r="R325" t="str">
        <f>IF(gemini_code_1787702791259[[#This Row],[Dias_Entrega]]&lt;=gemini_code_1787702791259[[#This Row],[Promesa_SLA_Dias]],"A tiempo","Fuera de SLA")</f>
        <v>Fuera de SLA</v>
      </c>
    </row>
    <row r="326" spans="1:18" x14ac:dyDescent="0.25">
      <c r="A326" t="s">
        <v>73</v>
      </c>
      <c r="B326" s="1">
        <v>46243</v>
      </c>
      <c r="C326" t="s">
        <v>14</v>
      </c>
      <c r="D326" t="s">
        <v>15</v>
      </c>
      <c r="E326" t="s">
        <v>22</v>
      </c>
      <c r="F326" t="s">
        <v>17</v>
      </c>
      <c r="G326" t="s">
        <v>74</v>
      </c>
      <c r="H326">
        <v>3</v>
      </c>
      <c r="I326" s="12">
        <v>310</v>
      </c>
      <c r="J326" s="12">
        <v>210</v>
      </c>
      <c r="K326">
        <v>2</v>
      </c>
      <c r="L326">
        <v>3</v>
      </c>
      <c r="M326">
        <v>900</v>
      </c>
      <c r="N326" s="12">
        <f>+gemini_code_1787702791259[[#This Row],[Cantidad]]*gemini_code_1787702791259[[#This Row],[Precio_Unitario_USD]]</f>
        <v>930</v>
      </c>
      <c r="O326" s="12">
        <f>+gemini_code_1787702791259[[#This Row],[Cantidad]]*gemini_code_1787702791259[[#This Row],[Costo_Unitario_USD]]</f>
        <v>630</v>
      </c>
      <c r="P326" s="12">
        <f>+gemini_code_1787702791259[[#This Row],[venta total]]-gemini_code_1787702791259[[#This Row],[Costo total]]</f>
        <v>300</v>
      </c>
      <c r="Q326" s="2">
        <f>gemini_code_1787702791259[[#This Row],[Ganancia bruta]]/gemini_code_1787702791259[[#This Row],[venta total]]</f>
        <v>0.32258064516129031</v>
      </c>
      <c r="R326" t="str">
        <f>IF(gemini_code_1787702791259[[#This Row],[Dias_Entrega]]&lt;=gemini_code_1787702791259[[#This Row],[Promesa_SLA_Dias]],"A tiempo","Fuera de SLA")</f>
        <v>A tiempo</v>
      </c>
    </row>
    <row r="327" spans="1:18" x14ac:dyDescent="0.25">
      <c r="A327" t="s">
        <v>75</v>
      </c>
      <c r="B327" s="1">
        <v>46243</v>
      </c>
      <c r="C327" t="s">
        <v>20</v>
      </c>
      <c r="D327" t="s">
        <v>21</v>
      </c>
      <c r="E327" t="s">
        <v>16</v>
      </c>
      <c r="F327" t="s">
        <v>23</v>
      </c>
      <c r="G327" t="s">
        <v>76</v>
      </c>
      <c r="H327">
        <v>8</v>
      </c>
      <c r="I327" s="12">
        <v>50</v>
      </c>
      <c r="J327" s="12">
        <v>22</v>
      </c>
      <c r="K327">
        <v>2</v>
      </c>
      <c r="L327">
        <v>3</v>
      </c>
      <c r="M327">
        <v>400</v>
      </c>
      <c r="N327" s="12">
        <f>+gemini_code_1787702791259[[#This Row],[Cantidad]]*gemini_code_1787702791259[[#This Row],[Precio_Unitario_USD]]</f>
        <v>400</v>
      </c>
      <c r="O327" s="12">
        <f>+gemini_code_1787702791259[[#This Row],[Cantidad]]*gemini_code_1787702791259[[#This Row],[Costo_Unitario_USD]]</f>
        <v>176</v>
      </c>
      <c r="P327" s="12">
        <f>+gemini_code_1787702791259[[#This Row],[venta total]]-gemini_code_1787702791259[[#This Row],[Costo total]]</f>
        <v>224</v>
      </c>
      <c r="Q327" s="2">
        <f>gemini_code_1787702791259[[#This Row],[Ganancia bruta]]/gemini_code_1787702791259[[#This Row],[venta total]]</f>
        <v>0.56000000000000005</v>
      </c>
      <c r="R327" t="str">
        <f>IF(gemini_code_1787702791259[[#This Row],[Dias_Entrega]]&lt;=gemini_code_1787702791259[[#This Row],[Promesa_SLA_Dias]],"A tiempo","Fuera de SLA")</f>
        <v>A tiempo</v>
      </c>
    </row>
    <row r="328" spans="1:18" x14ac:dyDescent="0.25">
      <c r="A328" t="s">
        <v>77</v>
      </c>
      <c r="B328" s="1">
        <v>46243</v>
      </c>
      <c r="C328" t="s">
        <v>26</v>
      </c>
      <c r="D328" t="s">
        <v>27</v>
      </c>
      <c r="E328" t="s">
        <v>16</v>
      </c>
      <c r="F328" t="s">
        <v>28</v>
      </c>
      <c r="G328" t="s">
        <v>78</v>
      </c>
      <c r="H328">
        <v>1</v>
      </c>
      <c r="I328" s="12">
        <v>750</v>
      </c>
      <c r="J328" s="12">
        <v>480</v>
      </c>
      <c r="K328">
        <v>8</v>
      </c>
      <c r="L328">
        <v>4</v>
      </c>
      <c r="M328">
        <v>700</v>
      </c>
      <c r="N328" s="12">
        <f>+gemini_code_1787702791259[[#This Row],[Cantidad]]*gemini_code_1787702791259[[#This Row],[Precio_Unitario_USD]]</f>
        <v>750</v>
      </c>
      <c r="O328" s="12">
        <f>+gemini_code_1787702791259[[#This Row],[Cantidad]]*gemini_code_1787702791259[[#This Row],[Costo_Unitario_USD]]</f>
        <v>480</v>
      </c>
      <c r="P328" s="12">
        <f>+gemini_code_1787702791259[[#This Row],[venta total]]-gemini_code_1787702791259[[#This Row],[Costo total]]</f>
        <v>270</v>
      </c>
      <c r="Q328" s="2">
        <f>gemini_code_1787702791259[[#This Row],[Ganancia bruta]]/gemini_code_1787702791259[[#This Row],[venta total]]</f>
        <v>0.36</v>
      </c>
      <c r="R328" t="str">
        <f>IF(gemini_code_1787702791259[[#This Row],[Dias_Entrega]]&lt;=gemini_code_1787702791259[[#This Row],[Promesa_SLA_Dias]],"A tiempo","Fuera de SLA")</f>
        <v>Fuera de SLA</v>
      </c>
    </row>
    <row r="329" spans="1:18" x14ac:dyDescent="0.25">
      <c r="A329" t="s">
        <v>79</v>
      </c>
      <c r="B329" s="1">
        <v>46244</v>
      </c>
      <c r="C329" t="s">
        <v>14</v>
      </c>
      <c r="D329" t="s">
        <v>15</v>
      </c>
      <c r="E329" t="s">
        <v>16</v>
      </c>
      <c r="F329" t="s">
        <v>31</v>
      </c>
      <c r="G329" t="s">
        <v>80</v>
      </c>
      <c r="H329">
        <v>4</v>
      </c>
      <c r="I329" s="12">
        <v>140</v>
      </c>
      <c r="J329" s="12">
        <v>75</v>
      </c>
      <c r="K329">
        <v>3</v>
      </c>
      <c r="L329">
        <v>3</v>
      </c>
      <c r="M329">
        <v>500</v>
      </c>
      <c r="N329" s="12">
        <f>+gemini_code_1787702791259[[#This Row],[Cantidad]]*gemini_code_1787702791259[[#This Row],[Precio_Unitario_USD]]</f>
        <v>560</v>
      </c>
      <c r="O329" s="12">
        <f>+gemini_code_1787702791259[[#This Row],[Cantidad]]*gemini_code_1787702791259[[#This Row],[Costo_Unitario_USD]]</f>
        <v>300</v>
      </c>
      <c r="P329" s="12">
        <f>+gemini_code_1787702791259[[#This Row],[venta total]]-gemini_code_1787702791259[[#This Row],[Costo total]]</f>
        <v>260</v>
      </c>
      <c r="Q329" s="2">
        <f>gemini_code_1787702791259[[#This Row],[Ganancia bruta]]/gemini_code_1787702791259[[#This Row],[venta total]]</f>
        <v>0.4642857142857143</v>
      </c>
      <c r="R329" t="str">
        <f>IF(gemini_code_1787702791259[[#This Row],[Dias_Entrega]]&lt;=gemini_code_1787702791259[[#This Row],[Promesa_SLA_Dias]],"A tiempo","Fuera de SLA")</f>
        <v>A tiempo</v>
      </c>
    </row>
    <row r="330" spans="1:18" x14ac:dyDescent="0.25">
      <c r="A330" t="s">
        <v>81</v>
      </c>
      <c r="B330" s="1">
        <v>46244</v>
      </c>
      <c r="C330" t="s">
        <v>20</v>
      </c>
      <c r="D330" t="s">
        <v>21</v>
      </c>
      <c r="E330" t="s">
        <v>22</v>
      </c>
      <c r="F330" t="s">
        <v>17</v>
      </c>
      <c r="G330" t="s">
        <v>82</v>
      </c>
      <c r="H330">
        <v>6</v>
      </c>
      <c r="I330" s="12">
        <v>90</v>
      </c>
      <c r="J330" s="12">
        <v>50</v>
      </c>
      <c r="K330">
        <v>1</v>
      </c>
      <c r="L330">
        <v>2</v>
      </c>
      <c r="M330">
        <v>500</v>
      </c>
      <c r="N330" s="12">
        <f>+gemini_code_1787702791259[[#This Row],[Cantidad]]*gemini_code_1787702791259[[#This Row],[Precio_Unitario_USD]]</f>
        <v>540</v>
      </c>
      <c r="O330" s="12">
        <f>+gemini_code_1787702791259[[#This Row],[Cantidad]]*gemini_code_1787702791259[[#This Row],[Costo_Unitario_USD]]</f>
        <v>300</v>
      </c>
      <c r="P330" s="12">
        <f>+gemini_code_1787702791259[[#This Row],[venta total]]-gemini_code_1787702791259[[#This Row],[Costo total]]</f>
        <v>240</v>
      </c>
      <c r="Q330" s="2">
        <f>gemini_code_1787702791259[[#This Row],[Ganancia bruta]]/gemini_code_1787702791259[[#This Row],[venta total]]</f>
        <v>0.44444444444444442</v>
      </c>
      <c r="R330" t="str">
        <f>IF(gemini_code_1787702791259[[#This Row],[Dias_Entrega]]&lt;=gemini_code_1787702791259[[#This Row],[Promesa_SLA_Dias]],"A tiempo","Fuera de SLA")</f>
        <v>A tiempo</v>
      </c>
    </row>
    <row r="331" spans="1:18" x14ac:dyDescent="0.25">
      <c r="A331" t="s">
        <v>83</v>
      </c>
      <c r="B331" s="1">
        <v>46244</v>
      </c>
      <c r="C331" t="s">
        <v>26</v>
      </c>
      <c r="D331" t="s">
        <v>27</v>
      </c>
      <c r="E331" t="s">
        <v>16</v>
      </c>
      <c r="F331" t="s">
        <v>23</v>
      </c>
      <c r="G331" t="s">
        <v>84</v>
      </c>
      <c r="H331">
        <v>6</v>
      </c>
      <c r="I331" s="12">
        <v>60</v>
      </c>
      <c r="J331" s="12">
        <v>28</v>
      </c>
      <c r="K331">
        <v>5</v>
      </c>
      <c r="L331">
        <v>3</v>
      </c>
      <c r="M331">
        <v>350</v>
      </c>
      <c r="N331" s="12">
        <f>+gemini_code_1787702791259[[#This Row],[Cantidad]]*gemini_code_1787702791259[[#This Row],[Precio_Unitario_USD]]</f>
        <v>360</v>
      </c>
      <c r="O331" s="12">
        <f>+gemini_code_1787702791259[[#This Row],[Cantidad]]*gemini_code_1787702791259[[#This Row],[Costo_Unitario_USD]]</f>
        <v>168</v>
      </c>
      <c r="P331" s="12">
        <f>+gemini_code_1787702791259[[#This Row],[venta total]]-gemini_code_1787702791259[[#This Row],[Costo total]]</f>
        <v>192</v>
      </c>
      <c r="Q331" s="2">
        <f>gemini_code_1787702791259[[#This Row],[Ganancia bruta]]/gemini_code_1787702791259[[#This Row],[venta total]]</f>
        <v>0.53333333333333333</v>
      </c>
      <c r="R331" t="str">
        <f>IF(gemini_code_1787702791259[[#This Row],[Dias_Entrega]]&lt;=gemini_code_1787702791259[[#This Row],[Promesa_SLA_Dias]],"A tiempo","Fuera de SLA")</f>
        <v>Fuera de SLA</v>
      </c>
    </row>
    <row r="332" spans="1:18" x14ac:dyDescent="0.25">
      <c r="A332" t="s">
        <v>13</v>
      </c>
      <c r="B332" s="1">
        <v>46235</v>
      </c>
      <c r="C332" t="s">
        <v>14</v>
      </c>
      <c r="D332" t="s">
        <v>15</v>
      </c>
      <c r="E332" t="s">
        <v>16</v>
      </c>
      <c r="F332" t="s">
        <v>17</v>
      </c>
      <c r="G332" t="s">
        <v>18</v>
      </c>
      <c r="H332">
        <v>2</v>
      </c>
      <c r="I332" s="12">
        <v>850</v>
      </c>
      <c r="J332" s="12">
        <v>600</v>
      </c>
      <c r="K332">
        <v>2</v>
      </c>
      <c r="L332">
        <v>3</v>
      </c>
      <c r="M332">
        <v>1500</v>
      </c>
      <c r="N332" s="12">
        <f>+gemini_code_1787702791259[[#This Row],[Cantidad]]*gemini_code_1787702791259[[#This Row],[Precio_Unitario_USD]]</f>
        <v>1700</v>
      </c>
      <c r="O332" s="12">
        <f>+gemini_code_1787702791259[[#This Row],[Cantidad]]*gemini_code_1787702791259[[#This Row],[Costo_Unitario_USD]]</f>
        <v>1200</v>
      </c>
      <c r="P332" s="12">
        <f>+gemini_code_1787702791259[[#This Row],[venta total]]-gemini_code_1787702791259[[#This Row],[Costo total]]</f>
        <v>500</v>
      </c>
      <c r="Q332" s="2">
        <f>gemini_code_1787702791259[[#This Row],[Ganancia bruta]]/gemini_code_1787702791259[[#This Row],[venta total]]</f>
        <v>0.29411764705882354</v>
      </c>
      <c r="R332" t="str">
        <f>IF(gemini_code_1787702791259[[#This Row],[Dias_Entrega]]&lt;=gemini_code_1787702791259[[#This Row],[Promesa_SLA_Dias]],"A tiempo","Fuera de SLA")</f>
        <v>A tiempo</v>
      </c>
    </row>
    <row r="333" spans="1:18" x14ac:dyDescent="0.25">
      <c r="A333" t="s">
        <v>19</v>
      </c>
      <c r="B333" s="1">
        <v>46235</v>
      </c>
      <c r="C333" t="s">
        <v>20</v>
      </c>
      <c r="D333" t="s">
        <v>21</v>
      </c>
      <c r="E333" t="s">
        <v>22</v>
      </c>
      <c r="F333" t="s">
        <v>23</v>
      </c>
      <c r="G333" t="s">
        <v>24</v>
      </c>
      <c r="H333">
        <v>5</v>
      </c>
      <c r="I333" s="12">
        <v>120</v>
      </c>
      <c r="J333" s="12">
        <v>70</v>
      </c>
      <c r="K333">
        <v>3</v>
      </c>
      <c r="L333">
        <v>3</v>
      </c>
      <c r="M333">
        <v>500</v>
      </c>
      <c r="N333" s="12">
        <f>+gemini_code_1787702791259[[#This Row],[Cantidad]]*gemini_code_1787702791259[[#This Row],[Precio_Unitario_USD]]</f>
        <v>600</v>
      </c>
      <c r="O333" s="12">
        <f>+gemini_code_1787702791259[[#This Row],[Cantidad]]*gemini_code_1787702791259[[#This Row],[Costo_Unitario_USD]]</f>
        <v>350</v>
      </c>
      <c r="P333" s="12">
        <f>+gemini_code_1787702791259[[#This Row],[venta total]]-gemini_code_1787702791259[[#This Row],[Costo total]]</f>
        <v>250</v>
      </c>
      <c r="Q333" s="2">
        <f>gemini_code_1787702791259[[#This Row],[Ganancia bruta]]/gemini_code_1787702791259[[#This Row],[venta total]]</f>
        <v>0.41666666666666669</v>
      </c>
      <c r="R333" t="str">
        <f>IF(gemini_code_1787702791259[[#This Row],[Dias_Entrega]]&lt;=gemini_code_1787702791259[[#This Row],[Promesa_SLA_Dias]],"A tiempo","Fuera de SLA")</f>
        <v>A tiempo</v>
      </c>
    </row>
    <row r="334" spans="1:18" x14ac:dyDescent="0.25">
      <c r="A334" t="s">
        <v>25</v>
      </c>
      <c r="B334" s="1">
        <v>46235</v>
      </c>
      <c r="C334" t="s">
        <v>26</v>
      </c>
      <c r="D334" t="s">
        <v>27</v>
      </c>
      <c r="E334" t="s">
        <v>16</v>
      </c>
      <c r="F334" t="s">
        <v>28</v>
      </c>
      <c r="G334" t="s">
        <v>29</v>
      </c>
      <c r="H334">
        <v>3</v>
      </c>
      <c r="I334" s="12">
        <v>90</v>
      </c>
      <c r="J334" s="12">
        <v>50</v>
      </c>
      <c r="K334">
        <v>6</v>
      </c>
      <c r="L334">
        <v>4</v>
      </c>
      <c r="M334">
        <v>300</v>
      </c>
      <c r="N334" s="12">
        <f>+gemini_code_1787702791259[[#This Row],[Cantidad]]*gemini_code_1787702791259[[#This Row],[Precio_Unitario_USD]]</f>
        <v>270</v>
      </c>
      <c r="O334" s="12">
        <f>+gemini_code_1787702791259[[#This Row],[Cantidad]]*gemini_code_1787702791259[[#This Row],[Costo_Unitario_USD]]</f>
        <v>150</v>
      </c>
      <c r="P334" s="12">
        <f>+gemini_code_1787702791259[[#This Row],[venta total]]-gemini_code_1787702791259[[#This Row],[Costo total]]</f>
        <v>120</v>
      </c>
      <c r="Q334" s="2">
        <f>gemini_code_1787702791259[[#This Row],[Ganancia bruta]]/gemini_code_1787702791259[[#This Row],[venta total]]</f>
        <v>0.44444444444444442</v>
      </c>
      <c r="R334" t="str">
        <f>IF(gemini_code_1787702791259[[#This Row],[Dias_Entrega]]&lt;=gemini_code_1787702791259[[#This Row],[Promesa_SLA_Dias]],"A tiempo","Fuera de SLA")</f>
        <v>Fuera de SLA</v>
      </c>
    </row>
    <row r="335" spans="1:18" x14ac:dyDescent="0.25">
      <c r="A335" t="s">
        <v>30</v>
      </c>
      <c r="B335" s="1">
        <v>46236</v>
      </c>
      <c r="C335" t="s">
        <v>14</v>
      </c>
      <c r="D335" t="s">
        <v>15</v>
      </c>
      <c r="E335" t="s">
        <v>22</v>
      </c>
      <c r="F335" t="s">
        <v>31</v>
      </c>
      <c r="G335" t="s">
        <v>32</v>
      </c>
      <c r="H335">
        <v>4</v>
      </c>
      <c r="I335" s="12">
        <v>110</v>
      </c>
      <c r="J335" s="12">
        <v>60</v>
      </c>
      <c r="K335">
        <v>1</v>
      </c>
      <c r="L335">
        <v>2</v>
      </c>
      <c r="M335">
        <v>400</v>
      </c>
      <c r="N335" s="12">
        <f>+gemini_code_1787702791259[[#This Row],[Cantidad]]*gemini_code_1787702791259[[#This Row],[Precio_Unitario_USD]]</f>
        <v>440</v>
      </c>
      <c r="O335" s="12">
        <f>+gemini_code_1787702791259[[#This Row],[Cantidad]]*gemini_code_1787702791259[[#This Row],[Costo_Unitario_USD]]</f>
        <v>240</v>
      </c>
      <c r="P335" s="12">
        <f>+gemini_code_1787702791259[[#This Row],[venta total]]-gemini_code_1787702791259[[#This Row],[Costo total]]</f>
        <v>200</v>
      </c>
      <c r="Q335" s="2">
        <f>gemini_code_1787702791259[[#This Row],[Ganancia bruta]]/gemini_code_1787702791259[[#This Row],[venta total]]</f>
        <v>0.45454545454545453</v>
      </c>
      <c r="R335" t="str">
        <f>IF(gemini_code_1787702791259[[#This Row],[Dias_Entrega]]&lt;=gemini_code_1787702791259[[#This Row],[Promesa_SLA_Dias]],"A tiempo","Fuera de SLA")</f>
        <v>A tiempo</v>
      </c>
    </row>
    <row r="336" spans="1:18" x14ac:dyDescent="0.25">
      <c r="A336" t="s">
        <v>33</v>
      </c>
      <c r="B336" s="1">
        <v>46236</v>
      </c>
      <c r="C336" t="s">
        <v>20</v>
      </c>
      <c r="D336" t="s">
        <v>21</v>
      </c>
      <c r="E336" t="s">
        <v>16</v>
      </c>
      <c r="F336" t="s">
        <v>17</v>
      </c>
      <c r="G336" t="s">
        <v>34</v>
      </c>
      <c r="H336">
        <v>3</v>
      </c>
      <c r="I336" s="12">
        <v>650</v>
      </c>
      <c r="J336" s="12">
        <v>450</v>
      </c>
      <c r="K336">
        <v>2</v>
      </c>
      <c r="L336">
        <v>3</v>
      </c>
      <c r="M336">
        <v>1800</v>
      </c>
      <c r="N336" s="12">
        <f>+gemini_code_1787702791259[[#This Row],[Cantidad]]*gemini_code_1787702791259[[#This Row],[Precio_Unitario_USD]]</f>
        <v>1950</v>
      </c>
      <c r="O336" s="12">
        <f>+gemini_code_1787702791259[[#This Row],[Cantidad]]*gemini_code_1787702791259[[#This Row],[Costo_Unitario_USD]]</f>
        <v>1350</v>
      </c>
      <c r="P336" s="12">
        <f>+gemini_code_1787702791259[[#This Row],[venta total]]-gemini_code_1787702791259[[#This Row],[Costo total]]</f>
        <v>600</v>
      </c>
      <c r="Q336" s="2">
        <f>gemini_code_1787702791259[[#This Row],[Ganancia bruta]]/gemini_code_1787702791259[[#This Row],[venta total]]</f>
        <v>0.30769230769230771</v>
      </c>
      <c r="R336" t="str">
        <f>IF(gemini_code_1787702791259[[#This Row],[Dias_Entrega]]&lt;=gemini_code_1787702791259[[#This Row],[Promesa_SLA_Dias]],"A tiempo","Fuera de SLA")</f>
        <v>A tiempo</v>
      </c>
    </row>
    <row r="337" spans="1:18" x14ac:dyDescent="0.25">
      <c r="A337" t="s">
        <v>35</v>
      </c>
      <c r="B337" s="1">
        <v>46236</v>
      </c>
      <c r="C337" t="s">
        <v>26</v>
      </c>
      <c r="D337" t="s">
        <v>27</v>
      </c>
      <c r="E337" t="s">
        <v>16</v>
      </c>
      <c r="F337" t="s">
        <v>23</v>
      </c>
      <c r="G337" t="s">
        <v>36</v>
      </c>
      <c r="H337">
        <v>8</v>
      </c>
      <c r="I337" s="12">
        <v>45</v>
      </c>
      <c r="J337" s="12">
        <v>20</v>
      </c>
      <c r="K337">
        <v>5</v>
      </c>
      <c r="L337">
        <v>3</v>
      </c>
      <c r="M337">
        <v>400</v>
      </c>
      <c r="N337" s="12">
        <f>+gemini_code_1787702791259[[#This Row],[Cantidad]]*gemini_code_1787702791259[[#This Row],[Precio_Unitario_USD]]</f>
        <v>360</v>
      </c>
      <c r="O337" s="12">
        <f>+gemini_code_1787702791259[[#This Row],[Cantidad]]*gemini_code_1787702791259[[#This Row],[Costo_Unitario_USD]]</f>
        <v>160</v>
      </c>
      <c r="P337" s="12">
        <f>+gemini_code_1787702791259[[#This Row],[venta total]]-gemini_code_1787702791259[[#This Row],[Costo total]]</f>
        <v>200</v>
      </c>
      <c r="Q337" s="2">
        <f>gemini_code_1787702791259[[#This Row],[Ganancia bruta]]/gemini_code_1787702791259[[#This Row],[venta total]]</f>
        <v>0.55555555555555558</v>
      </c>
      <c r="R337" t="str">
        <f>IF(gemini_code_1787702791259[[#This Row],[Dias_Entrega]]&lt;=gemini_code_1787702791259[[#This Row],[Promesa_SLA_Dias]],"A tiempo","Fuera de SLA")</f>
        <v>Fuera de SLA</v>
      </c>
    </row>
    <row r="338" spans="1:18" x14ac:dyDescent="0.25">
      <c r="A338" t="s">
        <v>37</v>
      </c>
      <c r="B338" s="1">
        <v>46237</v>
      </c>
      <c r="C338" t="s">
        <v>14</v>
      </c>
      <c r="D338" t="s">
        <v>15</v>
      </c>
      <c r="E338" t="s">
        <v>16</v>
      </c>
      <c r="F338" t="s">
        <v>28</v>
      </c>
      <c r="G338" t="s">
        <v>38</v>
      </c>
      <c r="H338">
        <v>2</v>
      </c>
      <c r="I338" s="12">
        <v>280</v>
      </c>
      <c r="J338" s="12">
        <v>180</v>
      </c>
      <c r="K338">
        <v>3</v>
      </c>
      <c r="L338">
        <v>3</v>
      </c>
      <c r="M338">
        <v>500</v>
      </c>
      <c r="N338" s="12">
        <f>+gemini_code_1787702791259[[#This Row],[Cantidad]]*gemini_code_1787702791259[[#This Row],[Precio_Unitario_USD]]</f>
        <v>560</v>
      </c>
      <c r="O338" s="12">
        <f>+gemini_code_1787702791259[[#This Row],[Cantidad]]*gemini_code_1787702791259[[#This Row],[Costo_Unitario_USD]]</f>
        <v>360</v>
      </c>
      <c r="P338" s="12">
        <f>+gemini_code_1787702791259[[#This Row],[venta total]]-gemini_code_1787702791259[[#This Row],[Costo total]]</f>
        <v>200</v>
      </c>
      <c r="Q338" s="2">
        <f>gemini_code_1787702791259[[#This Row],[Ganancia bruta]]/gemini_code_1787702791259[[#This Row],[venta total]]</f>
        <v>0.35714285714285715</v>
      </c>
      <c r="R338" t="str">
        <f>IF(gemini_code_1787702791259[[#This Row],[Dias_Entrega]]&lt;=gemini_code_1787702791259[[#This Row],[Promesa_SLA_Dias]],"A tiempo","Fuera de SLA")</f>
        <v>A tiempo</v>
      </c>
    </row>
    <row r="339" spans="1:18" x14ac:dyDescent="0.25">
      <c r="A339" t="s">
        <v>39</v>
      </c>
      <c r="B339" s="1">
        <v>46237</v>
      </c>
      <c r="C339" t="s">
        <v>20</v>
      </c>
      <c r="D339" t="s">
        <v>21</v>
      </c>
      <c r="E339" t="s">
        <v>22</v>
      </c>
      <c r="F339" t="s">
        <v>31</v>
      </c>
      <c r="G339" t="s">
        <v>40</v>
      </c>
      <c r="H339">
        <v>3</v>
      </c>
      <c r="I339" s="12">
        <v>150</v>
      </c>
      <c r="J339" s="12">
        <v>85</v>
      </c>
      <c r="K339">
        <v>2</v>
      </c>
      <c r="L339">
        <v>2</v>
      </c>
      <c r="M339">
        <v>400</v>
      </c>
      <c r="N339" s="12">
        <f>+gemini_code_1787702791259[[#This Row],[Cantidad]]*gemini_code_1787702791259[[#This Row],[Precio_Unitario_USD]]</f>
        <v>450</v>
      </c>
      <c r="O339" s="12">
        <f>+gemini_code_1787702791259[[#This Row],[Cantidad]]*gemini_code_1787702791259[[#This Row],[Costo_Unitario_USD]]</f>
        <v>255</v>
      </c>
      <c r="P339" s="12">
        <f>+gemini_code_1787702791259[[#This Row],[venta total]]-gemini_code_1787702791259[[#This Row],[Costo total]]</f>
        <v>195</v>
      </c>
      <c r="Q339" s="2">
        <f>gemini_code_1787702791259[[#This Row],[Ganancia bruta]]/gemini_code_1787702791259[[#This Row],[venta total]]</f>
        <v>0.43333333333333335</v>
      </c>
      <c r="R339" t="str">
        <f>IF(gemini_code_1787702791259[[#This Row],[Dias_Entrega]]&lt;=gemini_code_1787702791259[[#This Row],[Promesa_SLA_Dias]],"A tiempo","Fuera de SLA")</f>
        <v>A tiempo</v>
      </c>
    </row>
    <row r="340" spans="1:18" x14ac:dyDescent="0.25">
      <c r="A340" t="s">
        <v>41</v>
      </c>
      <c r="B340" s="1">
        <v>46237</v>
      </c>
      <c r="C340" t="s">
        <v>26</v>
      </c>
      <c r="D340" t="s">
        <v>27</v>
      </c>
      <c r="E340" t="s">
        <v>16</v>
      </c>
      <c r="F340" t="s">
        <v>17</v>
      </c>
      <c r="G340" t="s">
        <v>42</v>
      </c>
      <c r="H340">
        <v>2</v>
      </c>
      <c r="I340" s="12">
        <v>520</v>
      </c>
      <c r="J340" s="12">
        <v>380</v>
      </c>
      <c r="K340">
        <v>7</v>
      </c>
      <c r="L340">
        <v>4</v>
      </c>
      <c r="M340">
        <v>1000</v>
      </c>
      <c r="N340" s="12">
        <f>+gemini_code_1787702791259[[#This Row],[Cantidad]]*gemini_code_1787702791259[[#This Row],[Precio_Unitario_USD]]</f>
        <v>1040</v>
      </c>
      <c r="O340" s="12">
        <f>+gemini_code_1787702791259[[#This Row],[Cantidad]]*gemini_code_1787702791259[[#This Row],[Costo_Unitario_USD]]</f>
        <v>760</v>
      </c>
      <c r="P340" s="12">
        <f>+gemini_code_1787702791259[[#This Row],[venta total]]-gemini_code_1787702791259[[#This Row],[Costo total]]</f>
        <v>280</v>
      </c>
      <c r="Q340" s="2">
        <f>gemini_code_1787702791259[[#This Row],[Ganancia bruta]]/gemini_code_1787702791259[[#This Row],[venta total]]</f>
        <v>0.26923076923076922</v>
      </c>
      <c r="R340" t="str">
        <f>IF(gemini_code_1787702791259[[#This Row],[Dias_Entrega]]&lt;=gemini_code_1787702791259[[#This Row],[Promesa_SLA_Dias]],"A tiempo","Fuera de SLA")</f>
        <v>Fuera de SLA</v>
      </c>
    </row>
    <row r="341" spans="1:18" x14ac:dyDescent="0.25">
      <c r="A341" t="s">
        <v>43</v>
      </c>
      <c r="B341" s="1">
        <v>46238</v>
      </c>
      <c r="C341" t="s">
        <v>14</v>
      </c>
      <c r="D341" t="s">
        <v>15</v>
      </c>
      <c r="E341" t="s">
        <v>22</v>
      </c>
      <c r="F341" t="s">
        <v>23</v>
      </c>
      <c r="G341" t="s">
        <v>44</v>
      </c>
      <c r="H341">
        <v>6</v>
      </c>
      <c r="I341" s="12">
        <v>55</v>
      </c>
      <c r="J341" s="12">
        <v>25</v>
      </c>
      <c r="K341">
        <v>2</v>
      </c>
      <c r="L341">
        <v>3</v>
      </c>
      <c r="M341">
        <v>300</v>
      </c>
      <c r="N341" s="12">
        <f>+gemini_code_1787702791259[[#This Row],[Cantidad]]*gemini_code_1787702791259[[#This Row],[Precio_Unitario_USD]]</f>
        <v>330</v>
      </c>
      <c r="O341" s="12">
        <f>+gemini_code_1787702791259[[#This Row],[Cantidad]]*gemini_code_1787702791259[[#This Row],[Costo_Unitario_USD]]</f>
        <v>150</v>
      </c>
      <c r="P341" s="12">
        <f>+gemini_code_1787702791259[[#This Row],[venta total]]-gemini_code_1787702791259[[#This Row],[Costo total]]</f>
        <v>180</v>
      </c>
      <c r="Q341" s="2">
        <f>gemini_code_1787702791259[[#This Row],[Ganancia bruta]]/gemini_code_1787702791259[[#This Row],[venta total]]</f>
        <v>0.54545454545454541</v>
      </c>
      <c r="R341" t="str">
        <f>IF(gemini_code_1787702791259[[#This Row],[Dias_Entrega]]&lt;=gemini_code_1787702791259[[#This Row],[Promesa_SLA_Dias]],"A tiempo","Fuera de SLA")</f>
        <v>A tiempo</v>
      </c>
    </row>
    <row r="342" spans="1:18" x14ac:dyDescent="0.25">
      <c r="A342" t="s">
        <v>45</v>
      </c>
      <c r="B342" s="1">
        <v>46238</v>
      </c>
      <c r="C342" t="s">
        <v>20</v>
      </c>
      <c r="D342" t="s">
        <v>21</v>
      </c>
      <c r="E342" t="s">
        <v>16</v>
      </c>
      <c r="F342" t="s">
        <v>28</v>
      </c>
      <c r="G342" t="s">
        <v>46</v>
      </c>
      <c r="H342">
        <v>1</v>
      </c>
      <c r="I342" s="12">
        <v>450</v>
      </c>
      <c r="J342" s="12">
        <v>290</v>
      </c>
      <c r="K342">
        <v>4</v>
      </c>
      <c r="L342">
        <v>3</v>
      </c>
      <c r="M342">
        <v>400</v>
      </c>
      <c r="N342" s="12">
        <f>+gemini_code_1787702791259[[#This Row],[Cantidad]]*gemini_code_1787702791259[[#This Row],[Precio_Unitario_USD]]</f>
        <v>450</v>
      </c>
      <c r="O342" s="12">
        <f>+gemini_code_1787702791259[[#This Row],[Cantidad]]*gemini_code_1787702791259[[#This Row],[Costo_Unitario_USD]]</f>
        <v>290</v>
      </c>
      <c r="P342" s="12">
        <f>+gemini_code_1787702791259[[#This Row],[venta total]]-gemini_code_1787702791259[[#This Row],[Costo total]]</f>
        <v>160</v>
      </c>
      <c r="Q342" s="2">
        <f>gemini_code_1787702791259[[#This Row],[Ganancia bruta]]/gemini_code_1787702791259[[#This Row],[venta total]]</f>
        <v>0.35555555555555557</v>
      </c>
      <c r="R342" t="str">
        <f>IF(gemini_code_1787702791259[[#This Row],[Dias_Entrega]]&lt;=gemini_code_1787702791259[[#This Row],[Promesa_SLA_Dias]],"A tiempo","Fuera de SLA")</f>
        <v>Fuera de SLA</v>
      </c>
    </row>
    <row r="343" spans="1:18" x14ac:dyDescent="0.25">
      <c r="A343" t="s">
        <v>47</v>
      </c>
      <c r="B343" s="1">
        <v>46238</v>
      </c>
      <c r="C343" t="s">
        <v>26</v>
      </c>
      <c r="D343" t="s">
        <v>27</v>
      </c>
      <c r="E343" t="s">
        <v>22</v>
      </c>
      <c r="F343" t="s">
        <v>31</v>
      </c>
      <c r="G343" t="s">
        <v>48</v>
      </c>
      <c r="H343">
        <v>10</v>
      </c>
      <c r="I343" s="12">
        <v>35</v>
      </c>
      <c r="J343" s="12">
        <v>15</v>
      </c>
      <c r="K343">
        <v>4</v>
      </c>
      <c r="L343">
        <v>3</v>
      </c>
      <c r="M343">
        <v>300</v>
      </c>
      <c r="N343" s="12">
        <f>+gemini_code_1787702791259[[#This Row],[Cantidad]]*gemini_code_1787702791259[[#This Row],[Precio_Unitario_USD]]</f>
        <v>350</v>
      </c>
      <c r="O343" s="12">
        <f>+gemini_code_1787702791259[[#This Row],[Cantidad]]*gemini_code_1787702791259[[#This Row],[Costo_Unitario_USD]]</f>
        <v>150</v>
      </c>
      <c r="P343" s="12">
        <f>+gemini_code_1787702791259[[#This Row],[venta total]]-gemini_code_1787702791259[[#This Row],[Costo total]]</f>
        <v>200</v>
      </c>
      <c r="Q343" s="2">
        <f>gemini_code_1787702791259[[#This Row],[Ganancia bruta]]/gemini_code_1787702791259[[#This Row],[venta total]]</f>
        <v>0.5714285714285714</v>
      </c>
      <c r="R343" t="str">
        <f>IF(gemini_code_1787702791259[[#This Row],[Dias_Entrega]]&lt;=gemini_code_1787702791259[[#This Row],[Promesa_SLA_Dias]],"A tiempo","Fuera de SLA")</f>
        <v>Fuera de SLA</v>
      </c>
    </row>
    <row r="344" spans="1:18" x14ac:dyDescent="0.25">
      <c r="A344" t="s">
        <v>49</v>
      </c>
      <c r="B344" s="1">
        <v>46239</v>
      </c>
      <c r="C344" t="s">
        <v>14</v>
      </c>
      <c r="D344" t="s">
        <v>15</v>
      </c>
      <c r="E344" t="s">
        <v>16</v>
      </c>
      <c r="F344" t="s">
        <v>17</v>
      </c>
      <c r="G344" t="s">
        <v>50</v>
      </c>
      <c r="H344">
        <v>4</v>
      </c>
      <c r="I344" s="12">
        <v>220</v>
      </c>
      <c r="J344" s="12">
        <v>140</v>
      </c>
      <c r="K344">
        <v>2</v>
      </c>
      <c r="L344">
        <v>3</v>
      </c>
      <c r="M344">
        <v>800</v>
      </c>
      <c r="N344" s="12">
        <f>+gemini_code_1787702791259[[#This Row],[Cantidad]]*gemini_code_1787702791259[[#This Row],[Precio_Unitario_USD]]</f>
        <v>880</v>
      </c>
      <c r="O344" s="12">
        <f>+gemini_code_1787702791259[[#This Row],[Cantidad]]*gemini_code_1787702791259[[#This Row],[Costo_Unitario_USD]]</f>
        <v>560</v>
      </c>
      <c r="P344" s="12">
        <f>+gemini_code_1787702791259[[#This Row],[venta total]]-gemini_code_1787702791259[[#This Row],[Costo total]]</f>
        <v>320</v>
      </c>
      <c r="Q344" s="2">
        <f>gemini_code_1787702791259[[#This Row],[Ganancia bruta]]/gemini_code_1787702791259[[#This Row],[venta total]]</f>
        <v>0.36363636363636365</v>
      </c>
      <c r="R344" t="str">
        <f>IF(gemini_code_1787702791259[[#This Row],[Dias_Entrega]]&lt;=gemini_code_1787702791259[[#This Row],[Promesa_SLA_Dias]],"A tiempo","Fuera de SLA")</f>
        <v>A tiempo</v>
      </c>
    </row>
    <row r="345" spans="1:18" x14ac:dyDescent="0.25">
      <c r="A345" t="s">
        <v>51</v>
      </c>
      <c r="B345" s="1">
        <v>46239</v>
      </c>
      <c r="C345" t="s">
        <v>20</v>
      </c>
      <c r="D345" t="s">
        <v>21</v>
      </c>
      <c r="E345" t="s">
        <v>16</v>
      </c>
      <c r="F345" t="s">
        <v>23</v>
      </c>
      <c r="G345" t="s">
        <v>52</v>
      </c>
      <c r="H345">
        <v>5</v>
      </c>
      <c r="I345" s="12">
        <v>65</v>
      </c>
      <c r="J345" s="12">
        <v>30</v>
      </c>
      <c r="K345">
        <v>2</v>
      </c>
      <c r="L345">
        <v>3</v>
      </c>
      <c r="M345">
        <v>300</v>
      </c>
      <c r="N345" s="12">
        <f>+gemini_code_1787702791259[[#This Row],[Cantidad]]*gemini_code_1787702791259[[#This Row],[Precio_Unitario_USD]]</f>
        <v>325</v>
      </c>
      <c r="O345" s="12">
        <f>+gemini_code_1787702791259[[#This Row],[Cantidad]]*gemini_code_1787702791259[[#This Row],[Costo_Unitario_USD]]</f>
        <v>150</v>
      </c>
      <c r="P345" s="12">
        <f>+gemini_code_1787702791259[[#This Row],[venta total]]-gemini_code_1787702791259[[#This Row],[Costo total]]</f>
        <v>175</v>
      </c>
      <c r="Q345" s="2">
        <f>gemini_code_1787702791259[[#This Row],[Ganancia bruta]]/gemini_code_1787702791259[[#This Row],[venta total]]</f>
        <v>0.53846153846153844</v>
      </c>
      <c r="R345" t="str">
        <f>IF(gemini_code_1787702791259[[#This Row],[Dias_Entrega]]&lt;=gemini_code_1787702791259[[#This Row],[Promesa_SLA_Dias]],"A tiempo","Fuera de SLA")</f>
        <v>A tiempo</v>
      </c>
    </row>
    <row r="346" spans="1:18" x14ac:dyDescent="0.25">
      <c r="A346" t="s">
        <v>53</v>
      </c>
      <c r="B346" s="1">
        <v>46239</v>
      </c>
      <c r="C346" t="s">
        <v>26</v>
      </c>
      <c r="D346" t="s">
        <v>27</v>
      </c>
      <c r="E346" t="s">
        <v>16</v>
      </c>
      <c r="F346" t="s">
        <v>28</v>
      </c>
      <c r="G346" t="s">
        <v>54</v>
      </c>
      <c r="H346">
        <v>2</v>
      </c>
      <c r="I346" s="12">
        <v>180</v>
      </c>
      <c r="J346" s="12">
        <v>110</v>
      </c>
      <c r="K346">
        <v>6</v>
      </c>
      <c r="L346">
        <v>3</v>
      </c>
      <c r="M346">
        <v>350</v>
      </c>
      <c r="N346" s="12">
        <f>+gemini_code_1787702791259[[#This Row],[Cantidad]]*gemini_code_1787702791259[[#This Row],[Precio_Unitario_USD]]</f>
        <v>360</v>
      </c>
      <c r="O346" s="12">
        <f>+gemini_code_1787702791259[[#This Row],[Cantidad]]*gemini_code_1787702791259[[#This Row],[Costo_Unitario_USD]]</f>
        <v>220</v>
      </c>
      <c r="P346" s="12">
        <f>+gemini_code_1787702791259[[#This Row],[venta total]]-gemini_code_1787702791259[[#This Row],[Costo total]]</f>
        <v>140</v>
      </c>
      <c r="Q346" s="2">
        <f>gemini_code_1787702791259[[#This Row],[Ganancia bruta]]/gemini_code_1787702791259[[#This Row],[venta total]]</f>
        <v>0.3888888888888889</v>
      </c>
      <c r="R346" t="str">
        <f>IF(gemini_code_1787702791259[[#This Row],[Dias_Entrega]]&lt;=gemini_code_1787702791259[[#This Row],[Promesa_SLA_Dias]],"A tiempo","Fuera de SLA")</f>
        <v>Fuera de SLA</v>
      </c>
    </row>
    <row r="347" spans="1:18" x14ac:dyDescent="0.25">
      <c r="A347" t="s">
        <v>55</v>
      </c>
      <c r="B347" s="1">
        <v>46240</v>
      </c>
      <c r="C347" t="s">
        <v>14</v>
      </c>
      <c r="D347" t="s">
        <v>15</v>
      </c>
      <c r="E347" t="s">
        <v>22</v>
      </c>
      <c r="F347" t="s">
        <v>31</v>
      </c>
      <c r="G347" t="s">
        <v>56</v>
      </c>
      <c r="H347">
        <v>6</v>
      </c>
      <c r="I347" s="12">
        <v>85</v>
      </c>
      <c r="J347" s="12">
        <v>45</v>
      </c>
      <c r="K347">
        <v>1</v>
      </c>
      <c r="L347">
        <v>2</v>
      </c>
      <c r="M347">
        <v>500</v>
      </c>
      <c r="N347" s="12">
        <f>+gemini_code_1787702791259[[#This Row],[Cantidad]]*gemini_code_1787702791259[[#This Row],[Precio_Unitario_USD]]</f>
        <v>510</v>
      </c>
      <c r="O347" s="12">
        <f>+gemini_code_1787702791259[[#This Row],[Cantidad]]*gemini_code_1787702791259[[#This Row],[Costo_Unitario_USD]]</f>
        <v>270</v>
      </c>
      <c r="P347" s="12">
        <f>+gemini_code_1787702791259[[#This Row],[venta total]]-gemini_code_1787702791259[[#This Row],[Costo total]]</f>
        <v>240</v>
      </c>
      <c r="Q347" s="2">
        <f>gemini_code_1787702791259[[#This Row],[Ganancia bruta]]/gemini_code_1787702791259[[#This Row],[venta total]]</f>
        <v>0.47058823529411764</v>
      </c>
      <c r="R347" t="str">
        <f>IF(gemini_code_1787702791259[[#This Row],[Dias_Entrega]]&lt;=gemini_code_1787702791259[[#This Row],[Promesa_SLA_Dias]],"A tiempo","Fuera de SLA")</f>
        <v>A tiempo</v>
      </c>
    </row>
    <row r="348" spans="1:18" x14ac:dyDescent="0.25">
      <c r="A348" t="s">
        <v>57</v>
      </c>
      <c r="B348" s="1">
        <v>46240</v>
      </c>
      <c r="C348" t="s">
        <v>20</v>
      </c>
      <c r="D348" t="s">
        <v>21</v>
      </c>
      <c r="E348" t="s">
        <v>16</v>
      </c>
      <c r="F348" t="s">
        <v>17</v>
      </c>
      <c r="G348" t="s">
        <v>58</v>
      </c>
      <c r="H348">
        <v>12</v>
      </c>
      <c r="I348" s="12">
        <v>75</v>
      </c>
      <c r="J348" s="12">
        <v>35</v>
      </c>
      <c r="K348">
        <v>1</v>
      </c>
      <c r="L348">
        <v>2</v>
      </c>
      <c r="M348">
        <v>800</v>
      </c>
      <c r="N348" s="12">
        <f>+gemini_code_1787702791259[[#This Row],[Cantidad]]*gemini_code_1787702791259[[#This Row],[Precio_Unitario_USD]]</f>
        <v>900</v>
      </c>
      <c r="O348" s="12">
        <f>+gemini_code_1787702791259[[#This Row],[Cantidad]]*gemini_code_1787702791259[[#This Row],[Costo_Unitario_USD]]</f>
        <v>420</v>
      </c>
      <c r="P348" s="12">
        <f>+gemini_code_1787702791259[[#This Row],[venta total]]-gemini_code_1787702791259[[#This Row],[Costo total]]</f>
        <v>480</v>
      </c>
      <c r="Q348" s="2">
        <f>gemini_code_1787702791259[[#This Row],[Ganancia bruta]]/gemini_code_1787702791259[[#This Row],[venta total]]</f>
        <v>0.53333333333333333</v>
      </c>
      <c r="R348" t="str">
        <f>IF(gemini_code_1787702791259[[#This Row],[Dias_Entrega]]&lt;=gemini_code_1787702791259[[#This Row],[Promesa_SLA_Dias]],"A tiempo","Fuera de SLA")</f>
        <v>A tiempo</v>
      </c>
    </row>
    <row r="349" spans="1:18" x14ac:dyDescent="0.25">
      <c r="A349" t="s">
        <v>59</v>
      </c>
      <c r="B349" s="1">
        <v>46240</v>
      </c>
      <c r="C349" t="s">
        <v>26</v>
      </c>
      <c r="D349" t="s">
        <v>27</v>
      </c>
      <c r="E349" t="s">
        <v>22</v>
      </c>
      <c r="F349" t="s">
        <v>23</v>
      </c>
      <c r="G349" t="s">
        <v>60</v>
      </c>
      <c r="H349">
        <v>4</v>
      </c>
      <c r="I349" s="12">
        <v>110</v>
      </c>
      <c r="J349" s="12">
        <v>55</v>
      </c>
      <c r="K349">
        <v>5</v>
      </c>
      <c r="L349">
        <v>3</v>
      </c>
      <c r="M349">
        <v>400</v>
      </c>
      <c r="N349" s="12">
        <f>+gemini_code_1787702791259[[#This Row],[Cantidad]]*gemini_code_1787702791259[[#This Row],[Precio_Unitario_USD]]</f>
        <v>440</v>
      </c>
      <c r="O349" s="12">
        <f>+gemini_code_1787702791259[[#This Row],[Cantidad]]*gemini_code_1787702791259[[#This Row],[Costo_Unitario_USD]]</f>
        <v>220</v>
      </c>
      <c r="P349" s="12">
        <f>+gemini_code_1787702791259[[#This Row],[venta total]]-gemini_code_1787702791259[[#This Row],[Costo total]]</f>
        <v>220</v>
      </c>
      <c r="Q349" s="2">
        <f>gemini_code_1787702791259[[#This Row],[Ganancia bruta]]/gemini_code_1787702791259[[#This Row],[venta total]]</f>
        <v>0.5</v>
      </c>
      <c r="R349" t="str">
        <f>IF(gemini_code_1787702791259[[#This Row],[Dias_Entrega]]&lt;=gemini_code_1787702791259[[#This Row],[Promesa_SLA_Dias]],"A tiempo","Fuera de SLA")</f>
        <v>Fuera de SLA</v>
      </c>
    </row>
    <row r="350" spans="1:18" x14ac:dyDescent="0.25">
      <c r="A350" t="s">
        <v>61</v>
      </c>
      <c r="B350" s="1">
        <v>46241</v>
      </c>
      <c r="C350" t="s">
        <v>14</v>
      </c>
      <c r="D350" t="s">
        <v>15</v>
      </c>
      <c r="E350" t="s">
        <v>16</v>
      </c>
      <c r="F350" t="s">
        <v>28</v>
      </c>
      <c r="G350" t="s">
        <v>62</v>
      </c>
      <c r="H350">
        <v>15</v>
      </c>
      <c r="I350" s="12">
        <v>25</v>
      </c>
      <c r="J350" s="12">
        <v>10</v>
      </c>
      <c r="K350">
        <v>2</v>
      </c>
      <c r="L350">
        <v>3</v>
      </c>
      <c r="M350">
        <v>300</v>
      </c>
      <c r="N350" s="12">
        <f>+gemini_code_1787702791259[[#This Row],[Cantidad]]*gemini_code_1787702791259[[#This Row],[Precio_Unitario_USD]]</f>
        <v>375</v>
      </c>
      <c r="O350" s="12">
        <f>+gemini_code_1787702791259[[#This Row],[Cantidad]]*gemini_code_1787702791259[[#This Row],[Costo_Unitario_USD]]</f>
        <v>150</v>
      </c>
      <c r="P350" s="12">
        <f>+gemini_code_1787702791259[[#This Row],[venta total]]-gemini_code_1787702791259[[#This Row],[Costo total]]</f>
        <v>225</v>
      </c>
      <c r="Q350" s="2">
        <f>gemini_code_1787702791259[[#This Row],[Ganancia bruta]]/gemini_code_1787702791259[[#This Row],[venta total]]</f>
        <v>0.6</v>
      </c>
      <c r="R350" t="str">
        <f>IF(gemini_code_1787702791259[[#This Row],[Dias_Entrega]]&lt;=gemini_code_1787702791259[[#This Row],[Promesa_SLA_Dias]],"A tiempo","Fuera de SLA")</f>
        <v>A tiempo</v>
      </c>
    </row>
    <row r="351" spans="1:18" x14ac:dyDescent="0.25">
      <c r="A351" t="s">
        <v>63</v>
      </c>
      <c r="B351" s="1">
        <v>46241</v>
      </c>
      <c r="C351" t="s">
        <v>20</v>
      </c>
      <c r="D351" t="s">
        <v>21</v>
      </c>
      <c r="E351" t="s">
        <v>22</v>
      </c>
      <c r="F351" t="s">
        <v>31</v>
      </c>
      <c r="G351" t="s">
        <v>64</v>
      </c>
      <c r="H351">
        <v>5</v>
      </c>
      <c r="I351" s="12">
        <v>130</v>
      </c>
      <c r="J351" s="12">
        <v>70</v>
      </c>
      <c r="K351">
        <v>3</v>
      </c>
      <c r="L351">
        <v>3</v>
      </c>
      <c r="M351">
        <v>600</v>
      </c>
      <c r="N351" s="12">
        <f>+gemini_code_1787702791259[[#This Row],[Cantidad]]*gemini_code_1787702791259[[#This Row],[Precio_Unitario_USD]]</f>
        <v>650</v>
      </c>
      <c r="O351" s="12">
        <f>+gemini_code_1787702791259[[#This Row],[Cantidad]]*gemini_code_1787702791259[[#This Row],[Costo_Unitario_USD]]</f>
        <v>350</v>
      </c>
      <c r="P351" s="12">
        <f>+gemini_code_1787702791259[[#This Row],[venta total]]-gemini_code_1787702791259[[#This Row],[Costo total]]</f>
        <v>300</v>
      </c>
      <c r="Q351" s="2">
        <f>gemini_code_1787702791259[[#This Row],[Ganancia bruta]]/gemini_code_1787702791259[[#This Row],[venta total]]</f>
        <v>0.46153846153846156</v>
      </c>
      <c r="R351" t="str">
        <f>IF(gemini_code_1787702791259[[#This Row],[Dias_Entrega]]&lt;=gemini_code_1787702791259[[#This Row],[Promesa_SLA_Dias]],"A tiempo","Fuera de SLA")</f>
        <v>A tiempo</v>
      </c>
    </row>
    <row r="352" spans="1:18" x14ac:dyDescent="0.25">
      <c r="A352" t="s">
        <v>65</v>
      </c>
      <c r="B352" s="1">
        <v>46241</v>
      </c>
      <c r="C352" t="s">
        <v>26</v>
      </c>
      <c r="D352" t="s">
        <v>27</v>
      </c>
      <c r="E352" t="s">
        <v>16</v>
      </c>
      <c r="F352" t="s">
        <v>17</v>
      </c>
      <c r="G352" t="s">
        <v>66</v>
      </c>
      <c r="H352">
        <v>2</v>
      </c>
      <c r="I352" s="12">
        <v>500</v>
      </c>
      <c r="J352" s="12">
        <v>380</v>
      </c>
      <c r="K352">
        <v>6</v>
      </c>
      <c r="L352">
        <v>4</v>
      </c>
      <c r="M352">
        <v>900</v>
      </c>
      <c r="N352" s="12">
        <f>+gemini_code_1787702791259[[#This Row],[Cantidad]]*gemini_code_1787702791259[[#This Row],[Precio_Unitario_USD]]</f>
        <v>1000</v>
      </c>
      <c r="O352" s="12">
        <f>+gemini_code_1787702791259[[#This Row],[Cantidad]]*gemini_code_1787702791259[[#This Row],[Costo_Unitario_USD]]</f>
        <v>760</v>
      </c>
      <c r="P352" s="12">
        <f>+gemini_code_1787702791259[[#This Row],[venta total]]-gemini_code_1787702791259[[#This Row],[Costo total]]</f>
        <v>240</v>
      </c>
      <c r="Q352" s="2">
        <f>gemini_code_1787702791259[[#This Row],[Ganancia bruta]]/gemini_code_1787702791259[[#This Row],[venta total]]</f>
        <v>0.24</v>
      </c>
      <c r="R352" t="str">
        <f>IF(gemini_code_1787702791259[[#This Row],[Dias_Entrega]]&lt;=gemini_code_1787702791259[[#This Row],[Promesa_SLA_Dias]],"A tiempo","Fuera de SLA")</f>
        <v>Fuera de SLA</v>
      </c>
    </row>
    <row r="353" spans="1:18" x14ac:dyDescent="0.25">
      <c r="A353" t="s">
        <v>67</v>
      </c>
      <c r="B353" s="1">
        <v>46242</v>
      </c>
      <c r="C353" t="s">
        <v>14</v>
      </c>
      <c r="D353" t="s">
        <v>15</v>
      </c>
      <c r="E353" t="s">
        <v>16</v>
      </c>
      <c r="F353" t="s">
        <v>23</v>
      </c>
      <c r="G353" t="s">
        <v>68</v>
      </c>
      <c r="H353">
        <v>3</v>
      </c>
      <c r="I353" s="12">
        <v>95</v>
      </c>
      <c r="J353" s="12">
        <v>45</v>
      </c>
      <c r="K353">
        <v>2</v>
      </c>
      <c r="L353">
        <v>3</v>
      </c>
      <c r="M353">
        <v>300</v>
      </c>
      <c r="N353" s="12">
        <f>+gemini_code_1787702791259[[#This Row],[Cantidad]]*gemini_code_1787702791259[[#This Row],[Precio_Unitario_USD]]</f>
        <v>285</v>
      </c>
      <c r="O353" s="12">
        <f>+gemini_code_1787702791259[[#This Row],[Cantidad]]*gemini_code_1787702791259[[#This Row],[Costo_Unitario_USD]]</f>
        <v>135</v>
      </c>
      <c r="P353" s="12">
        <f>+gemini_code_1787702791259[[#This Row],[venta total]]-gemini_code_1787702791259[[#This Row],[Costo total]]</f>
        <v>150</v>
      </c>
      <c r="Q353" s="2">
        <f>gemini_code_1787702791259[[#This Row],[Ganancia bruta]]/gemini_code_1787702791259[[#This Row],[venta total]]</f>
        <v>0.52631578947368418</v>
      </c>
      <c r="R353" t="str">
        <f>IF(gemini_code_1787702791259[[#This Row],[Dias_Entrega]]&lt;=gemini_code_1787702791259[[#This Row],[Promesa_SLA_Dias]],"A tiempo","Fuera de SLA")</f>
        <v>A tiempo</v>
      </c>
    </row>
    <row r="354" spans="1:18" x14ac:dyDescent="0.25">
      <c r="A354" t="s">
        <v>69</v>
      </c>
      <c r="B354" s="1">
        <v>46242</v>
      </c>
      <c r="C354" t="s">
        <v>20</v>
      </c>
      <c r="D354" t="s">
        <v>21</v>
      </c>
      <c r="E354" t="s">
        <v>16</v>
      </c>
      <c r="F354" t="s">
        <v>28</v>
      </c>
      <c r="G354" t="s">
        <v>70</v>
      </c>
      <c r="H354">
        <v>4</v>
      </c>
      <c r="I354" s="12">
        <v>160</v>
      </c>
      <c r="J354" s="12">
        <v>95</v>
      </c>
      <c r="K354">
        <v>2</v>
      </c>
      <c r="L354">
        <v>3</v>
      </c>
      <c r="M354">
        <v>600</v>
      </c>
      <c r="N354" s="12">
        <f>+gemini_code_1787702791259[[#This Row],[Cantidad]]*gemini_code_1787702791259[[#This Row],[Precio_Unitario_USD]]</f>
        <v>640</v>
      </c>
      <c r="O354" s="12">
        <f>+gemini_code_1787702791259[[#This Row],[Cantidad]]*gemini_code_1787702791259[[#This Row],[Costo_Unitario_USD]]</f>
        <v>380</v>
      </c>
      <c r="P354" s="12">
        <f>+gemini_code_1787702791259[[#This Row],[venta total]]-gemini_code_1787702791259[[#This Row],[Costo total]]</f>
        <v>260</v>
      </c>
      <c r="Q354" s="2">
        <f>gemini_code_1787702791259[[#This Row],[Ganancia bruta]]/gemini_code_1787702791259[[#This Row],[venta total]]</f>
        <v>0.40625</v>
      </c>
      <c r="R354" t="str">
        <f>IF(gemini_code_1787702791259[[#This Row],[Dias_Entrega]]&lt;=gemini_code_1787702791259[[#This Row],[Promesa_SLA_Dias]],"A tiempo","Fuera de SLA")</f>
        <v>A tiempo</v>
      </c>
    </row>
    <row r="355" spans="1:18" x14ac:dyDescent="0.25">
      <c r="A355" t="s">
        <v>71</v>
      </c>
      <c r="B355" s="1">
        <v>46242</v>
      </c>
      <c r="C355" t="s">
        <v>26</v>
      </c>
      <c r="D355" t="s">
        <v>27</v>
      </c>
      <c r="E355" t="s">
        <v>22</v>
      </c>
      <c r="F355" t="s">
        <v>31</v>
      </c>
      <c r="G355" t="s">
        <v>72</v>
      </c>
      <c r="H355">
        <v>7</v>
      </c>
      <c r="I355" s="12">
        <v>90</v>
      </c>
      <c r="J355" s="12">
        <v>45</v>
      </c>
      <c r="K355">
        <v>4</v>
      </c>
      <c r="L355">
        <v>3</v>
      </c>
      <c r="M355">
        <v>600</v>
      </c>
      <c r="N355" s="12">
        <f>+gemini_code_1787702791259[[#This Row],[Cantidad]]*gemini_code_1787702791259[[#This Row],[Precio_Unitario_USD]]</f>
        <v>630</v>
      </c>
      <c r="O355" s="12">
        <f>+gemini_code_1787702791259[[#This Row],[Cantidad]]*gemini_code_1787702791259[[#This Row],[Costo_Unitario_USD]]</f>
        <v>315</v>
      </c>
      <c r="P355" s="12">
        <f>+gemini_code_1787702791259[[#This Row],[venta total]]-gemini_code_1787702791259[[#This Row],[Costo total]]</f>
        <v>315</v>
      </c>
      <c r="Q355" s="2">
        <f>gemini_code_1787702791259[[#This Row],[Ganancia bruta]]/gemini_code_1787702791259[[#This Row],[venta total]]</f>
        <v>0.5</v>
      </c>
      <c r="R355" t="str">
        <f>IF(gemini_code_1787702791259[[#This Row],[Dias_Entrega]]&lt;=gemini_code_1787702791259[[#This Row],[Promesa_SLA_Dias]],"A tiempo","Fuera de SLA")</f>
        <v>Fuera de SLA</v>
      </c>
    </row>
    <row r="356" spans="1:18" x14ac:dyDescent="0.25">
      <c r="A356" t="s">
        <v>73</v>
      </c>
      <c r="B356" s="1">
        <v>46243</v>
      </c>
      <c r="C356" t="s">
        <v>14</v>
      </c>
      <c r="D356" t="s">
        <v>15</v>
      </c>
      <c r="E356" t="s">
        <v>22</v>
      </c>
      <c r="F356" t="s">
        <v>17</v>
      </c>
      <c r="G356" t="s">
        <v>74</v>
      </c>
      <c r="H356">
        <v>3</v>
      </c>
      <c r="I356" s="12">
        <v>310</v>
      </c>
      <c r="J356" s="12">
        <v>210</v>
      </c>
      <c r="K356">
        <v>2</v>
      </c>
      <c r="L356">
        <v>3</v>
      </c>
      <c r="M356">
        <v>900</v>
      </c>
      <c r="N356" s="12">
        <f>+gemini_code_1787702791259[[#This Row],[Cantidad]]*gemini_code_1787702791259[[#This Row],[Precio_Unitario_USD]]</f>
        <v>930</v>
      </c>
      <c r="O356" s="12">
        <f>+gemini_code_1787702791259[[#This Row],[Cantidad]]*gemini_code_1787702791259[[#This Row],[Costo_Unitario_USD]]</f>
        <v>630</v>
      </c>
      <c r="P356" s="12">
        <f>+gemini_code_1787702791259[[#This Row],[venta total]]-gemini_code_1787702791259[[#This Row],[Costo total]]</f>
        <v>300</v>
      </c>
      <c r="Q356" s="2">
        <f>gemini_code_1787702791259[[#This Row],[Ganancia bruta]]/gemini_code_1787702791259[[#This Row],[venta total]]</f>
        <v>0.32258064516129031</v>
      </c>
      <c r="R356" t="str">
        <f>IF(gemini_code_1787702791259[[#This Row],[Dias_Entrega]]&lt;=gemini_code_1787702791259[[#This Row],[Promesa_SLA_Dias]],"A tiempo","Fuera de SLA")</f>
        <v>A tiempo</v>
      </c>
    </row>
    <row r="357" spans="1:18" x14ac:dyDescent="0.25">
      <c r="A357" t="s">
        <v>75</v>
      </c>
      <c r="B357" s="1">
        <v>46243</v>
      </c>
      <c r="C357" t="s">
        <v>20</v>
      </c>
      <c r="D357" t="s">
        <v>21</v>
      </c>
      <c r="E357" t="s">
        <v>16</v>
      </c>
      <c r="F357" t="s">
        <v>23</v>
      </c>
      <c r="G357" t="s">
        <v>76</v>
      </c>
      <c r="H357">
        <v>8</v>
      </c>
      <c r="I357" s="12">
        <v>50</v>
      </c>
      <c r="J357" s="12">
        <v>22</v>
      </c>
      <c r="K357">
        <v>2</v>
      </c>
      <c r="L357">
        <v>3</v>
      </c>
      <c r="M357">
        <v>400</v>
      </c>
      <c r="N357" s="12">
        <f>+gemini_code_1787702791259[[#This Row],[Cantidad]]*gemini_code_1787702791259[[#This Row],[Precio_Unitario_USD]]</f>
        <v>400</v>
      </c>
      <c r="O357" s="12">
        <f>+gemini_code_1787702791259[[#This Row],[Cantidad]]*gemini_code_1787702791259[[#This Row],[Costo_Unitario_USD]]</f>
        <v>176</v>
      </c>
      <c r="P357" s="12">
        <f>+gemini_code_1787702791259[[#This Row],[venta total]]-gemini_code_1787702791259[[#This Row],[Costo total]]</f>
        <v>224</v>
      </c>
      <c r="Q357" s="2">
        <f>gemini_code_1787702791259[[#This Row],[Ganancia bruta]]/gemini_code_1787702791259[[#This Row],[venta total]]</f>
        <v>0.56000000000000005</v>
      </c>
      <c r="R357" t="str">
        <f>IF(gemini_code_1787702791259[[#This Row],[Dias_Entrega]]&lt;=gemini_code_1787702791259[[#This Row],[Promesa_SLA_Dias]],"A tiempo","Fuera de SLA")</f>
        <v>A tiempo</v>
      </c>
    </row>
    <row r="358" spans="1:18" x14ac:dyDescent="0.25">
      <c r="A358" t="s">
        <v>77</v>
      </c>
      <c r="B358" s="1">
        <v>46243</v>
      </c>
      <c r="C358" t="s">
        <v>26</v>
      </c>
      <c r="D358" t="s">
        <v>27</v>
      </c>
      <c r="E358" t="s">
        <v>16</v>
      </c>
      <c r="F358" t="s">
        <v>28</v>
      </c>
      <c r="G358" t="s">
        <v>78</v>
      </c>
      <c r="H358">
        <v>1</v>
      </c>
      <c r="I358" s="12">
        <v>750</v>
      </c>
      <c r="J358" s="12">
        <v>480</v>
      </c>
      <c r="K358">
        <v>8</v>
      </c>
      <c r="L358">
        <v>4</v>
      </c>
      <c r="M358">
        <v>700</v>
      </c>
      <c r="N358" s="12">
        <f>+gemini_code_1787702791259[[#This Row],[Cantidad]]*gemini_code_1787702791259[[#This Row],[Precio_Unitario_USD]]</f>
        <v>750</v>
      </c>
      <c r="O358" s="12">
        <f>+gemini_code_1787702791259[[#This Row],[Cantidad]]*gemini_code_1787702791259[[#This Row],[Costo_Unitario_USD]]</f>
        <v>480</v>
      </c>
      <c r="P358" s="12">
        <f>+gemini_code_1787702791259[[#This Row],[venta total]]-gemini_code_1787702791259[[#This Row],[Costo total]]</f>
        <v>270</v>
      </c>
      <c r="Q358" s="2">
        <f>gemini_code_1787702791259[[#This Row],[Ganancia bruta]]/gemini_code_1787702791259[[#This Row],[venta total]]</f>
        <v>0.36</v>
      </c>
      <c r="R358" t="str">
        <f>IF(gemini_code_1787702791259[[#This Row],[Dias_Entrega]]&lt;=gemini_code_1787702791259[[#This Row],[Promesa_SLA_Dias]],"A tiempo","Fuera de SLA")</f>
        <v>Fuera de SLA</v>
      </c>
    </row>
    <row r="359" spans="1:18" x14ac:dyDescent="0.25">
      <c r="A359" t="s">
        <v>79</v>
      </c>
      <c r="B359" s="1">
        <v>46244</v>
      </c>
      <c r="C359" t="s">
        <v>14</v>
      </c>
      <c r="D359" t="s">
        <v>15</v>
      </c>
      <c r="E359" t="s">
        <v>16</v>
      </c>
      <c r="F359" t="s">
        <v>31</v>
      </c>
      <c r="G359" t="s">
        <v>80</v>
      </c>
      <c r="H359">
        <v>4</v>
      </c>
      <c r="I359" s="12">
        <v>140</v>
      </c>
      <c r="J359" s="12">
        <v>75</v>
      </c>
      <c r="K359">
        <v>3</v>
      </c>
      <c r="L359">
        <v>3</v>
      </c>
      <c r="M359">
        <v>500</v>
      </c>
      <c r="N359" s="12">
        <f>+gemini_code_1787702791259[[#This Row],[Cantidad]]*gemini_code_1787702791259[[#This Row],[Precio_Unitario_USD]]</f>
        <v>560</v>
      </c>
      <c r="O359" s="12">
        <f>+gemini_code_1787702791259[[#This Row],[Cantidad]]*gemini_code_1787702791259[[#This Row],[Costo_Unitario_USD]]</f>
        <v>300</v>
      </c>
      <c r="P359" s="12">
        <f>+gemini_code_1787702791259[[#This Row],[venta total]]-gemini_code_1787702791259[[#This Row],[Costo total]]</f>
        <v>260</v>
      </c>
      <c r="Q359" s="2">
        <f>gemini_code_1787702791259[[#This Row],[Ganancia bruta]]/gemini_code_1787702791259[[#This Row],[venta total]]</f>
        <v>0.4642857142857143</v>
      </c>
      <c r="R359" t="str">
        <f>IF(gemini_code_1787702791259[[#This Row],[Dias_Entrega]]&lt;=gemini_code_1787702791259[[#This Row],[Promesa_SLA_Dias]],"A tiempo","Fuera de SLA")</f>
        <v>A tiempo</v>
      </c>
    </row>
    <row r="360" spans="1:18" x14ac:dyDescent="0.25">
      <c r="A360" t="s">
        <v>81</v>
      </c>
      <c r="B360" s="1">
        <v>46244</v>
      </c>
      <c r="C360" t="s">
        <v>20</v>
      </c>
      <c r="D360" t="s">
        <v>21</v>
      </c>
      <c r="E360" t="s">
        <v>22</v>
      </c>
      <c r="F360" t="s">
        <v>17</v>
      </c>
      <c r="G360" t="s">
        <v>82</v>
      </c>
      <c r="H360">
        <v>6</v>
      </c>
      <c r="I360" s="12">
        <v>90</v>
      </c>
      <c r="J360" s="12">
        <v>50</v>
      </c>
      <c r="K360">
        <v>1</v>
      </c>
      <c r="L360">
        <v>2</v>
      </c>
      <c r="M360">
        <v>500</v>
      </c>
      <c r="N360" s="12">
        <f>+gemini_code_1787702791259[[#This Row],[Cantidad]]*gemini_code_1787702791259[[#This Row],[Precio_Unitario_USD]]</f>
        <v>540</v>
      </c>
      <c r="O360" s="12">
        <f>+gemini_code_1787702791259[[#This Row],[Cantidad]]*gemini_code_1787702791259[[#This Row],[Costo_Unitario_USD]]</f>
        <v>300</v>
      </c>
      <c r="P360" s="12">
        <f>+gemini_code_1787702791259[[#This Row],[venta total]]-gemini_code_1787702791259[[#This Row],[Costo total]]</f>
        <v>240</v>
      </c>
      <c r="Q360" s="2">
        <f>gemini_code_1787702791259[[#This Row],[Ganancia bruta]]/gemini_code_1787702791259[[#This Row],[venta total]]</f>
        <v>0.44444444444444442</v>
      </c>
      <c r="R360" t="str">
        <f>IF(gemini_code_1787702791259[[#This Row],[Dias_Entrega]]&lt;=gemini_code_1787702791259[[#This Row],[Promesa_SLA_Dias]],"A tiempo","Fuera de SLA")</f>
        <v>A tiempo</v>
      </c>
    </row>
    <row r="361" spans="1:18" x14ac:dyDescent="0.25">
      <c r="A361" t="s">
        <v>83</v>
      </c>
      <c r="B361" s="1">
        <v>46244</v>
      </c>
      <c r="C361" t="s">
        <v>26</v>
      </c>
      <c r="D361" t="s">
        <v>27</v>
      </c>
      <c r="E361" t="s">
        <v>16</v>
      </c>
      <c r="F361" t="s">
        <v>23</v>
      </c>
      <c r="G361" t="s">
        <v>84</v>
      </c>
      <c r="H361">
        <v>6</v>
      </c>
      <c r="I361" s="12">
        <v>60</v>
      </c>
      <c r="J361" s="12">
        <v>28</v>
      </c>
      <c r="K361">
        <v>5</v>
      </c>
      <c r="L361">
        <v>3</v>
      </c>
      <c r="M361">
        <v>350</v>
      </c>
      <c r="N361" s="12">
        <f>+gemini_code_1787702791259[[#This Row],[Cantidad]]*gemini_code_1787702791259[[#This Row],[Precio_Unitario_USD]]</f>
        <v>360</v>
      </c>
      <c r="O361" s="12">
        <f>+gemini_code_1787702791259[[#This Row],[Cantidad]]*gemini_code_1787702791259[[#This Row],[Costo_Unitario_USD]]</f>
        <v>168</v>
      </c>
      <c r="P361" s="12">
        <f>+gemini_code_1787702791259[[#This Row],[venta total]]-gemini_code_1787702791259[[#This Row],[Costo total]]</f>
        <v>192</v>
      </c>
      <c r="Q361" s="2">
        <f>gemini_code_1787702791259[[#This Row],[Ganancia bruta]]/gemini_code_1787702791259[[#This Row],[venta total]]</f>
        <v>0.53333333333333333</v>
      </c>
      <c r="R361" t="str">
        <f>IF(gemini_code_1787702791259[[#This Row],[Dias_Entrega]]&lt;=gemini_code_1787702791259[[#This Row],[Promesa_SLA_Dias]],"A tiempo","Fuera de SLA")</f>
        <v>Fuera de SLA</v>
      </c>
    </row>
    <row r="362" spans="1:18" x14ac:dyDescent="0.25">
      <c r="A362" t="s">
        <v>13</v>
      </c>
      <c r="B362" s="1">
        <v>46235</v>
      </c>
      <c r="C362" t="s">
        <v>14</v>
      </c>
      <c r="D362" t="s">
        <v>15</v>
      </c>
      <c r="E362" t="s">
        <v>16</v>
      </c>
      <c r="F362" t="s">
        <v>17</v>
      </c>
      <c r="G362" t="s">
        <v>18</v>
      </c>
      <c r="H362">
        <v>2</v>
      </c>
      <c r="I362" s="12">
        <v>850</v>
      </c>
      <c r="J362" s="12">
        <v>600</v>
      </c>
      <c r="K362">
        <v>2</v>
      </c>
      <c r="L362">
        <v>3</v>
      </c>
      <c r="M362">
        <v>1500</v>
      </c>
      <c r="N362" s="12">
        <f>+gemini_code_1787702791259[[#This Row],[Cantidad]]*gemini_code_1787702791259[[#This Row],[Precio_Unitario_USD]]</f>
        <v>1700</v>
      </c>
      <c r="O362" s="12">
        <f>+gemini_code_1787702791259[[#This Row],[Cantidad]]*gemini_code_1787702791259[[#This Row],[Costo_Unitario_USD]]</f>
        <v>1200</v>
      </c>
      <c r="P362" s="12">
        <f>+gemini_code_1787702791259[[#This Row],[venta total]]-gemini_code_1787702791259[[#This Row],[Costo total]]</f>
        <v>500</v>
      </c>
      <c r="Q362" s="2">
        <f>gemini_code_1787702791259[[#This Row],[Ganancia bruta]]/gemini_code_1787702791259[[#This Row],[venta total]]</f>
        <v>0.29411764705882354</v>
      </c>
      <c r="R362" t="str">
        <f>IF(gemini_code_1787702791259[[#This Row],[Dias_Entrega]]&lt;=gemini_code_1787702791259[[#This Row],[Promesa_SLA_Dias]],"A tiempo","Fuera de SLA")</f>
        <v>A tiempo</v>
      </c>
    </row>
    <row r="363" spans="1:18" x14ac:dyDescent="0.25">
      <c r="A363" t="s">
        <v>19</v>
      </c>
      <c r="B363" s="1">
        <v>46235</v>
      </c>
      <c r="C363" t="s">
        <v>20</v>
      </c>
      <c r="D363" t="s">
        <v>21</v>
      </c>
      <c r="E363" t="s">
        <v>22</v>
      </c>
      <c r="F363" t="s">
        <v>23</v>
      </c>
      <c r="G363" t="s">
        <v>24</v>
      </c>
      <c r="H363">
        <v>5</v>
      </c>
      <c r="I363" s="12">
        <v>120</v>
      </c>
      <c r="J363" s="12">
        <v>70</v>
      </c>
      <c r="K363">
        <v>3</v>
      </c>
      <c r="L363">
        <v>3</v>
      </c>
      <c r="M363">
        <v>500</v>
      </c>
      <c r="N363" s="12">
        <f>+gemini_code_1787702791259[[#This Row],[Cantidad]]*gemini_code_1787702791259[[#This Row],[Precio_Unitario_USD]]</f>
        <v>600</v>
      </c>
      <c r="O363" s="12">
        <f>+gemini_code_1787702791259[[#This Row],[Cantidad]]*gemini_code_1787702791259[[#This Row],[Costo_Unitario_USD]]</f>
        <v>350</v>
      </c>
      <c r="P363" s="12">
        <f>+gemini_code_1787702791259[[#This Row],[venta total]]-gemini_code_1787702791259[[#This Row],[Costo total]]</f>
        <v>250</v>
      </c>
      <c r="Q363" s="2">
        <f>gemini_code_1787702791259[[#This Row],[Ganancia bruta]]/gemini_code_1787702791259[[#This Row],[venta total]]</f>
        <v>0.41666666666666669</v>
      </c>
      <c r="R363" t="str">
        <f>IF(gemini_code_1787702791259[[#This Row],[Dias_Entrega]]&lt;=gemini_code_1787702791259[[#This Row],[Promesa_SLA_Dias]],"A tiempo","Fuera de SLA")</f>
        <v>A tiempo</v>
      </c>
    </row>
    <row r="364" spans="1:18" x14ac:dyDescent="0.25">
      <c r="A364" t="s">
        <v>25</v>
      </c>
      <c r="B364" s="1">
        <v>46235</v>
      </c>
      <c r="C364" t="s">
        <v>26</v>
      </c>
      <c r="D364" t="s">
        <v>27</v>
      </c>
      <c r="E364" t="s">
        <v>16</v>
      </c>
      <c r="F364" t="s">
        <v>28</v>
      </c>
      <c r="G364" t="s">
        <v>29</v>
      </c>
      <c r="H364">
        <v>3</v>
      </c>
      <c r="I364" s="12">
        <v>90</v>
      </c>
      <c r="J364" s="12">
        <v>50</v>
      </c>
      <c r="K364">
        <v>6</v>
      </c>
      <c r="L364">
        <v>4</v>
      </c>
      <c r="M364">
        <v>300</v>
      </c>
      <c r="N364" s="12">
        <f>+gemini_code_1787702791259[[#This Row],[Cantidad]]*gemini_code_1787702791259[[#This Row],[Precio_Unitario_USD]]</f>
        <v>270</v>
      </c>
      <c r="O364" s="12">
        <f>+gemini_code_1787702791259[[#This Row],[Cantidad]]*gemini_code_1787702791259[[#This Row],[Costo_Unitario_USD]]</f>
        <v>150</v>
      </c>
      <c r="P364" s="12">
        <f>+gemini_code_1787702791259[[#This Row],[venta total]]-gemini_code_1787702791259[[#This Row],[Costo total]]</f>
        <v>120</v>
      </c>
      <c r="Q364" s="2">
        <f>gemini_code_1787702791259[[#This Row],[Ganancia bruta]]/gemini_code_1787702791259[[#This Row],[venta total]]</f>
        <v>0.44444444444444442</v>
      </c>
      <c r="R364" t="str">
        <f>IF(gemini_code_1787702791259[[#This Row],[Dias_Entrega]]&lt;=gemini_code_1787702791259[[#This Row],[Promesa_SLA_Dias]],"A tiempo","Fuera de SLA")</f>
        <v>Fuera de SLA</v>
      </c>
    </row>
    <row r="365" spans="1:18" x14ac:dyDescent="0.25">
      <c r="A365" t="s">
        <v>30</v>
      </c>
      <c r="B365" s="1">
        <v>46236</v>
      </c>
      <c r="C365" t="s">
        <v>14</v>
      </c>
      <c r="D365" t="s">
        <v>15</v>
      </c>
      <c r="E365" t="s">
        <v>22</v>
      </c>
      <c r="F365" t="s">
        <v>31</v>
      </c>
      <c r="G365" t="s">
        <v>32</v>
      </c>
      <c r="H365">
        <v>4</v>
      </c>
      <c r="I365" s="12">
        <v>110</v>
      </c>
      <c r="J365" s="12">
        <v>60</v>
      </c>
      <c r="K365">
        <v>1</v>
      </c>
      <c r="L365">
        <v>2</v>
      </c>
      <c r="M365">
        <v>400</v>
      </c>
      <c r="N365" s="12">
        <f>+gemini_code_1787702791259[[#This Row],[Cantidad]]*gemini_code_1787702791259[[#This Row],[Precio_Unitario_USD]]</f>
        <v>440</v>
      </c>
      <c r="O365" s="12">
        <f>+gemini_code_1787702791259[[#This Row],[Cantidad]]*gemini_code_1787702791259[[#This Row],[Costo_Unitario_USD]]</f>
        <v>240</v>
      </c>
      <c r="P365" s="12">
        <f>+gemini_code_1787702791259[[#This Row],[venta total]]-gemini_code_1787702791259[[#This Row],[Costo total]]</f>
        <v>200</v>
      </c>
      <c r="Q365" s="2">
        <f>gemini_code_1787702791259[[#This Row],[Ganancia bruta]]/gemini_code_1787702791259[[#This Row],[venta total]]</f>
        <v>0.45454545454545453</v>
      </c>
      <c r="R365" t="str">
        <f>IF(gemini_code_1787702791259[[#This Row],[Dias_Entrega]]&lt;=gemini_code_1787702791259[[#This Row],[Promesa_SLA_Dias]],"A tiempo","Fuera de SLA")</f>
        <v>A tiempo</v>
      </c>
    </row>
    <row r="366" spans="1:18" x14ac:dyDescent="0.25">
      <c r="A366" t="s">
        <v>33</v>
      </c>
      <c r="B366" s="1">
        <v>46236</v>
      </c>
      <c r="C366" t="s">
        <v>20</v>
      </c>
      <c r="D366" t="s">
        <v>21</v>
      </c>
      <c r="E366" t="s">
        <v>16</v>
      </c>
      <c r="F366" t="s">
        <v>17</v>
      </c>
      <c r="G366" t="s">
        <v>34</v>
      </c>
      <c r="H366">
        <v>3</v>
      </c>
      <c r="I366" s="12">
        <v>650</v>
      </c>
      <c r="J366" s="12">
        <v>450</v>
      </c>
      <c r="K366">
        <v>2</v>
      </c>
      <c r="L366">
        <v>3</v>
      </c>
      <c r="M366">
        <v>1800</v>
      </c>
      <c r="N366" s="12">
        <f>+gemini_code_1787702791259[[#This Row],[Cantidad]]*gemini_code_1787702791259[[#This Row],[Precio_Unitario_USD]]</f>
        <v>1950</v>
      </c>
      <c r="O366" s="12">
        <f>+gemini_code_1787702791259[[#This Row],[Cantidad]]*gemini_code_1787702791259[[#This Row],[Costo_Unitario_USD]]</f>
        <v>1350</v>
      </c>
      <c r="P366" s="12">
        <f>+gemini_code_1787702791259[[#This Row],[venta total]]-gemini_code_1787702791259[[#This Row],[Costo total]]</f>
        <v>600</v>
      </c>
      <c r="Q366" s="2">
        <f>gemini_code_1787702791259[[#This Row],[Ganancia bruta]]/gemini_code_1787702791259[[#This Row],[venta total]]</f>
        <v>0.30769230769230771</v>
      </c>
      <c r="R366" t="str">
        <f>IF(gemini_code_1787702791259[[#This Row],[Dias_Entrega]]&lt;=gemini_code_1787702791259[[#This Row],[Promesa_SLA_Dias]],"A tiempo","Fuera de SLA")</f>
        <v>A tiempo</v>
      </c>
    </row>
    <row r="367" spans="1:18" x14ac:dyDescent="0.25">
      <c r="A367" t="s">
        <v>35</v>
      </c>
      <c r="B367" s="1">
        <v>46236</v>
      </c>
      <c r="C367" t="s">
        <v>26</v>
      </c>
      <c r="D367" t="s">
        <v>27</v>
      </c>
      <c r="E367" t="s">
        <v>16</v>
      </c>
      <c r="F367" t="s">
        <v>23</v>
      </c>
      <c r="G367" t="s">
        <v>36</v>
      </c>
      <c r="H367">
        <v>8</v>
      </c>
      <c r="I367" s="12">
        <v>45</v>
      </c>
      <c r="J367" s="12">
        <v>20</v>
      </c>
      <c r="K367">
        <v>5</v>
      </c>
      <c r="L367">
        <v>3</v>
      </c>
      <c r="M367">
        <v>400</v>
      </c>
      <c r="N367" s="12">
        <f>+gemini_code_1787702791259[[#This Row],[Cantidad]]*gemini_code_1787702791259[[#This Row],[Precio_Unitario_USD]]</f>
        <v>360</v>
      </c>
      <c r="O367" s="12">
        <f>+gemini_code_1787702791259[[#This Row],[Cantidad]]*gemini_code_1787702791259[[#This Row],[Costo_Unitario_USD]]</f>
        <v>160</v>
      </c>
      <c r="P367" s="12">
        <f>+gemini_code_1787702791259[[#This Row],[venta total]]-gemini_code_1787702791259[[#This Row],[Costo total]]</f>
        <v>200</v>
      </c>
      <c r="Q367" s="2">
        <f>gemini_code_1787702791259[[#This Row],[Ganancia bruta]]/gemini_code_1787702791259[[#This Row],[venta total]]</f>
        <v>0.55555555555555558</v>
      </c>
      <c r="R367" t="str">
        <f>IF(gemini_code_1787702791259[[#This Row],[Dias_Entrega]]&lt;=gemini_code_1787702791259[[#This Row],[Promesa_SLA_Dias]],"A tiempo","Fuera de SLA")</f>
        <v>Fuera de SLA</v>
      </c>
    </row>
    <row r="368" spans="1:18" x14ac:dyDescent="0.25">
      <c r="A368" t="s">
        <v>37</v>
      </c>
      <c r="B368" s="1">
        <v>46237</v>
      </c>
      <c r="C368" t="s">
        <v>14</v>
      </c>
      <c r="D368" t="s">
        <v>15</v>
      </c>
      <c r="E368" t="s">
        <v>16</v>
      </c>
      <c r="F368" t="s">
        <v>28</v>
      </c>
      <c r="G368" t="s">
        <v>38</v>
      </c>
      <c r="H368">
        <v>2</v>
      </c>
      <c r="I368" s="12">
        <v>280</v>
      </c>
      <c r="J368" s="12">
        <v>180</v>
      </c>
      <c r="K368">
        <v>3</v>
      </c>
      <c r="L368">
        <v>3</v>
      </c>
      <c r="M368">
        <v>500</v>
      </c>
      <c r="N368" s="12">
        <f>+gemini_code_1787702791259[[#This Row],[Cantidad]]*gemini_code_1787702791259[[#This Row],[Precio_Unitario_USD]]</f>
        <v>560</v>
      </c>
      <c r="O368" s="12">
        <f>+gemini_code_1787702791259[[#This Row],[Cantidad]]*gemini_code_1787702791259[[#This Row],[Costo_Unitario_USD]]</f>
        <v>360</v>
      </c>
      <c r="P368" s="12">
        <f>+gemini_code_1787702791259[[#This Row],[venta total]]-gemini_code_1787702791259[[#This Row],[Costo total]]</f>
        <v>200</v>
      </c>
      <c r="Q368" s="2">
        <f>gemini_code_1787702791259[[#This Row],[Ganancia bruta]]/gemini_code_1787702791259[[#This Row],[venta total]]</f>
        <v>0.35714285714285715</v>
      </c>
      <c r="R368" t="str">
        <f>IF(gemini_code_1787702791259[[#This Row],[Dias_Entrega]]&lt;=gemini_code_1787702791259[[#This Row],[Promesa_SLA_Dias]],"A tiempo","Fuera de SLA")</f>
        <v>A tiempo</v>
      </c>
    </row>
    <row r="369" spans="1:18" x14ac:dyDescent="0.25">
      <c r="A369" t="s">
        <v>39</v>
      </c>
      <c r="B369" s="1">
        <v>46237</v>
      </c>
      <c r="C369" t="s">
        <v>20</v>
      </c>
      <c r="D369" t="s">
        <v>21</v>
      </c>
      <c r="E369" t="s">
        <v>22</v>
      </c>
      <c r="F369" t="s">
        <v>31</v>
      </c>
      <c r="G369" t="s">
        <v>40</v>
      </c>
      <c r="H369">
        <v>3</v>
      </c>
      <c r="I369" s="12">
        <v>150</v>
      </c>
      <c r="J369" s="12">
        <v>85</v>
      </c>
      <c r="K369">
        <v>2</v>
      </c>
      <c r="L369">
        <v>2</v>
      </c>
      <c r="M369">
        <v>400</v>
      </c>
      <c r="N369" s="12">
        <f>+gemini_code_1787702791259[[#This Row],[Cantidad]]*gemini_code_1787702791259[[#This Row],[Precio_Unitario_USD]]</f>
        <v>450</v>
      </c>
      <c r="O369" s="12">
        <f>+gemini_code_1787702791259[[#This Row],[Cantidad]]*gemini_code_1787702791259[[#This Row],[Costo_Unitario_USD]]</f>
        <v>255</v>
      </c>
      <c r="P369" s="12">
        <f>+gemini_code_1787702791259[[#This Row],[venta total]]-gemini_code_1787702791259[[#This Row],[Costo total]]</f>
        <v>195</v>
      </c>
      <c r="Q369" s="2">
        <f>gemini_code_1787702791259[[#This Row],[Ganancia bruta]]/gemini_code_1787702791259[[#This Row],[venta total]]</f>
        <v>0.43333333333333335</v>
      </c>
      <c r="R369" t="str">
        <f>IF(gemini_code_1787702791259[[#This Row],[Dias_Entrega]]&lt;=gemini_code_1787702791259[[#This Row],[Promesa_SLA_Dias]],"A tiempo","Fuera de SLA")</f>
        <v>A tiempo</v>
      </c>
    </row>
    <row r="370" spans="1:18" x14ac:dyDescent="0.25">
      <c r="A370" t="s">
        <v>41</v>
      </c>
      <c r="B370" s="1">
        <v>46237</v>
      </c>
      <c r="C370" t="s">
        <v>26</v>
      </c>
      <c r="D370" t="s">
        <v>27</v>
      </c>
      <c r="E370" t="s">
        <v>16</v>
      </c>
      <c r="F370" t="s">
        <v>17</v>
      </c>
      <c r="G370" t="s">
        <v>42</v>
      </c>
      <c r="H370">
        <v>2</v>
      </c>
      <c r="I370" s="12">
        <v>520</v>
      </c>
      <c r="J370" s="12">
        <v>380</v>
      </c>
      <c r="K370">
        <v>7</v>
      </c>
      <c r="L370">
        <v>4</v>
      </c>
      <c r="M370">
        <v>1000</v>
      </c>
      <c r="N370" s="12">
        <f>+gemini_code_1787702791259[[#This Row],[Cantidad]]*gemini_code_1787702791259[[#This Row],[Precio_Unitario_USD]]</f>
        <v>1040</v>
      </c>
      <c r="O370" s="12">
        <f>+gemini_code_1787702791259[[#This Row],[Cantidad]]*gemini_code_1787702791259[[#This Row],[Costo_Unitario_USD]]</f>
        <v>760</v>
      </c>
      <c r="P370" s="12">
        <f>+gemini_code_1787702791259[[#This Row],[venta total]]-gemini_code_1787702791259[[#This Row],[Costo total]]</f>
        <v>280</v>
      </c>
      <c r="Q370" s="2">
        <f>gemini_code_1787702791259[[#This Row],[Ganancia bruta]]/gemini_code_1787702791259[[#This Row],[venta total]]</f>
        <v>0.26923076923076922</v>
      </c>
      <c r="R370" t="str">
        <f>IF(gemini_code_1787702791259[[#This Row],[Dias_Entrega]]&lt;=gemini_code_1787702791259[[#This Row],[Promesa_SLA_Dias]],"A tiempo","Fuera de SLA")</f>
        <v>Fuera de SLA</v>
      </c>
    </row>
    <row r="371" spans="1:18" x14ac:dyDescent="0.25">
      <c r="A371" t="s">
        <v>43</v>
      </c>
      <c r="B371" s="1">
        <v>46238</v>
      </c>
      <c r="C371" t="s">
        <v>14</v>
      </c>
      <c r="D371" t="s">
        <v>15</v>
      </c>
      <c r="E371" t="s">
        <v>22</v>
      </c>
      <c r="F371" t="s">
        <v>23</v>
      </c>
      <c r="G371" t="s">
        <v>44</v>
      </c>
      <c r="H371">
        <v>6</v>
      </c>
      <c r="I371" s="12">
        <v>55</v>
      </c>
      <c r="J371" s="12">
        <v>25</v>
      </c>
      <c r="K371">
        <v>2</v>
      </c>
      <c r="L371">
        <v>3</v>
      </c>
      <c r="M371">
        <v>300</v>
      </c>
      <c r="N371" s="12">
        <f>+gemini_code_1787702791259[[#This Row],[Cantidad]]*gemini_code_1787702791259[[#This Row],[Precio_Unitario_USD]]</f>
        <v>330</v>
      </c>
      <c r="O371" s="12">
        <f>+gemini_code_1787702791259[[#This Row],[Cantidad]]*gemini_code_1787702791259[[#This Row],[Costo_Unitario_USD]]</f>
        <v>150</v>
      </c>
      <c r="P371" s="12">
        <f>+gemini_code_1787702791259[[#This Row],[venta total]]-gemini_code_1787702791259[[#This Row],[Costo total]]</f>
        <v>180</v>
      </c>
      <c r="Q371" s="2">
        <f>gemini_code_1787702791259[[#This Row],[Ganancia bruta]]/gemini_code_1787702791259[[#This Row],[venta total]]</f>
        <v>0.54545454545454541</v>
      </c>
      <c r="R371" t="str">
        <f>IF(gemini_code_1787702791259[[#This Row],[Dias_Entrega]]&lt;=gemini_code_1787702791259[[#This Row],[Promesa_SLA_Dias]],"A tiempo","Fuera de SLA")</f>
        <v>A tiempo</v>
      </c>
    </row>
    <row r="372" spans="1:18" x14ac:dyDescent="0.25">
      <c r="A372" t="s">
        <v>45</v>
      </c>
      <c r="B372" s="1">
        <v>46238</v>
      </c>
      <c r="C372" t="s">
        <v>20</v>
      </c>
      <c r="D372" t="s">
        <v>21</v>
      </c>
      <c r="E372" t="s">
        <v>16</v>
      </c>
      <c r="F372" t="s">
        <v>28</v>
      </c>
      <c r="G372" t="s">
        <v>46</v>
      </c>
      <c r="H372">
        <v>1</v>
      </c>
      <c r="I372" s="12">
        <v>450</v>
      </c>
      <c r="J372" s="12">
        <v>290</v>
      </c>
      <c r="K372">
        <v>4</v>
      </c>
      <c r="L372">
        <v>3</v>
      </c>
      <c r="M372">
        <v>400</v>
      </c>
      <c r="N372" s="12">
        <f>+gemini_code_1787702791259[[#This Row],[Cantidad]]*gemini_code_1787702791259[[#This Row],[Precio_Unitario_USD]]</f>
        <v>450</v>
      </c>
      <c r="O372" s="12">
        <f>+gemini_code_1787702791259[[#This Row],[Cantidad]]*gemini_code_1787702791259[[#This Row],[Costo_Unitario_USD]]</f>
        <v>290</v>
      </c>
      <c r="P372" s="12">
        <f>+gemini_code_1787702791259[[#This Row],[venta total]]-gemini_code_1787702791259[[#This Row],[Costo total]]</f>
        <v>160</v>
      </c>
      <c r="Q372" s="2">
        <f>gemini_code_1787702791259[[#This Row],[Ganancia bruta]]/gemini_code_1787702791259[[#This Row],[venta total]]</f>
        <v>0.35555555555555557</v>
      </c>
      <c r="R372" t="str">
        <f>IF(gemini_code_1787702791259[[#This Row],[Dias_Entrega]]&lt;=gemini_code_1787702791259[[#This Row],[Promesa_SLA_Dias]],"A tiempo","Fuera de SLA")</f>
        <v>Fuera de SLA</v>
      </c>
    </row>
    <row r="373" spans="1:18" x14ac:dyDescent="0.25">
      <c r="A373" t="s">
        <v>47</v>
      </c>
      <c r="B373" s="1">
        <v>46238</v>
      </c>
      <c r="C373" t="s">
        <v>26</v>
      </c>
      <c r="D373" t="s">
        <v>27</v>
      </c>
      <c r="E373" t="s">
        <v>22</v>
      </c>
      <c r="F373" t="s">
        <v>31</v>
      </c>
      <c r="G373" t="s">
        <v>48</v>
      </c>
      <c r="H373">
        <v>10</v>
      </c>
      <c r="I373" s="12">
        <v>35</v>
      </c>
      <c r="J373" s="12">
        <v>15</v>
      </c>
      <c r="K373">
        <v>4</v>
      </c>
      <c r="L373">
        <v>3</v>
      </c>
      <c r="M373">
        <v>300</v>
      </c>
      <c r="N373" s="12">
        <f>+gemini_code_1787702791259[[#This Row],[Cantidad]]*gemini_code_1787702791259[[#This Row],[Precio_Unitario_USD]]</f>
        <v>350</v>
      </c>
      <c r="O373" s="12">
        <f>+gemini_code_1787702791259[[#This Row],[Cantidad]]*gemini_code_1787702791259[[#This Row],[Costo_Unitario_USD]]</f>
        <v>150</v>
      </c>
      <c r="P373" s="12">
        <f>+gemini_code_1787702791259[[#This Row],[venta total]]-gemini_code_1787702791259[[#This Row],[Costo total]]</f>
        <v>200</v>
      </c>
      <c r="Q373" s="2">
        <f>gemini_code_1787702791259[[#This Row],[Ganancia bruta]]/gemini_code_1787702791259[[#This Row],[venta total]]</f>
        <v>0.5714285714285714</v>
      </c>
      <c r="R373" t="str">
        <f>IF(gemini_code_1787702791259[[#This Row],[Dias_Entrega]]&lt;=gemini_code_1787702791259[[#This Row],[Promesa_SLA_Dias]],"A tiempo","Fuera de SLA")</f>
        <v>Fuera de SLA</v>
      </c>
    </row>
    <row r="374" spans="1:18" x14ac:dyDescent="0.25">
      <c r="A374" t="s">
        <v>49</v>
      </c>
      <c r="B374" s="1">
        <v>46239</v>
      </c>
      <c r="C374" t="s">
        <v>14</v>
      </c>
      <c r="D374" t="s">
        <v>15</v>
      </c>
      <c r="E374" t="s">
        <v>16</v>
      </c>
      <c r="F374" t="s">
        <v>17</v>
      </c>
      <c r="G374" t="s">
        <v>50</v>
      </c>
      <c r="H374">
        <v>4</v>
      </c>
      <c r="I374" s="12">
        <v>220</v>
      </c>
      <c r="J374" s="12">
        <v>140</v>
      </c>
      <c r="K374">
        <v>2</v>
      </c>
      <c r="L374">
        <v>3</v>
      </c>
      <c r="M374">
        <v>800</v>
      </c>
      <c r="N374" s="12">
        <f>+gemini_code_1787702791259[[#This Row],[Cantidad]]*gemini_code_1787702791259[[#This Row],[Precio_Unitario_USD]]</f>
        <v>880</v>
      </c>
      <c r="O374" s="12">
        <f>+gemini_code_1787702791259[[#This Row],[Cantidad]]*gemini_code_1787702791259[[#This Row],[Costo_Unitario_USD]]</f>
        <v>560</v>
      </c>
      <c r="P374" s="12">
        <f>+gemini_code_1787702791259[[#This Row],[venta total]]-gemini_code_1787702791259[[#This Row],[Costo total]]</f>
        <v>320</v>
      </c>
      <c r="Q374" s="2">
        <f>gemini_code_1787702791259[[#This Row],[Ganancia bruta]]/gemini_code_1787702791259[[#This Row],[venta total]]</f>
        <v>0.36363636363636365</v>
      </c>
      <c r="R374" t="str">
        <f>IF(gemini_code_1787702791259[[#This Row],[Dias_Entrega]]&lt;=gemini_code_1787702791259[[#This Row],[Promesa_SLA_Dias]],"A tiempo","Fuera de SLA")</f>
        <v>A tiempo</v>
      </c>
    </row>
    <row r="375" spans="1:18" x14ac:dyDescent="0.25">
      <c r="A375" t="s">
        <v>51</v>
      </c>
      <c r="B375" s="1">
        <v>46239</v>
      </c>
      <c r="C375" t="s">
        <v>20</v>
      </c>
      <c r="D375" t="s">
        <v>21</v>
      </c>
      <c r="E375" t="s">
        <v>16</v>
      </c>
      <c r="F375" t="s">
        <v>23</v>
      </c>
      <c r="G375" t="s">
        <v>52</v>
      </c>
      <c r="H375">
        <v>5</v>
      </c>
      <c r="I375" s="12">
        <v>65</v>
      </c>
      <c r="J375" s="12">
        <v>30</v>
      </c>
      <c r="K375">
        <v>2</v>
      </c>
      <c r="L375">
        <v>3</v>
      </c>
      <c r="M375">
        <v>300</v>
      </c>
      <c r="N375" s="12">
        <f>+gemini_code_1787702791259[[#This Row],[Cantidad]]*gemini_code_1787702791259[[#This Row],[Precio_Unitario_USD]]</f>
        <v>325</v>
      </c>
      <c r="O375" s="12">
        <f>+gemini_code_1787702791259[[#This Row],[Cantidad]]*gemini_code_1787702791259[[#This Row],[Costo_Unitario_USD]]</f>
        <v>150</v>
      </c>
      <c r="P375" s="12">
        <f>+gemini_code_1787702791259[[#This Row],[venta total]]-gemini_code_1787702791259[[#This Row],[Costo total]]</f>
        <v>175</v>
      </c>
      <c r="Q375" s="2">
        <f>gemini_code_1787702791259[[#This Row],[Ganancia bruta]]/gemini_code_1787702791259[[#This Row],[venta total]]</f>
        <v>0.53846153846153844</v>
      </c>
      <c r="R375" t="str">
        <f>IF(gemini_code_1787702791259[[#This Row],[Dias_Entrega]]&lt;=gemini_code_1787702791259[[#This Row],[Promesa_SLA_Dias]],"A tiempo","Fuera de SLA")</f>
        <v>A tiempo</v>
      </c>
    </row>
    <row r="376" spans="1:18" x14ac:dyDescent="0.25">
      <c r="A376" t="s">
        <v>53</v>
      </c>
      <c r="B376" s="1">
        <v>46239</v>
      </c>
      <c r="C376" t="s">
        <v>26</v>
      </c>
      <c r="D376" t="s">
        <v>27</v>
      </c>
      <c r="E376" t="s">
        <v>16</v>
      </c>
      <c r="F376" t="s">
        <v>28</v>
      </c>
      <c r="G376" t="s">
        <v>54</v>
      </c>
      <c r="H376">
        <v>2</v>
      </c>
      <c r="I376" s="12">
        <v>180</v>
      </c>
      <c r="J376" s="12">
        <v>110</v>
      </c>
      <c r="K376">
        <v>6</v>
      </c>
      <c r="L376">
        <v>3</v>
      </c>
      <c r="M376">
        <v>350</v>
      </c>
      <c r="N376" s="12">
        <f>+gemini_code_1787702791259[[#This Row],[Cantidad]]*gemini_code_1787702791259[[#This Row],[Precio_Unitario_USD]]</f>
        <v>360</v>
      </c>
      <c r="O376" s="12">
        <f>+gemini_code_1787702791259[[#This Row],[Cantidad]]*gemini_code_1787702791259[[#This Row],[Costo_Unitario_USD]]</f>
        <v>220</v>
      </c>
      <c r="P376" s="12">
        <f>+gemini_code_1787702791259[[#This Row],[venta total]]-gemini_code_1787702791259[[#This Row],[Costo total]]</f>
        <v>140</v>
      </c>
      <c r="Q376" s="2">
        <f>gemini_code_1787702791259[[#This Row],[Ganancia bruta]]/gemini_code_1787702791259[[#This Row],[venta total]]</f>
        <v>0.3888888888888889</v>
      </c>
      <c r="R376" t="str">
        <f>IF(gemini_code_1787702791259[[#This Row],[Dias_Entrega]]&lt;=gemini_code_1787702791259[[#This Row],[Promesa_SLA_Dias]],"A tiempo","Fuera de SLA")</f>
        <v>Fuera de SLA</v>
      </c>
    </row>
    <row r="377" spans="1:18" x14ac:dyDescent="0.25">
      <c r="A377" t="s">
        <v>55</v>
      </c>
      <c r="B377" s="1">
        <v>46240</v>
      </c>
      <c r="C377" t="s">
        <v>14</v>
      </c>
      <c r="D377" t="s">
        <v>15</v>
      </c>
      <c r="E377" t="s">
        <v>22</v>
      </c>
      <c r="F377" t="s">
        <v>31</v>
      </c>
      <c r="G377" t="s">
        <v>56</v>
      </c>
      <c r="H377">
        <v>6</v>
      </c>
      <c r="I377" s="12">
        <v>85</v>
      </c>
      <c r="J377" s="12">
        <v>45</v>
      </c>
      <c r="K377">
        <v>1</v>
      </c>
      <c r="L377">
        <v>2</v>
      </c>
      <c r="M377">
        <v>500</v>
      </c>
      <c r="N377" s="12">
        <f>+gemini_code_1787702791259[[#This Row],[Cantidad]]*gemini_code_1787702791259[[#This Row],[Precio_Unitario_USD]]</f>
        <v>510</v>
      </c>
      <c r="O377" s="12">
        <f>+gemini_code_1787702791259[[#This Row],[Cantidad]]*gemini_code_1787702791259[[#This Row],[Costo_Unitario_USD]]</f>
        <v>270</v>
      </c>
      <c r="P377" s="12">
        <f>+gemini_code_1787702791259[[#This Row],[venta total]]-gemini_code_1787702791259[[#This Row],[Costo total]]</f>
        <v>240</v>
      </c>
      <c r="Q377" s="2">
        <f>gemini_code_1787702791259[[#This Row],[Ganancia bruta]]/gemini_code_1787702791259[[#This Row],[venta total]]</f>
        <v>0.47058823529411764</v>
      </c>
      <c r="R377" t="str">
        <f>IF(gemini_code_1787702791259[[#This Row],[Dias_Entrega]]&lt;=gemini_code_1787702791259[[#This Row],[Promesa_SLA_Dias]],"A tiempo","Fuera de SLA")</f>
        <v>A tiempo</v>
      </c>
    </row>
    <row r="378" spans="1:18" x14ac:dyDescent="0.25">
      <c r="A378" t="s">
        <v>57</v>
      </c>
      <c r="B378" s="1">
        <v>46240</v>
      </c>
      <c r="C378" t="s">
        <v>20</v>
      </c>
      <c r="D378" t="s">
        <v>21</v>
      </c>
      <c r="E378" t="s">
        <v>16</v>
      </c>
      <c r="F378" t="s">
        <v>17</v>
      </c>
      <c r="G378" t="s">
        <v>58</v>
      </c>
      <c r="H378">
        <v>12</v>
      </c>
      <c r="I378" s="12">
        <v>75</v>
      </c>
      <c r="J378" s="12">
        <v>35</v>
      </c>
      <c r="K378">
        <v>1</v>
      </c>
      <c r="L378">
        <v>2</v>
      </c>
      <c r="M378">
        <v>800</v>
      </c>
      <c r="N378" s="12">
        <f>+gemini_code_1787702791259[[#This Row],[Cantidad]]*gemini_code_1787702791259[[#This Row],[Precio_Unitario_USD]]</f>
        <v>900</v>
      </c>
      <c r="O378" s="12">
        <f>+gemini_code_1787702791259[[#This Row],[Cantidad]]*gemini_code_1787702791259[[#This Row],[Costo_Unitario_USD]]</f>
        <v>420</v>
      </c>
      <c r="P378" s="12">
        <f>+gemini_code_1787702791259[[#This Row],[venta total]]-gemini_code_1787702791259[[#This Row],[Costo total]]</f>
        <v>480</v>
      </c>
      <c r="Q378" s="2">
        <f>gemini_code_1787702791259[[#This Row],[Ganancia bruta]]/gemini_code_1787702791259[[#This Row],[venta total]]</f>
        <v>0.53333333333333333</v>
      </c>
      <c r="R378" t="str">
        <f>IF(gemini_code_1787702791259[[#This Row],[Dias_Entrega]]&lt;=gemini_code_1787702791259[[#This Row],[Promesa_SLA_Dias]],"A tiempo","Fuera de SLA")</f>
        <v>A tiempo</v>
      </c>
    </row>
    <row r="379" spans="1:18" x14ac:dyDescent="0.25">
      <c r="A379" t="s">
        <v>59</v>
      </c>
      <c r="B379" s="1">
        <v>46240</v>
      </c>
      <c r="C379" t="s">
        <v>26</v>
      </c>
      <c r="D379" t="s">
        <v>27</v>
      </c>
      <c r="E379" t="s">
        <v>22</v>
      </c>
      <c r="F379" t="s">
        <v>23</v>
      </c>
      <c r="G379" t="s">
        <v>60</v>
      </c>
      <c r="H379">
        <v>4</v>
      </c>
      <c r="I379" s="12">
        <v>110</v>
      </c>
      <c r="J379" s="12">
        <v>55</v>
      </c>
      <c r="K379">
        <v>5</v>
      </c>
      <c r="L379">
        <v>3</v>
      </c>
      <c r="M379">
        <v>400</v>
      </c>
      <c r="N379" s="12">
        <f>+gemini_code_1787702791259[[#This Row],[Cantidad]]*gemini_code_1787702791259[[#This Row],[Precio_Unitario_USD]]</f>
        <v>440</v>
      </c>
      <c r="O379" s="12">
        <f>+gemini_code_1787702791259[[#This Row],[Cantidad]]*gemini_code_1787702791259[[#This Row],[Costo_Unitario_USD]]</f>
        <v>220</v>
      </c>
      <c r="P379" s="12">
        <f>+gemini_code_1787702791259[[#This Row],[venta total]]-gemini_code_1787702791259[[#This Row],[Costo total]]</f>
        <v>220</v>
      </c>
      <c r="Q379" s="2">
        <f>gemini_code_1787702791259[[#This Row],[Ganancia bruta]]/gemini_code_1787702791259[[#This Row],[venta total]]</f>
        <v>0.5</v>
      </c>
      <c r="R379" t="str">
        <f>IF(gemini_code_1787702791259[[#This Row],[Dias_Entrega]]&lt;=gemini_code_1787702791259[[#This Row],[Promesa_SLA_Dias]],"A tiempo","Fuera de SLA")</f>
        <v>Fuera de SLA</v>
      </c>
    </row>
    <row r="380" spans="1:18" x14ac:dyDescent="0.25">
      <c r="A380" t="s">
        <v>61</v>
      </c>
      <c r="B380" s="1">
        <v>46241</v>
      </c>
      <c r="C380" t="s">
        <v>14</v>
      </c>
      <c r="D380" t="s">
        <v>15</v>
      </c>
      <c r="E380" t="s">
        <v>16</v>
      </c>
      <c r="F380" t="s">
        <v>28</v>
      </c>
      <c r="G380" t="s">
        <v>62</v>
      </c>
      <c r="H380">
        <v>15</v>
      </c>
      <c r="I380" s="12">
        <v>25</v>
      </c>
      <c r="J380" s="12">
        <v>10</v>
      </c>
      <c r="K380">
        <v>2</v>
      </c>
      <c r="L380">
        <v>3</v>
      </c>
      <c r="M380">
        <v>300</v>
      </c>
      <c r="N380" s="12">
        <f>+gemini_code_1787702791259[[#This Row],[Cantidad]]*gemini_code_1787702791259[[#This Row],[Precio_Unitario_USD]]</f>
        <v>375</v>
      </c>
      <c r="O380" s="12">
        <f>+gemini_code_1787702791259[[#This Row],[Cantidad]]*gemini_code_1787702791259[[#This Row],[Costo_Unitario_USD]]</f>
        <v>150</v>
      </c>
      <c r="P380" s="12">
        <f>+gemini_code_1787702791259[[#This Row],[venta total]]-gemini_code_1787702791259[[#This Row],[Costo total]]</f>
        <v>225</v>
      </c>
      <c r="Q380" s="2">
        <f>gemini_code_1787702791259[[#This Row],[Ganancia bruta]]/gemini_code_1787702791259[[#This Row],[venta total]]</f>
        <v>0.6</v>
      </c>
      <c r="R380" t="str">
        <f>IF(gemini_code_1787702791259[[#This Row],[Dias_Entrega]]&lt;=gemini_code_1787702791259[[#This Row],[Promesa_SLA_Dias]],"A tiempo","Fuera de SLA")</f>
        <v>A tiempo</v>
      </c>
    </row>
    <row r="381" spans="1:18" x14ac:dyDescent="0.25">
      <c r="A381" t="s">
        <v>63</v>
      </c>
      <c r="B381" s="1">
        <v>46241</v>
      </c>
      <c r="C381" t="s">
        <v>20</v>
      </c>
      <c r="D381" t="s">
        <v>21</v>
      </c>
      <c r="E381" t="s">
        <v>22</v>
      </c>
      <c r="F381" t="s">
        <v>31</v>
      </c>
      <c r="G381" t="s">
        <v>64</v>
      </c>
      <c r="H381">
        <v>5</v>
      </c>
      <c r="I381" s="12">
        <v>130</v>
      </c>
      <c r="J381" s="12">
        <v>70</v>
      </c>
      <c r="K381">
        <v>3</v>
      </c>
      <c r="L381">
        <v>3</v>
      </c>
      <c r="M381">
        <v>600</v>
      </c>
      <c r="N381" s="12">
        <f>+gemini_code_1787702791259[[#This Row],[Cantidad]]*gemini_code_1787702791259[[#This Row],[Precio_Unitario_USD]]</f>
        <v>650</v>
      </c>
      <c r="O381" s="12">
        <f>+gemini_code_1787702791259[[#This Row],[Cantidad]]*gemini_code_1787702791259[[#This Row],[Costo_Unitario_USD]]</f>
        <v>350</v>
      </c>
      <c r="P381" s="12">
        <f>+gemini_code_1787702791259[[#This Row],[venta total]]-gemini_code_1787702791259[[#This Row],[Costo total]]</f>
        <v>300</v>
      </c>
      <c r="Q381" s="2">
        <f>gemini_code_1787702791259[[#This Row],[Ganancia bruta]]/gemini_code_1787702791259[[#This Row],[venta total]]</f>
        <v>0.46153846153846156</v>
      </c>
      <c r="R381" t="str">
        <f>IF(gemini_code_1787702791259[[#This Row],[Dias_Entrega]]&lt;=gemini_code_1787702791259[[#This Row],[Promesa_SLA_Dias]],"A tiempo","Fuera de SLA")</f>
        <v>A tiempo</v>
      </c>
    </row>
    <row r="382" spans="1:18" x14ac:dyDescent="0.25">
      <c r="A382" t="s">
        <v>65</v>
      </c>
      <c r="B382" s="1">
        <v>46241</v>
      </c>
      <c r="C382" t="s">
        <v>26</v>
      </c>
      <c r="D382" t="s">
        <v>27</v>
      </c>
      <c r="E382" t="s">
        <v>16</v>
      </c>
      <c r="F382" t="s">
        <v>17</v>
      </c>
      <c r="G382" t="s">
        <v>66</v>
      </c>
      <c r="H382">
        <v>2</v>
      </c>
      <c r="I382" s="12">
        <v>500</v>
      </c>
      <c r="J382" s="12">
        <v>380</v>
      </c>
      <c r="K382">
        <v>6</v>
      </c>
      <c r="L382">
        <v>4</v>
      </c>
      <c r="M382">
        <v>900</v>
      </c>
      <c r="N382" s="12">
        <f>+gemini_code_1787702791259[[#This Row],[Cantidad]]*gemini_code_1787702791259[[#This Row],[Precio_Unitario_USD]]</f>
        <v>1000</v>
      </c>
      <c r="O382" s="12">
        <f>+gemini_code_1787702791259[[#This Row],[Cantidad]]*gemini_code_1787702791259[[#This Row],[Costo_Unitario_USD]]</f>
        <v>760</v>
      </c>
      <c r="P382" s="12">
        <f>+gemini_code_1787702791259[[#This Row],[venta total]]-gemini_code_1787702791259[[#This Row],[Costo total]]</f>
        <v>240</v>
      </c>
      <c r="Q382" s="2">
        <f>gemini_code_1787702791259[[#This Row],[Ganancia bruta]]/gemini_code_1787702791259[[#This Row],[venta total]]</f>
        <v>0.24</v>
      </c>
      <c r="R382" t="str">
        <f>IF(gemini_code_1787702791259[[#This Row],[Dias_Entrega]]&lt;=gemini_code_1787702791259[[#This Row],[Promesa_SLA_Dias]],"A tiempo","Fuera de SLA")</f>
        <v>Fuera de SLA</v>
      </c>
    </row>
    <row r="383" spans="1:18" x14ac:dyDescent="0.25">
      <c r="A383" t="s">
        <v>67</v>
      </c>
      <c r="B383" s="1">
        <v>46242</v>
      </c>
      <c r="C383" t="s">
        <v>14</v>
      </c>
      <c r="D383" t="s">
        <v>15</v>
      </c>
      <c r="E383" t="s">
        <v>16</v>
      </c>
      <c r="F383" t="s">
        <v>23</v>
      </c>
      <c r="G383" t="s">
        <v>68</v>
      </c>
      <c r="H383">
        <v>3</v>
      </c>
      <c r="I383" s="12">
        <v>95</v>
      </c>
      <c r="J383" s="12">
        <v>45</v>
      </c>
      <c r="K383">
        <v>2</v>
      </c>
      <c r="L383">
        <v>3</v>
      </c>
      <c r="M383">
        <v>300</v>
      </c>
      <c r="N383" s="12">
        <f>+gemini_code_1787702791259[[#This Row],[Cantidad]]*gemini_code_1787702791259[[#This Row],[Precio_Unitario_USD]]</f>
        <v>285</v>
      </c>
      <c r="O383" s="12">
        <f>+gemini_code_1787702791259[[#This Row],[Cantidad]]*gemini_code_1787702791259[[#This Row],[Costo_Unitario_USD]]</f>
        <v>135</v>
      </c>
      <c r="P383" s="12">
        <f>+gemini_code_1787702791259[[#This Row],[venta total]]-gemini_code_1787702791259[[#This Row],[Costo total]]</f>
        <v>150</v>
      </c>
      <c r="Q383" s="2">
        <f>gemini_code_1787702791259[[#This Row],[Ganancia bruta]]/gemini_code_1787702791259[[#This Row],[venta total]]</f>
        <v>0.52631578947368418</v>
      </c>
      <c r="R383" t="str">
        <f>IF(gemini_code_1787702791259[[#This Row],[Dias_Entrega]]&lt;=gemini_code_1787702791259[[#This Row],[Promesa_SLA_Dias]],"A tiempo","Fuera de SLA")</f>
        <v>A tiempo</v>
      </c>
    </row>
    <row r="384" spans="1:18" x14ac:dyDescent="0.25">
      <c r="A384" t="s">
        <v>69</v>
      </c>
      <c r="B384" s="1">
        <v>46242</v>
      </c>
      <c r="C384" t="s">
        <v>20</v>
      </c>
      <c r="D384" t="s">
        <v>21</v>
      </c>
      <c r="E384" t="s">
        <v>16</v>
      </c>
      <c r="F384" t="s">
        <v>28</v>
      </c>
      <c r="G384" t="s">
        <v>70</v>
      </c>
      <c r="H384">
        <v>4</v>
      </c>
      <c r="I384" s="12">
        <v>160</v>
      </c>
      <c r="J384" s="12">
        <v>95</v>
      </c>
      <c r="K384">
        <v>2</v>
      </c>
      <c r="L384">
        <v>3</v>
      </c>
      <c r="M384">
        <v>600</v>
      </c>
      <c r="N384" s="12">
        <f>+gemini_code_1787702791259[[#This Row],[Cantidad]]*gemini_code_1787702791259[[#This Row],[Precio_Unitario_USD]]</f>
        <v>640</v>
      </c>
      <c r="O384" s="12">
        <f>+gemini_code_1787702791259[[#This Row],[Cantidad]]*gemini_code_1787702791259[[#This Row],[Costo_Unitario_USD]]</f>
        <v>380</v>
      </c>
      <c r="P384" s="12">
        <f>+gemini_code_1787702791259[[#This Row],[venta total]]-gemini_code_1787702791259[[#This Row],[Costo total]]</f>
        <v>260</v>
      </c>
      <c r="Q384" s="2">
        <f>gemini_code_1787702791259[[#This Row],[Ganancia bruta]]/gemini_code_1787702791259[[#This Row],[venta total]]</f>
        <v>0.40625</v>
      </c>
      <c r="R384" t="str">
        <f>IF(gemini_code_1787702791259[[#This Row],[Dias_Entrega]]&lt;=gemini_code_1787702791259[[#This Row],[Promesa_SLA_Dias]],"A tiempo","Fuera de SLA")</f>
        <v>A tiempo</v>
      </c>
    </row>
    <row r="385" spans="1:18" x14ac:dyDescent="0.25">
      <c r="A385" t="s">
        <v>71</v>
      </c>
      <c r="B385" s="1">
        <v>46242</v>
      </c>
      <c r="C385" t="s">
        <v>26</v>
      </c>
      <c r="D385" t="s">
        <v>27</v>
      </c>
      <c r="E385" t="s">
        <v>22</v>
      </c>
      <c r="F385" t="s">
        <v>31</v>
      </c>
      <c r="G385" t="s">
        <v>72</v>
      </c>
      <c r="H385">
        <v>7</v>
      </c>
      <c r="I385" s="12">
        <v>90</v>
      </c>
      <c r="J385" s="12">
        <v>45</v>
      </c>
      <c r="K385">
        <v>4</v>
      </c>
      <c r="L385">
        <v>3</v>
      </c>
      <c r="M385">
        <v>600</v>
      </c>
      <c r="N385" s="12">
        <f>+gemini_code_1787702791259[[#This Row],[Cantidad]]*gemini_code_1787702791259[[#This Row],[Precio_Unitario_USD]]</f>
        <v>630</v>
      </c>
      <c r="O385" s="12">
        <f>+gemini_code_1787702791259[[#This Row],[Cantidad]]*gemini_code_1787702791259[[#This Row],[Costo_Unitario_USD]]</f>
        <v>315</v>
      </c>
      <c r="P385" s="12">
        <f>+gemini_code_1787702791259[[#This Row],[venta total]]-gemini_code_1787702791259[[#This Row],[Costo total]]</f>
        <v>315</v>
      </c>
      <c r="Q385" s="2">
        <f>gemini_code_1787702791259[[#This Row],[Ganancia bruta]]/gemini_code_1787702791259[[#This Row],[venta total]]</f>
        <v>0.5</v>
      </c>
      <c r="R385" t="str">
        <f>IF(gemini_code_1787702791259[[#This Row],[Dias_Entrega]]&lt;=gemini_code_1787702791259[[#This Row],[Promesa_SLA_Dias]],"A tiempo","Fuera de SLA")</f>
        <v>Fuera de SLA</v>
      </c>
    </row>
    <row r="386" spans="1:18" x14ac:dyDescent="0.25">
      <c r="A386" t="s">
        <v>73</v>
      </c>
      <c r="B386" s="1">
        <v>46243</v>
      </c>
      <c r="C386" t="s">
        <v>14</v>
      </c>
      <c r="D386" t="s">
        <v>15</v>
      </c>
      <c r="E386" t="s">
        <v>22</v>
      </c>
      <c r="F386" t="s">
        <v>17</v>
      </c>
      <c r="G386" t="s">
        <v>74</v>
      </c>
      <c r="H386">
        <v>3</v>
      </c>
      <c r="I386" s="12">
        <v>310</v>
      </c>
      <c r="J386" s="12">
        <v>210</v>
      </c>
      <c r="K386">
        <v>2</v>
      </c>
      <c r="L386">
        <v>3</v>
      </c>
      <c r="M386">
        <v>900</v>
      </c>
      <c r="N386" s="12">
        <f>+gemini_code_1787702791259[[#This Row],[Cantidad]]*gemini_code_1787702791259[[#This Row],[Precio_Unitario_USD]]</f>
        <v>930</v>
      </c>
      <c r="O386" s="12">
        <f>+gemini_code_1787702791259[[#This Row],[Cantidad]]*gemini_code_1787702791259[[#This Row],[Costo_Unitario_USD]]</f>
        <v>630</v>
      </c>
      <c r="P386" s="12">
        <f>+gemini_code_1787702791259[[#This Row],[venta total]]-gemini_code_1787702791259[[#This Row],[Costo total]]</f>
        <v>300</v>
      </c>
      <c r="Q386" s="2">
        <f>gemini_code_1787702791259[[#This Row],[Ganancia bruta]]/gemini_code_1787702791259[[#This Row],[venta total]]</f>
        <v>0.32258064516129031</v>
      </c>
      <c r="R386" t="str">
        <f>IF(gemini_code_1787702791259[[#This Row],[Dias_Entrega]]&lt;=gemini_code_1787702791259[[#This Row],[Promesa_SLA_Dias]],"A tiempo","Fuera de SLA")</f>
        <v>A tiempo</v>
      </c>
    </row>
    <row r="387" spans="1:18" x14ac:dyDescent="0.25">
      <c r="A387" t="s">
        <v>75</v>
      </c>
      <c r="B387" s="1">
        <v>46243</v>
      </c>
      <c r="C387" t="s">
        <v>20</v>
      </c>
      <c r="D387" t="s">
        <v>21</v>
      </c>
      <c r="E387" t="s">
        <v>16</v>
      </c>
      <c r="F387" t="s">
        <v>23</v>
      </c>
      <c r="G387" t="s">
        <v>76</v>
      </c>
      <c r="H387">
        <v>8</v>
      </c>
      <c r="I387" s="12">
        <v>50</v>
      </c>
      <c r="J387" s="12">
        <v>22</v>
      </c>
      <c r="K387">
        <v>2</v>
      </c>
      <c r="L387">
        <v>3</v>
      </c>
      <c r="M387">
        <v>400</v>
      </c>
      <c r="N387" s="12">
        <f>+gemini_code_1787702791259[[#This Row],[Cantidad]]*gemini_code_1787702791259[[#This Row],[Precio_Unitario_USD]]</f>
        <v>400</v>
      </c>
      <c r="O387" s="12">
        <f>+gemini_code_1787702791259[[#This Row],[Cantidad]]*gemini_code_1787702791259[[#This Row],[Costo_Unitario_USD]]</f>
        <v>176</v>
      </c>
      <c r="P387" s="12">
        <f>+gemini_code_1787702791259[[#This Row],[venta total]]-gemini_code_1787702791259[[#This Row],[Costo total]]</f>
        <v>224</v>
      </c>
      <c r="Q387" s="2">
        <f>gemini_code_1787702791259[[#This Row],[Ganancia bruta]]/gemini_code_1787702791259[[#This Row],[venta total]]</f>
        <v>0.56000000000000005</v>
      </c>
      <c r="R387" t="str">
        <f>IF(gemini_code_1787702791259[[#This Row],[Dias_Entrega]]&lt;=gemini_code_1787702791259[[#This Row],[Promesa_SLA_Dias]],"A tiempo","Fuera de SLA")</f>
        <v>A tiempo</v>
      </c>
    </row>
    <row r="388" spans="1:18" x14ac:dyDescent="0.25">
      <c r="A388" t="s">
        <v>77</v>
      </c>
      <c r="B388" s="1">
        <v>46243</v>
      </c>
      <c r="C388" t="s">
        <v>26</v>
      </c>
      <c r="D388" t="s">
        <v>27</v>
      </c>
      <c r="E388" t="s">
        <v>16</v>
      </c>
      <c r="F388" t="s">
        <v>28</v>
      </c>
      <c r="G388" t="s">
        <v>78</v>
      </c>
      <c r="H388">
        <v>1</v>
      </c>
      <c r="I388" s="12">
        <v>750</v>
      </c>
      <c r="J388" s="12">
        <v>480</v>
      </c>
      <c r="K388">
        <v>8</v>
      </c>
      <c r="L388">
        <v>4</v>
      </c>
      <c r="M388">
        <v>700</v>
      </c>
      <c r="N388" s="12">
        <f>+gemini_code_1787702791259[[#This Row],[Cantidad]]*gemini_code_1787702791259[[#This Row],[Precio_Unitario_USD]]</f>
        <v>750</v>
      </c>
      <c r="O388" s="12">
        <f>+gemini_code_1787702791259[[#This Row],[Cantidad]]*gemini_code_1787702791259[[#This Row],[Costo_Unitario_USD]]</f>
        <v>480</v>
      </c>
      <c r="P388" s="12">
        <f>+gemini_code_1787702791259[[#This Row],[venta total]]-gemini_code_1787702791259[[#This Row],[Costo total]]</f>
        <v>270</v>
      </c>
      <c r="Q388" s="2">
        <f>gemini_code_1787702791259[[#This Row],[Ganancia bruta]]/gemini_code_1787702791259[[#This Row],[venta total]]</f>
        <v>0.36</v>
      </c>
      <c r="R388" t="str">
        <f>IF(gemini_code_1787702791259[[#This Row],[Dias_Entrega]]&lt;=gemini_code_1787702791259[[#This Row],[Promesa_SLA_Dias]],"A tiempo","Fuera de SLA")</f>
        <v>Fuera de SLA</v>
      </c>
    </row>
    <row r="389" spans="1:18" x14ac:dyDescent="0.25">
      <c r="A389" t="s">
        <v>79</v>
      </c>
      <c r="B389" s="1">
        <v>46244</v>
      </c>
      <c r="C389" t="s">
        <v>14</v>
      </c>
      <c r="D389" t="s">
        <v>15</v>
      </c>
      <c r="E389" t="s">
        <v>16</v>
      </c>
      <c r="F389" t="s">
        <v>31</v>
      </c>
      <c r="G389" t="s">
        <v>80</v>
      </c>
      <c r="H389">
        <v>4</v>
      </c>
      <c r="I389" s="12">
        <v>140</v>
      </c>
      <c r="J389" s="12">
        <v>75</v>
      </c>
      <c r="K389">
        <v>3</v>
      </c>
      <c r="L389">
        <v>3</v>
      </c>
      <c r="M389">
        <v>500</v>
      </c>
      <c r="N389" s="12">
        <f>+gemini_code_1787702791259[[#This Row],[Cantidad]]*gemini_code_1787702791259[[#This Row],[Precio_Unitario_USD]]</f>
        <v>560</v>
      </c>
      <c r="O389" s="12">
        <f>+gemini_code_1787702791259[[#This Row],[Cantidad]]*gemini_code_1787702791259[[#This Row],[Costo_Unitario_USD]]</f>
        <v>300</v>
      </c>
      <c r="P389" s="12">
        <f>+gemini_code_1787702791259[[#This Row],[venta total]]-gemini_code_1787702791259[[#This Row],[Costo total]]</f>
        <v>260</v>
      </c>
      <c r="Q389" s="2">
        <f>gemini_code_1787702791259[[#This Row],[Ganancia bruta]]/gemini_code_1787702791259[[#This Row],[venta total]]</f>
        <v>0.4642857142857143</v>
      </c>
      <c r="R389" t="str">
        <f>IF(gemini_code_1787702791259[[#This Row],[Dias_Entrega]]&lt;=gemini_code_1787702791259[[#This Row],[Promesa_SLA_Dias]],"A tiempo","Fuera de SLA")</f>
        <v>A tiempo</v>
      </c>
    </row>
    <row r="390" spans="1:18" x14ac:dyDescent="0.25">
      <c r="A390" t="s">
        <v>81</v>
      </c>
      <c r="B390" s="1">
        <v>46244</v>
      </c>
      <c r="C390" t="s">
        <v>20</v>
      </c>
      <c r="D390" t="s">
        <v>21</v>
      </c>
      <c r="E390" t="s">
        <v>22</v>
      </c>
      <c r="F390" t="s">
        <v>17</v>
      </c>
      <c r="G390" t="s">
        <v>82</v>
      </c>
      <c r="H390">
        <v>6</v>
      </c>
      <c r="I390" s="12">
        <v>90</v>
      </c>
      <c r="J390" s="12">
        <v>50</v>
      </c>
      <c r="K390">
        <v>1</v>
      </c>
      <c r="L390">
        <v>2</v>
      </c>
      <c r="M390">
        <v>500</v>
      </c>
      <c r="N390" s="12">
        <f>+gemini_code_1787702791259[[#This Row],[Cantidad]]*gemini_code_1787702791259[[#This Row],[Precio_Unitario_USD]]</f>
        <v>540</v>
      </c>
      <c r="O390" s="12">
        <f>+gemini_code_1787702791259[[#This Row],[Cantidad]]*gemini_code_1787702791259[[#This Row],[Costo_Unitario_USD]]</f>
        <v>300</v>
      </c>
      <c r="P390" s="12">
        <f>+gemini_code_1787702791259[[#This Row],[venta total]]-gemini_code_1787702791259[[#This Row],[Costo total]]</f>
        <v>240</v>
      </c>
      <c r="Q390" s="2">
        <f>gemini_code_1787702791259[[#This Row],[Ganancia bruta]]/gemini_code_1787702791259[[#This Row],[venta total]]</f>
        <v>0.44444444444444442</v>
      </c>
      <c r="R390" t="str">
        <f>IF(gemini_code_1787702791259[[#This Row],[Dias_Entrega]]&lt;=gemini_code_1787702791259[[#This Row],[Promesa_SLA_Dias]],"A tiempo","Fuera de SLA")</f>
        <v>A tiempo</v>
      </c>
    </row>
    <row r="391" spans="1:18" x14ac:dyDescent="0.25">
      <c r="A391" t="s">
        <v>83</v>
      </c>
      <c r="B391" s="1">
        <v>46244</v>
      </c>
      <c r="C391" t="s">
        <v>26</v>
      </c>
      <c r="D391" t="s">
        <v>27</v>
      </c>
      <c r="E391" t="s">
        <v>16</v>
      </c>
      <c r="F391" t="s">
        <v>23</v>
      </c>
      <c r="G391" t="s">
        <v>84</v>
      </c>
      <c r="H391">
        <v>6</v>
      </c>
      <c r="I391" s="12">
        <v>60</v>
      </c>
      <c r="J391" s="12">
        <v>28</v>
      </c>
      <c r="K391">
        <v>5</v>
      </c>
      <c r="L391">
        <v>3</v>
      </c>
      <c r="M391">
        <v>350</v>
      </c>
      <c r="N391" s="12">
        <f>+gemini_code_1787702791259[[#This Row],[Cantidad]]*gemini_code_1787702791259[[#This Row],[Precio_Unitario_USD]]</f>
        <v>360</v>
      </c>
      <c r="O391" s="12">
        <f>+gemini_code_1787702791259[[#This Row],[Cantidad]]*gemini_code_1787702791259[[#This Row],[Costo_Unitario_USD]]</f>
        <v>168</v>
      </c>
      <c r="P391" s="12">
        <f>+gemini_code_1787702791259[[#This Row],[venta total]]-gemini_code_1787702791259[[#This Row],[Costo total]]</f>
        <v>192</v>
      </c>
      <c r="Q391" s="2">
        <f>gemini_code_1787702791259[[#This Row],[Ganancia bruta]]/gemini_code_1787702791259[[#This Row],[venta total]]</f>
        <v>0.53333333333333333</v>
      </c>
      <c r="R391" t="str">
        <f>IF(gemini_code_1787702791259[[#This Row],[Dias_Entrega]]&lt;=gemini_code_1787702791259[[#This Row],[Promesa_SLA_Dias]],"A tiempo","Fuera de SLA")</f>
        <v>Fuera de SLA</v>
      </c>
    </row>
    <row r="392" spans="1:18" x14ac:dyDescent="0.25">
      <c r="A392" t="s">
        <v>13</v>
      </c>
      <c r="B392" s="1">
        <v>46235</v>
      </c>
      <c r="C392" t="s">
        <v>14</v>
      </c>
      <c r="D392" t="s">
        <v>15</v>
      </c>
      <c r="E392" t="s">
        <v>16</v>
      </c>
      <c r="F392" t="s">
        <v>17</v>
      </c>
      <c r="G392" t="s">
        <v>18</v>
      </c>
      <c r="H392">
        <v>2</v>
      </c>
      <c r="I392" s="12">
        <v>850</v>
      </c>
      <c r="J392" s="12">
        <v>600</v>
      </c>
      <c r="K392">
        <v>2</v>
      </c>
      <c r="L392">
        <v>3</v>
      </c>
      <c r="M392">
        <v>1500</v>
      </c>
      <c r="N392" s="12">
        <f>+gemini_code_1787702791259[[#This Row],[Cantidad]]*gemini_code_1787702791259[[#This Row],[Precio_Unitario_USD]]</f>
        <v>1700</v>
      </c>
      <c r="O392" s="12">
        <f>+gemini_code_1787702791259[[#This Row],[Cantidad]]*gemini_code_1787702791259[[#This Row],[Costo_Unitario_USD]]</f>
        <v>1200</v>
      </c>
      <c r="P392" s="12">
        <f>+gemini_code_1787702791259[[#This Row],[venta total]]-gemini_code_1787702791259[[#This Row],[Costo total]]</f>
        <v>500</v>
      </c>
      <c r="Q392" s="2">
        <f>gemini_code_1787702791259[[#This Row],[Ganancia bruta]]/gemini_code_1787702791259[[#This Row],[venta total]]</f>
        <v>0.29411764705882354</v>
      </c>
      <c r="R392" t="str">
        <f>IF(gemini_code_1787702791259[[#This Row],[Dias_Entrega]]&lt;=gemini_code_1787702791259[[#This Row],[Promesa_SLA_Dias]],"A tiempo","Fuera de SLA")</f>
        <v>A tiempo</v>
      </c>
    </row>
    <row r="393" spans="1:18" x14ac:dyDescent="0.25">
      <c r="A393" t="s">
        <v>19</v>
      </c>
      <c r="B393" s="1">
        <v>46235</v>
      </c>
      <c r="C393" t="s">
        <v>20</v>
      </c>
      <c r="D393" t="s">
        <v>21</v>
      </c>
      <c r="E393" t="s">
        <v>22</v>
      </c>
      <c r="F393" t="s">
        <v>23</v>
      </c>
      <c r="G393" t="s">
        <v>24</v>
      </c>
      <c r="H393">
        <v>5</v>
      </c>
      <c r="I393" s="12">
        <v>120</v>
      </c>
      <c r="J393" s="12">
        <v>70</v>
      </c>
      <c r="K393">
        <v>3</v>
      </c>
      <c r="L393">
        <v>3</v>
      </c>
      <c r="M393">
        <v>500</v>
      </c>
      <c r="N393" s="12">
        <f>+gemini_code_1787702791259[[#This Row],[Cantidad]]*gemini_code_1787702791259[[#This Row],[Precio_Unitario_USD]]</f>
        <v>600</v>
      </c>
      <c r="O393" s="12">
        <f>+gemini_code_1787702791259[[#This Row],[Cantidad]]*gemini_code_1787702791259[[#This Row],[Costo_Unitario_USD]]</f>
        <v>350</v>
      </c>
      <c r="P393" s="12">
        <f>+gemini_code_1787702791259[[#This Row],[venta total]]-gemini_code_1787702791259[[#This Row],[Costo total]]</f>
        <v>250</v>
      </c>
      <c r="Q393" s="2">
        <f>gemini_code_1787702791259[[#This Row],[Ganancia bruta]]/gemini_code_1787702791259[[#This Row],[venta total]]</f>
        <v>0.41666666666666669</v>
      </c>
      <c r="R393" t="str">
        <f>IF(gemini_code_1787702791259[[#This Row],[Dias_Entrega]]&lt;=gemini_code_1787702791259[[#This Row],[Promesa_SLA_Dias]],"A tiempo","Fuera de SLA")</f>
        <v>A tiempo</v>
      </c>
    </row>
    <row r="394" spans="1:18" x14ac:dyDescent="0.25">
      <c r="A394" t="s">
        <v>25</v>
      </c>
      <c r="B394" s="1">
        <v>46235</v>
      </c>
      <c r="C394" t="s">
        <v>26</v>
      </c>
      <c r="D394" t="s">
        <v>27</v>
      </c>
      <c r="E394" t="s">
        <v>16</v>
      </c>
      <c r="F394" t="s">
        <v>28</v>
      </c>
      <c r="G394" t="s">
        <v>29</v>
      </c>
      <c r="H394">
        <v>3</v>
      </c>
      <c r="I394" s="12">
        <v>90</v>
      </c>
      <c r="J394" s="12">
        <v>50</v>
      </c>
      <c r="K394">
        <v>6</v>
      </c>
      <c r="L394">
        <v>4</v>
      </c>
      <c r="M394">
        <v>300</v>
      </c>
      <c r="N394" s="12">
        <f>+gemini_code_1787702791259[[#This Row],[Cantidad]]*gemini_code_1787702791259[[#This Row],[Precio_Unitario_USD]]</f>
        <v>270</v>
      </c>
      <c r="O394" s="12">
        <f>+gemini_code_1787702791259[[#This Row],[Cantidad]]*gemini_code_1787702791259[[#This Row],[Costo_Unitario_USD]]</f>
        <v>150</v>
      </c>
      <c r="P394" s="12">
        <f>+gemini_code_1787702791259[[#This Row],[venta total]]-gemini_code_1787702791259[[#This Row],[Costo total]]</f>
        <v>120</v>
      </c>
      <c r="Q394" s="2">
        <f>gemini_code_1787702791259[[#This Row],[Ganancia bruta]]/gemini_code_1787702791259[[#This Row],[venta total]]</f>
        <v>0.44444444444444442</v>
      </c>
      <c r="R394" t="str">
        <f>IF(gemini_code_1787702791259[[#This Row],[Dias_Entrega]]&lt;=gemini_code_1787702791259[[#This Row],[Promesa_SLA_Dias]],"A tiempo","Fuera de SLA")</f>
        <v>Fuera de SLA</v>
      </c>
    </row>
    <row r="395" spans="1:18" x14ac:dyDescent="0.25">
      <c r="A395" t="s">
        <v>30</v>
      </c>
      <c r="B395" s="1">
        <v>46236</v>
      </c>
      <c r="C395" t="s">
        <v>14</v>
      </c>
      <c r="D395" t="s">
        <v>15</v>
      </c>
      <c r="E395" t="s">
        <v>22</v>
      </c>
      <c r="F395" t="s">
        <v>31</v>
      </c>
      <c r="G395" t="s">
        <v>32</v>
      </c>
      <c r="H395">
        <v>4</v>
      </c>
      <c r="I395" s="12">
        <v>110</v>
      </c>
      <c r="J395" s="12">
        <v>60</v>
      </c>
      <c r="K395">
        <v>1</v>
      </c>
      <c r="L395">
        <v>2</v>
      </c>
      <c r="M395">
        <v>400</v>
      </c>
      <c r="N395" s="12">
        <f>+gemini_code_1787702791259[[#This Row],[Cantidad]]*gemini_code_1787702791259[[#This Row],[Precio_Unitario_USD]]</f>
        <v>440</v>
      </c>
      <c r="O395" s="12">
        <f>+gemini_code_1787702791259[[#This Row],[Cantidad]]*gemini_code_1787702791259[[#This Row],[Costo_Unitario_USD]]</f>
        <v>240</v>
      </c>
      <c r="P395" s="12">
        <f>+gemini_code_1787702791259[[#This Row],[venta total]]-gemini_code_1787702791259[[#This Row],[Costo total]]</f>
        <v>200</v>
      </c>
      <c r="Q395" s="2">
        <f>gemini_code_1787702791259[[#This Row],[Ganancia bruta]]/gemini_code_1787702791259[[#This Row],[venta total]]</f>
        <v>0.45454545454545453</v>
      </c>
      <c r="R395" t="str">
        <f>IF(gemini_code_1787702791259[[#This Row],[Dias_Entrega]]&lt;=gemini_code_1787702791259[[#This Row],[Promesa_SLA_Dias]],"A tiempo","Fuera de SLA")</f>
        <v>A tiempo</v>
      </c>
    </row>
    <row r="396" spans="1:18" x14ac:dyDescent="0.25">
      <c r="A396" t="s">
        <v>33</v>
      </c>
      <c r="B396" s="1">
        <v>46236</v>
      </c>
      <c r="C396" t="s">
        <v>20</v>
      </c>
      <c r="D396" t="s">
        <v>21</v>
      </c>
      <c r="E396" t="s">
        <v>16</v>
      </c>
      <c r="F396" t="s">
        <v>17</v>
      </c>
      <c r="G396" t="s">
        <v>34</v>
      </c>
      <c r="H396">
        <v>3</v>
      </c>
      <c r="I396" s="12">
        <v>650</v>
      </c>
      <c r="J396" s="12">
        <v>450</v>
      </c>
      <c r="K396">
        <v>2</v>
      </c>
      <c r="L396">
        <v>3</v>
      </c>
      <c r="M396">
        <v>1800</v>
      </c>
      <c r="N396" s="12">
        <f>+gemini_code_1787702791259[[#This Row],[Cantidad]]*gemini_code_1787702791259[[#This Row],[Precio_Unitario_USD]]</f>
        <v>1950</v>
      </c>
      <c r="O396" s="12">
        <f>+gemini_code_1787702791259[[#This Row],[Cantidad]]*gemini_code_1787702791259[[#This Row],[Costo_Unitario_USD]]</f>
        <v>1350</v>
      </c>
      <c r="P396" s="12">
        <f>+gemini_code_1787702791259[[#This Row],[venta total]]-gemini_code_1787702791259[[#This Row],[Costo total]]</f>
        <v>600</v>
      </c>
      <c r="Q396" s="2">
        <f>gemini_code_1787702791259[[#This Row],[Ganancia bruta]]/gemini_code_1787702791259[[#This Row],[venta total]]</f>
        <v>0.30769230769230771</v>
      </c>
      <c r="R396" t="str">
        <f>IF(gemini_code_1787702791259[[#This Row],[Dias_Entrega]]&lt;=gemini_code_1787702791259[[#This Row],[Promesa_SLA_Dias]],"A tiempo","Fuera de SLA")</f>
        <v>A tiempo</v>
      </c>
    </row>
    <row r="397" spans="1:18" x14ac:dyDescent="0.25">
      <c r="A397" t="s">
        <v>35</v>
      </c>
      <c r="B397" s="1">
        <v>46236</v>
      </c>
      <c r="C397" t="s">
        <v>26</v>
      </c>
      <c r="D397" t="s">
        <v>27</v>
      </c>
      <c r="E397" t="s">
        <v>16</v>
      </c>
      <c r="F397" t="s">
        <v>23</v>
      </c>
      <c r="G397" t="s">
        <v>36</v>
      </c>
      <c r="H397">
        <v>8</v>
      </c>
      <c r="I397" s="12">
        <v>45</v>
      </c>
      <c r="J397" s="12">
        <v>20</v>
      </c>
      <c r="K397">
        <v>5</v>
      </c>
      <c r="L397">
        <v>3</v>
      </c>
      <c r="M397">
        <v>400</v>
      </c>
      <c r="N397" s="12">
        <f>+gemini_code_1787702791259[[#This Row],[Cantidad]]*gemini_code_1787702791259[[#This Row],[Precio_Unitario_USD]]</f>
        <v>360</v>
      </c>
      <c r="O397" s="12">
        <f>+gemini_code_1787702791259[[#This Row],[Cantidad]]*gemini_code_1787702791259[[#This Row],[Costo_Unitario_USD]]</f>
        <v>160</v>
      </c>
      <c r="P397" s="12">
        <f>+gemini_code_1787702791259[[#This Row],[venta total]]-gemini_code_1787702791259[[#This Row],[Costo total]]</f>
        <v>200</v>
      </c>
      <c r="Q397" s="2">
        <f>gemini_code_1787702791259[[#This Row],[Ganancia bruta]]/gemini_code_1787702791259[[#This Row],[venta total]]</f>
        <v>0.55555555555555558</v>
      </c>
      <c r="R397" t="str">
        <f>IF(gemini_code_1787702791259[[#This Row],[Dias_Entrega]]&lt;=gemini_code_1787702791259[[#This Row],[Promesa_SLA_Dias]],"A tiempo","Fuera de SLA")</f>
        <v>Fuera de SLA</v>
      </c>
    </row>
    <row r="398" spans="1:18" x14ac:dyDescent="0.25">
      <c r="A398" t="s">
        <v>37</v>
      </c>
      <c r="B398" s="1">
        <v>46237</v>
      </c>
      <c r="C398" t="s">
        <v>14</v>
      </c>
      <c r="D398" t="s">
        <v>15</v>
      </c>
      <c r="E398" t="s">
        <v>16</v>
      </c>
      <c r="F398" t="s">
        <v>28</v>
      </c>
      <c r="G398" t="s">
        <v>38</v>
      </c>
      <c r="H398">
        <v>2</v>
      </c>
      <c r="I398" s="12">
        <v>280</v>
      </c>
      <c r="J398" s="12">
        <v>180</v>
      </c>
      <c r="K398">
        <v>3</v>
      </c>
      <c r="L398">
        <v>3</v>
      </c>
      <c r="M398">
        <v>500</v>
      </c>
      <c r="N398" s="12">
        <f>+gemini_code_1787702791259[[#This Row],[Cantidad]]*gemini_code_1787702791259[[#This Row],[Precio_Unitario_USD]]</f>
        <v>560</v>
      </c>
      <c r="O398" s="12">
        <f>+gemini_code_1787702791259[[#This Row],[Cantidad]]*gemini_code_1787702791259[[#This Row],[Costo_Unitario_USD]]</f>
        <v>360</v>
      </c>
      <c r="P398" s="12">
        <f>+gemini_code_1787702791259[[#This Row],[venta total]]-gemini_code_1787702791259[[#This Row],[Costo total]]</f>
        <v>200</v>
      </c>
      <c r="Q398" s="2">
        <f>gemini_code_1787702791259[[#This Row],[Ganancia bruta]]/gemini_code_1787702791259[[#This Row],[venta total]]</f>
        <v>0.35714285714285715</v>
      </c>
      <c r="R398" t="str">
        <f>IF(gemini_code_1787702791259[[#This Row],[Dias_Entrega]]&lt;=gemini_code_1787702791259[[#This Row],[Promesa_SLA_Dias]],"A tiempo","Fuera de SLA")</f>
        <v>A tiempo</v>
      </c>
    </row>
    <row r="399" spans="1:18" x14ac:dyDescent="0.25">
      <c r="A399" t="s">
        <v>39</v>
      </c>
      <c r="B399" s="1">
        <v>46237</v>
      </c>
      <c r="C399" t="s">
        <v>20</v>
      </c>
      <c r="D399" t="s">
        <v>21</v>
      </c>
      <c r="E399" t="s">
        <v>22</v>
      </c>
      <c r="F399" t="s">
        <v>31</v>
      </c>
      <c r="G399" t="s">
        <v>40</v>
      </c>
      <c r="H399">
        <v>3</v>
      </c>
      <c r="I399" s="12">
        <v>150</v>
      </c>
      <c r="J399" s="12">
        <v>85</v>
      </c>
      <c r="K399">
        <v>2</v>
      </c>
      <c r="L399">
        <v>2</v>
      </c>
      <c r="M399">
        <v>400</v>
      </c>
      <c r="N399" s="12">
        <f>+gemini_code_1787702791259[[#This Row],[Cantidad]]*gemini_code_1787702791259[[#This Row],[Precio_Unitario_USD]]</f>
        <v>450</v>
      </c>
      <c r="O399" s="12">
        <f>+gemini_code_1787702791259[[#This Row],[Cantidad]]*gemini_code_1787702791259[[#This Row],[Costo_Unitario_USD]]</f>
        <v>255</v>
      </c>
      <c r="P399" s="12">
        <f>+gemini_code_1787702791259[[#This Row],[venta total]]-gemini_code_1787702791259[[#This Row],[Costo total]]</f>
        <v>195</v>
      </c>
      <c r="Q399" s="2">
        <f>gemini_code_1787702791259[[#This Row],[Ganancia bruta]]/gemini_code_1787702791259[[#This Row],[venta total]]</f>
        <v>0.43333333333333335</v>
      </c>
      <c r="R399" t="str">
        <f>IF(gemini_code_1787702791259[[#This Row],[Dias_Entrega]]&lt;=gemini_code_1787702791259[[#This Row],[Promesa_SLA_Dias]],"A tiempo","Fuera de SLA")</f>
        <v>A tiempo</v>
      </c>
    </row>
    <row r="400" spans="1:18" x14ac:dyDescent="0.25">
      <c r="A400" t="s">
        <v>41</v>
      </c>
      <c r="B400" s="1">
        <v>46237</v>
      </c>
      <c r="C400" t="s">
        <v>26</v>
      </c>
      <c r="D400" t="s">
        <v>27</v>
      </c>
      <c r="E400" t="s">
        <v>16</v>
      </c>
      <c r="F400" t="s">
        <v>17</v>
      </c>
      <c r="G400" t="s">
        <v>42</v>
      </c>
      <c r="H400">
        <v>2</v>
      </c>
      <c r="I400" s="12">
        <v>520</v>
      </c>
      <c r="J400" s="12">
        <v>380</v>
      </c>
      <c r="K400">
        <v>7</v>
      </c>
      <c r="L400">
        <v>4</v>
      </c>
      <c r="M400">
        <v>1000</v>
      </c>
      <c r="N400" s="12">
        <f>+gemini_code_1787702791259[[#This Row],[Cantidad]]*gemini_code_1787702791259[[#This Row],[Precio_Unitario_USD]]</f>
        <v>1040</v>
      </c>
      <c r="O400" s="12">
        <f>+gemini_code_1787702791259[[#This Row],[Cantidad]]*gemini_code_1787702791259[[#This Row],[Costo_Unitario_USD]]</f>
        <v>760</v>
      </c>
      <c r="P400" s="12">
        <f>+gemini_code_1787702791259[[#This Row],[venta total]]-gemini_code_1787702791259[[#This Row],[Costo total]]</f>
        <v>280</v>
      </c>
      <c r="Q400" s="2">
        <f>gemini_code_1787702791259[[#This Row],[Ganancia bruta]]/gemini_code_1787702791259[[#This Row],[venta total]]</f>
        <v>0.26923076923076922</v>
      </c>
      <c r="R400" t="str">
        <f>IF(gemini_code_1787702791259[[#This Row],[Dias_Entrega]]&lt;=gemini_code_1787702791259[[#This Row],[Promesa_SLA_Dias]],"A tiempo","Fuera de SLA")</f>
        <v>Fuera de SLA</v>
      </c>
    </row>
    <row r="401" spans="1:18" x14ac:dyDescent="0.25">
      <c r="A401" t="s">
        <v>43</v>
      </c>
      <c r="B401" s="1">
        <v>46238</v>
      </c>
      <c r="C401" t="s">
        <v>14</v>
      </c>
      <c r="D401" t="s">
        <v>15</v>
      </c>
      <c r="E401" t="s">
        <v>22</v>
      </c>
      <c r="F401" t="s">
        <v>23</v>
      </c>
      <c r="G401" t="s">
        <v>44</v>
      </c>
      <c r="H401">
        <v>6</v>
      </c>
      <c r="I401" s="12">
        <v>55</v>
      </c>
      <c r="J401" s="12">
        <v>25</v>
      </c>
      <c r="K401">
        <v>2</v>
      </c>
      <c r="L401">
        <v>3</v>
      </c>
      <c r="M401">
        <v>300</v>
      </c>
      <c r="N401" s="12">
        <f>+gemini_code_1787702791259[[#This Row],[Cantidad]]*gemini_code_1787702791259[[#This Row],[Precio_Unitario_USD]]</f>
        <v>330</v>
      </c>
      <c r="O401" s="12">
        <f>+gemini_code_1787702791259[[#This Row],[Cantidad]]*gemini_code_1787702791259[[#This Row],[Costo_Unitario_USD]]</f>
        <v>150</v>
      </c>
      <c r="P401" s="12">
        <f>+gemini_code_1787702791259[[#This Row],[venta total]]-gemini_code_1787702791259[[#This Row],[Costo total]]</f>
        <v>180</v>
      </c>
      <c r="Q401" s="2">
        <f>gemini_code_1787702791259[[#This Row],[Ganancia bruta]]/gemini_code_1787702791259[[#This Row],[venta total]]</f>
        <v>0.54545454545454541</v>
      </c>
      <c r="R401" t="str">
        <f>IF(gemini_code_1787702791259[[#This Row],[Dias_Entrega]]&lt;=gemini_code_1787702791259[[#This Row],[Promesa_SLA_Dias]],"A tiempo","Fuera de SLA")</f>
        <v>A tiempo</v>
      </c>
    </row>
    <row r="402" spans="1:18" x14ac:dyDescent="0.25">
      <c r="A402" t="s">
        <v>45</v>
      </c>
      <c r="B402" s="1">
        <v>46238</v>
      </c>
      <c r="C402" t="s">
        <v>20</v>
      </c>
      <c r="D402" t="s">
        <v>21</v>
      </c>
      <c r="E402" t="s">
        <v>16</v>
      </c>
      <c r="F402" t="s">
        <v>28</v>
      </c>
      <c r="G402" t="s">
        <v>46</v>
      </c>
      <c r="H402">
        <v>1</v>
      </c>
      <c r="I402" s="12">
        <v>450</v>
      </c>
      <c r="J402" s="12">
        <v>290</v>
      </c>
      <c r="K402">
        <v>4</v>
      </c>
      <c r="L402">
        <v>3</v>
      </c>
      <c r="M402">
        <v>400</v>
      </c>
      <c r="N402" s="12">
        <f>+gemini_code_1787702791259[[#This Row],[Cantidad]]*gemini_code_1787702791259[[#This Row],[Precio_Unitario_USD]]</f>
        <v>450</v>
      </c>
      <c r="O402" s="12">
        <f>+gemini_code_1787702791259[[#This Row],[Cantidad]]*gemini_code_1787702791259[[#This Row],[Costo_Unitario_USD]]</f>
        <v>290</v>
      </c>
      <c r="P402" s="12">
        <f>+gemini_code_1787702791259[[#This Row],[venta total]]-gemini_code_1787702791259[[#This Row],[Costo total]]</f>
        <v>160</v>
      </c>
      <c r="Q402" s="2">
        <f>gemini_code_1787702791259[[#This Row],[Ganancia bruta]]/gemini_code_1787702791259[[#This Row],[venta total]]</f>
        <v>0.35555555555555557</v>
      </c>
      <c r="R402" t="str">
        <f>IF(gemini_code_1787702791259[[#This Row],[Dias_Entrega]]&lt;=gemini_code_1787702791259[[#This Row],[Promesa_SLA_Dias]],"A tiempo","Fuera de SLA")</f>
        <v>Fuera de SLA</v>
      </c>
    </row>
    <row r="403" spans="1:18" x14ac:dyDescent="0.25">
      <c r="A403" t="s">
        <v>47</v>
      </c>
      <c r="B403" s="1">
        <v>46238</v>
      </c>
      <c r="C403" t="s">
        <v>26</v>
      </c>
      <c r="D403" t="s">
        <v>27</v>
      </c>
      <c r="E403" t="s">
        <v>22</v>
      </c>
      <c r="F403" t="s">
        <v>31</v>
      </c>
      <c r="G403" t="s">
        <v>48</v>
      </c>
      <c r="H403">
        <v>10</v>
      </c>
      <c r="I403" s="12">
        <v>35</v>
      </c>
      <c r="J403" s="12">
        <v>15</v>
      </c>
      <c r="K403">
        <v>4</v>
      </c>
      <c r="L403">
        <v>3</v>
      </c>
      <c r="M403">
        <v>300</v>
      </c>
      <c r="N403" s="12">
        <f>+gemini_code_1787702791259[[#This Row],[Cantidad]]*gemini_code_1787702791259[[#This Row],[Precio_Unitario_USD]]</f>
        <v>350</v>
      </c>
      <c r="O403" s="12">
        <f>+gemini_code_1787702791259[[#This Row],[Cantidad]]*gemini_code_1787702791259[[#This Row],[Costo_Unitario_USD]]</f>
        <v>150</v>
      </c>
      <c r="P403" s="12">
        <f>+gemini_code_1787702791259[[#This Row],[venta total]]-gemini_code_1787702791259[[#This Row],[Costo total]]</f>
        <v>200</v>
      </c>
      <c r="Q403" s="2">
        <f>gemini_code_1787702791259[[#This Row],[Ganancia bruta]]/gemini_code_1787702791259[[#This Row],[venta total]]</f>
        <v>0.5714285714285714</v>
      </c>
      <c r="R403" t="str">
        <f>IF(gemini_code_1787702791259[[#This Row],[Dias_Entrega]]&lt;=gemini_code_1787702791259[[#This Row],[Promesa_SLA_Dias]],"A tiempo","Fuera de SLA")</f>
        <v>Fuera de SLA</v>
      </c>
    </row>
    <row r="404" spans="1:18" x14ac:dyDescent="0.25">
      <c r="A404" t="s">
        <v>49</v>
      </c>
      <c r="B404" s="1">
        <v>46239</v>
      </c>
      <c r="C404" t="s">
        <v>14</v>
      </c>
      <c r="D404" t="s">
        <v>15</v>
      </c>
      <c r="E404" t="s">
        <v>16</v>
      </c>
      <c r="F404" t="s">
        <v>17</v>
      </c>
      <c r="G404" t="s">
        <v>50</v>
      </c>
      <c r="H404">
        <v>4</v>
      </c>
      <c r="I404" s="12">
        <v>220</v>
      </c>
      <c r="J404" s="12">
        <v>140</v>
      </c>
      <c r="K404">
        <v>2</v>
      </c>
      <c r="L404">
        <v>3</v>
      </c>
      <c r="M404">
        <v>800</v>
      </c>
      <c r="N404" s="12">
        <f>+gemini_code_1787702791259[[#This Row],[Cantidad]]*gemini_code_1787702791259[[#This Row],[Precio_Unitario_USD]]</f>
        <v>880</v>
      </c>
      <c r="O404" s="12">
        <f>+gemini_code_1787702791259[[#This Row],[Cantidad]]*gemini_code_1787702791259[[#This Row],[Costo_Unitario_USD]]</f>
        <v>560</v>
      </c>
      <c r="P404" s="12">
        <f>+gemini_code_1787702791259[[#This Row],[venta total]]-gemini_code_1787702791259[[#This Row],[Costo total]]</f>
        <v>320</v>
      </c>
      <c r="Q404" s="2">
        <f>gemini_code_1787702791259[[#This Row],[Ganancia bruta]]/gemini_code_1787702791259[[#This Row],[venta total]]</f>
        <v>0.36363636363636365</v>
      </c>
      <c r="R404" t="str">
        <f>IF(gemini_code_1787702791259[[#This Row],[Dias_Entrega]]&lt;=gemini_code_1787702791259[[#This Row],[Promesa_SLA_Dias]],"A tiempo","Fuera de SLA")</f>
        <v>A tiempo</v>
      </c>
    </row>
    <row r="405" spans="1:18" x14ac:dyDescent="0.25">
      <c r="A405" t="s">
        <v>51</v>
      </c>
      <c r="B405" s="1">
        <v>46239</v>
      </c>
      <c r="C405" t="s">
        <v>20</v>
      </c>
      <c r="D405" t="s">
        <v>21</v>
      </c>
      <c r="E405" t="s">
        <v>16</v>
      </c>
      <c r="F405" t="s">
        <v>23</v>
      </c>
      <c r="G405" t="s">
        <v>52</v>
      </c>
      <c r="H405">
        <v>5</v>
      </c>
      <c r="I405" s="12">
        <v>65</v>
      </c>
      <c r="J405" s="12">
        <v>30</v>
      </c>
      <c r="K405">
        <v>2</v>
      </c>
      <c r="L405">
        <v>3</v>
      </c>
      <c r="M405">
        <v>300</v>
      </c>
      <c r="N405" s="12">
        <f>+gemini_code_1787702791259[[#This Row],[Cantidad]]*gemini_code_1787702791259[[#This Row],[Precio_Unitario_USD]]</f>
        <v>325</v>
      </c>
      <c r="O405" s="12">
        <f>+gemini_code_1787702791259[[#This Row],[Cantidad]]*gemini_code_1787702791259[[#This Row],[Costo_Unitario_USD]]</f>
        <v>150</v>
      </c>
      <c r="P405" s="12">
        <f>+gemini_code_1787702791259[[#This Row],[venta total]]-gemini_code_1787702791259[[#This Row],[Costo total]]</f>
        <v>175</v>
      </c>
      <c r="Q405" s="2">
        <f>gemini_code_1787702791259[[#This Row],[Ganancia bruta]]/gemini_code_1787702791259[[#This Row],[venta total]]</f>
        <v>0.53846153846153844</v>
      </c>
      <c r="R405" t="str">
        <f>IF(gemini_code_1787702791259[[#This Row],[Dias_Entrega]]&lt;=gemini_code_1787702791259[[#This Row],[Promesa_SLA_Dias]],"A tiempo","Fuera de SLA")</f>
        <v>A tiempo</v>
      </c>
    </row>
    <row r="406" spans="1:18" x14ac:dyDescent="0.25">
      <c r="A406" t="s">
        <v>53</v>
      </c>
      <c r="B406" s="1">
        <v>46239</v>
      </c>
      <c r="C406" t="s">
        <v>26</v>
      </c>
      <c r="D406" t="s">
        <v>27</v>
      </c>
      <c r="E406" t="s">
        <v>16</v>
      </c>
      <c r="F406" t="s">
        <v>28</v>
      </c>
      <c r="G406" t="s">
        <v>54</v>
      </c>
      <c r="H406">
        <v>2</v>
      </c>
      <c r="I406" s="12">
        <v>180</v>
      </c>
      <c r="J406" s="12">
        <v>110</v>
      </c>
      <c r="K406">
        <v>6</v>
      </c>
      <c r="L406">
        <v>3</v>
      </c>
      <c r="M406">
        <v>350</v>
      </c>
      <c r="N406" s="12">
        <f>+gemini_code_1787702791259[[#This Row],[Cantidad]]*gemini_code_1787702791259[[#This Row],[Precio_Unitario_USD]]</f>
        <v>360</v>
      </c>
      <c r="O406" s="12">
        <f>+gemini_code_1787702791259[[#This Row],[Cantidad]]*gemini_code_1787702791259[[#This Row],[Costo_Unitario_USD]]</f>
        <v>220</v>
      </c>
      <c r="P406" s="12">
        <f>+gemini_code_1787702791259[[#This Row],[venta total]]-gemini_code_1787702791259[[#This Row],[Costo total]]</f>
        <v>140</v>
      </c>
      <c r="Q406" s="2">
        <f>gemini_code_1787702791259[[#This Row],[Ganancia bruta]]/gemini_code_1787702791259[[#This Row],[venta total]]</f>
        <v>0.3888888888888889</v>
      </c>
      <c r="R406" t="str">
        <f>IF(gemini_code_1787702791259[[#This Row],[Dias_Entrega]]&lt;=gemini_code_1787702791259[[#This Row],[Promesa_SLA_Dias]],"A tiempo","Fuera de SLA")</f>
        <v>Fuera de SLA</v>
      </c>
    </row>
    <row r="407" spans="1:18" x14ac:dyDescent="0.25">
      <c r="A407" t="s">
        <v>55</v>
      </c>
      <c r="B407" s="1">
        <v>46240</v>
      </c>
      <c r="C407" t="s">
        <v>14</v>
      </c>
      <c r="D407" t="s">
        <v>15</v>
      </c>
      <c r="E407" t="s">
        <v>22</v>
      </c>
      <c r="F407" t="s">
        <v>31</v>
      </c>
      <c r="G407" t="s">
        <v>56</v>
      </c>
      <c r="H407">
        <v>6</v>
      </c>
      <c r="I407" s="12">
        <v>85</v>
      </c>
      <c r="J407" s="12">
        <v>45</v>
      </c>
      <c r="K407">
        <v>1</v>
      </c>
      <c r="L407">
        <v>2</v>
      </c>
      <c r="M407">
        <v>500</v>
      </c>
      <c r="N407" s="12">
        <f>+gemini_code_1787702791259[[#This Row],[Cantidad]]*gemini_code_1787702791259[[#This Row],[Precio_Unitario_USD]]</f>
        <v>510</v>
      </c>
      <c r="O407" s="12">
        <f>+gemini_code_1787702791259[[#This Row],[Cantidad]]*gemini_code_1787702791259[[#This Row],[Costo_Unitario_USD]]</f>
        <v>270</v>
      </c>
      <c r="P407" s="12">
        <f>+gemini_code_1787702791259[[#This Row],[venta total]]-gemini_code_1787702791259[[#This Row],[Costo total]]</f>
        <v>240</v>
      </c>
      <c r="Q407" s="2">
        <f>gemini_code_1787702791259[[#This Row],[Ganancia bruta]]/gemini_code_1787702791259[[#This Row],[venta total]]</f>
        <v>0.47058823529411764</v>
      </c>
      <c r="R407" t="str">
        <f>IF(gemini_code_1787702791259[[#This Row],[Dias_Entrega]]&lt;=gemini_code_1787702791259[[#This Row],[Promesa_SLA_Dias]],"A tiempo","Fuera de SLA")</f>
        <v>A tiempo</v>
      </c>
    </row>
    <row r="408" spans="1:18" x14ac:dyDescent="0.25">
      <c r="A408" t="s">
        <v>57</v>
      </c>
      <c r="B408" s="1">
        <v>46240</v>
      </c>
      <c r="C408" t="s">
        <v>20</v>
      </c>
      <c r="D408" t="s">
        <v>21</v>
      </c>
      <c r="E408" t="s">
        <v>16</v>
      </c>
      <c r="F408" t="s">
        <v>17</v>
      </c>
      <c r="G408" t="s">
        <v>58</v>
      </c>
      <c r="H408">
        <v>12</v>
      </c>
      <c r="I408" s="12">
        <v>75</v>
      </c>
      <c r="J408" s="12">
        <v>35</v>
      </c>
      <c r="K408">
        <v>1</v>
      </c>
      <c r="L408">
        <v>2</v>
      </c>
      <c r="M408">
        <v>800</v>
      </c>
      <c r="N408" s="12">
        <f>+gemini_code_1787702791259[[#This Row],[Cantidad]]*gemini_code_1787702791259[[#This Row],[Precio_Unitario_USD]]</f>
        <v>900</v>
      </c>
      <c r="O408" s="12">
        <f>+gemini_code_1787702791259[[#This Row],[Cantidad]]*gemini_code_1787702791259[[#This Row],[Costo_Unitario_USD]]</f>
        <v>420</v>
      </c>
      <c r="P408" s="12">
        <f>+gemini_code_1787702791259[[#This Row],[venta total]]-gemini_code_1787702791259[[#This Row],[Costo total]]</f>
        <v>480</v>
      </c>
      <c r="Q408" s="2">
        <f>gemini_code_1787702791259[[#This Row],[Ganancia bruta]]/gemini_code_1787702791259[[#This Row],[venta total]]</f>
        <v>0.53333333333333333</v>
      </c>
      <c r="R408" t="str">
        <f>IF(gemini_code_1787702791259[[#This Row],[Dias_Entrega]]&lt;=gemini_code_1787702791259[[#This Row],[Promesa_SLA_Dias]],"A tiempo","Fuera de SLA")</f>
        <v>A tiempo</v>
      </c>
    </row>
    <row r="409" spans="1:18" x14ac:dyDescent="0.25">
      <c r="A409" t="s">
        <v>59</v>
      </c>
      <c r="B409" s="1">
        <v>46240</v>
      </c>
      <c r="C409" t="s">
        <v>26</v>
      </c>
      <c r="D409" t="s">
        <v>27</v>
      </c>
      <c r="E409" t="s">
        <v>22</v>
      </c>
      <c r="F409" t="s">
        <v>23</v>
      </c>
      <c r="G409" t="s">
        <v>60</v>
      </c>
      <c r="H409">
        <v>4</v>
      </c>
      <c r="I409" s="12">
        <v>110</v>
      </c>
      <c r="J409" s="12">
        <v>55</v>
      </c>
      <c r="K409">
        <v>5</v>
      </c>
      <c r="L409">
        <v>3</v>
      </c>
      <c r="M409">
        <v>400</v>
      </c>
      <c r="N409" s="12">
        <f>+gemini_code_1787702791259[[#This Row],[Cantidad]]*gemini_code_1787702791259[[#This Row],[Precio_Unitario_USD]]</f>
        <v>440</v>
      </c>
      <c r="O409" s="12">
        <f>+gemini_code_1787702791259[[#This Row],[Cantidad]]*gemini_code_1787702791259[[#This Row],[Costo_Unitario_USD]]</f>
        <v>220</v>
      </c>
      <c r="P409" s="12">
        <f>+gemini_code_1787702791259[[#This Row],[venta total]]-gemini_code_1787702791259[[#This Row],[Costo total]]</f>
        <v>220</v>
      </c>
      <c r="Q409" s="2">
        <f>gemini_code_1787702791259[[#This Row],[Ganancia bruta]]/gemini_code_1787702791259[[#This Row],[venta total]]</f>
        <v>0.5</v>
      </c>
      <c r="R409" t="str">
        <f>IF(gemini_code_1787702791259[[#This Row],[Dias_Entrega]]&lt;=gemini_code_1787702791259[[#This Row],[Promesa_SLA_Dias]],"A tiempo","Fuera de SLA")</f>
        <v>Fuera de SLA</v>
      </c>
    </row>
    <row r="410" spans="1:18" x14ac:dyDescent="0.25">
      <c r="A410" t="s">
        <v>61</v>
      </c>
      <c r="B410" s="1">
        <v>46241</v>
      </c>
      <c r="C410" t="s">
        <v>14</v>
      </c>
      <c r="D410" t="s">
        <v>15</v>
      </c>
      <c r="E410" t="s">
        <v>16</v>
      </c>
      <c r="F410" t="s">
        <v>28</v>
      </c>
      <c r="G410" t="s">
        <v>62</v>
      </c>
      <c r="H410">
        <v>15</v>
      </c>
      <c r="I410" s="12">
        <v>25</v>
      </c>
      <c r="J410" s="12">
        <v>10</v>
      </c>
      <c r="K410">
        <v>2</v>
      </c>
      <c r="L410">
        <v>3</v>
      </c>
      <c r="M410">
        <v>300</v>
      </c>
      <c r="N410" s="12">
        <f>+gemini_code_1787702791259[[#This Row],[Cantidad]]*gemini_code_1787702791259[[#This Row],[Precio_Unitario_USD]]</f>
        <v>375</v>
      </c>
      <c r="O410" s="12">
        <f>+gemini_code_1787702791259[[#This Row],[Cantidad]]*gemini_code_1787702791259[[#This Row],[Costo_Unitario_USD]]</f>
        <v>150</v>
      </c>
      <c r="P410" s="12">
        <f>+gemini_code_1787702791259[[#This Row],[venta total]]-gemini_code_1787702791259[[#This Row],[Costo total]]</f>
        <v>225</v>
      </c>
      <c r="Q410" s="2">
        <f>gemini_code_1787702791259[[#This Row],[Ganancia bruta]]/gemini_code_1787702791259[[#This Row],[venta total]]</f>
        <v>0.6</v>
      </c>
      <c r="R410" t="str">
        <f>IF(gemini_code_1787702791259[[#This Row],[Dias_Entrega]]&lt;=gemini_code_1787702791259[[#This Row],[Promesa_SLA_Dias]],"A tiempo","Fuera de SLA")</f>
        <v>A tiempo</v>
      </c>
    </row>
    <row r="411" spans="1:18" x14ac:dyDescent="0.25">
      <c r="A411" t="s">
        <v>63</v>
      </c>
      <c r="B411" s="1">
        <v>46241</v>
      </c>
      <c r="C411" t="s">
        <v>20</v>
      </c>
      <c r="D411" t="s">
        <v>21</v>
      </c>
      <c r="E411" t="s">
        <v>22</v>
      </c>
      <c r="F411" t="s">
        <v>31</v>
      </c>
      <c r="G411" t="s">
        <v>64</v>
      </c>
      <c r="H411">
        <v>5</v>
      </c>
      <c r="I411" s="12">
        <v>130</v>
      </c>
      <c r="J411" s="12">
        <v>70</v>
      </c>
      <c r="K411">
        <v>3</v>
      </c>
      <c r="L411">
        <v>3</v>
      </c>
      <c r="M411">
        <v>600</v>
      </c>
      <c r="N411" s="12">
        <f>+gemini_code_1787702791259[[#This Row],[Cantidad]]*gemini_code_1787702791259[[#This Row],[Precio_Unitario_USD]]</f>
        <v>650</v>
      </c>
      <c r="O411" s="12">
        <f>+gemini_code_1787702791259[[#This Row],[Cantidad]]*gemini_code_1787702791259[[#This Row],[Costo_Unitario_USD]]</f>
        <v>350</v>
      </c>
      <c r="P411" s="12">
        <f>+gemini_code_1787702791259[[#This Row],[venta total]]-gemini_code_1787702791259[[#This Row],[Costo total]]</f>
        <v>300</v>
      </c>
      <c r="Q411" s="2">
        <f>gemini_code_1787702791259[[#This Row],[Ganancia bruta]]/gemini_code_1787702791259[[#This Row],[venta total]]</f>
        <v>0.46153846153846156</v>
      </c>
      <c r="R411" t="str">
        <f>IF(gemini_code_1787702791259[[#This Row],[Dias_Entrega]]&lt;=gemini_code_1787702791259[[#This Row],[Promesa_SLA_Dias]],"A tiempo","Fuera de SLA")</f>
        <v>A tiempo</v>
      </c>
    </row>
    <row r="412" spans="1:18" x14ac:dyDescent="0.25">
      <c r="A412" t="s">
        <v>65</v>
      </c>
      <c r="B412" s="1">
        <v>46241</v>
      </c>
      <c r="C412" t="s">
        <v>26</v>
      </c>
      <c r="D412" t="s">
        <v>27</v>
      </c>
      <c r="E412" t="s">
        <v>16</v>
      </c>
      <c r="F412" t="s">
        <v>17</v>
      </c>
      <c r="G412" t="s">
        <v>66</v>
      </c>
      <c r="H412">
        <v>2</v>
      </c>
      <c r="I412" s="12">
        <v>500</v>
      </c>
      <c r="J412" s="12">
        <v>380</v>
      </c>
      <c r="K412">
        <v>6</v>
      </c>
      <c r="L412">
        <v>4</v>
      </c>
      <c r="M412">
        <v>900</v>
      </c>
      <c r="N412" s="12">
        <f>+gemini_code_1787702791259[[#This Row],[Cantidad]]*gemini_code_1787702791259[[#This Row],[Precio_Unitario_USD]]</f>
        <v>1000</v>
      </c>
      <c r="O412" s="12">
        <f>+gemini_code_1787702791259[[#This Row],[Cantidad]]*gemini_code_1787702791259[[#This Row],[Costo_Unitario_USD]]</f>
        <v>760</v>
      </c>
      <c r="P412" s="12">
        <f>+gemini_code_1787702791259[[#This Row],[venta total]]-gemini_code_1787702791259[[#This Row],[Costo total]]</f>
        <v>240</v>
      </c>
      <c r="Q412" s="2">
        <f>gemini_code_1787702791259[[#This Row],[Ganancia bruta]]/gemini_code_1787702791259[[#This Row],[venta total]]</f>
        <v>0.24</v>
      </c>
      <c r="R412" t="str">
        <f>IF(gemini_code_1787702791259[[#This Row],[Dias_Entrega]]&lt;=gemini_code_1787702791259[[#This Row],[Promesa_SLA_Dias]],"A tiempo","Fuera de SLA")</f>
        <v>Fuera de SLA</v>
      </c>
    </row>
    <row r="413" spans="1:18" x14ac:dyDescent="0.25">
      <c r="A413" t="s">
        <v>67</v>
      </c>
      <c r="B413" s="1">
        <v>46242</v>
      </c>
      <c r="C413" t="s">
        <v>14</v>
      </c>
      <c r="D413" t="s">
        <v>15</v>
      </c>
      <c r="E413" t="s">
        <v>16</v>
      </c>
      <c r="F413" t="s">
        <v>23</v>
      </c>
      <c r="G413" t="s">
        <v>68</v>
      </c>
      <c r="H413">
        <v>3</v>
      </c>
      <c r="I413" s="12">
        <v>95</v>
      </c>
      <c r="J413" s="12">
        <v>45</v>
      </c>
      <c r="K413">
        <v>2</v>
      </c>
      <c r="L413">
        <v>3</v>
      </c>
      <c r="M413">
        <v>300</v>
      </c>
      <c r="N413" s="12">
        <f>+gemini_code_1787702791259[[#This Row],[Cantidad]]*gemini_code_1787702791259[[#This Row],[Precio_Unitario_USD]]</f>
        <v>285</v>
      </c>
      <c r="O413" s="12">
        <f>+gemini_code_1787702791259[[#This Row],[Cantidad]]*gemini_code_1787702791259[[#This Row],[Costo_Unitario_USD]]</f>
        <v>135</v>
      </c>
      <c r="P413" s="12">
        <f>+gemini_code_1787702791259[[#This Row],[venta total]]-gemini_code_1787702791259[[#This Row],[Costo total]]</f>
        <v>150</v>
      </c>
      <c r="Q413" s="2">
        <f>gemini_code_1787702791259[[#This Row],[Ganancia bruta]]/gemini_code_1787702791259[[#This Row],[venta total]]</f>
        <v>0.52631578947368418</v>
      </c>
      <c r="R413" t="str">
        <f>IF(gemini_code_1787702791259[[#This Row],[Dias_Entrega]]&lt;=gemini_code_1787702791259[[#This Row],[Promesa_SLA_Dias]],"A tiempo","Fuera de SLA")</f>
        <v>A tiempo</v>
      </c>
    </row>
    <row r="414" spans="1:18" x14ac:dyDescent="0.25">
      <c r="A414" t="s">
        <v>69</v>
      </c>
      <c r="B414" s="1">
        <v>46242</v>
      </c>
      <c r="C414" t="s">
        <v>20</v>
      </c>
      <c r="D414" t="s">
        <v>21</v>
      </c>
      <c r="E414" t="s">
        <v>16</v>
      </c>
      <c r="F414" t="s">
        <v>28</v>
      </c>
      <c r="G414" t="s">
        <v>70</v>
      </c>
      <c r="H414">
        <v>4</v>
      </c>
      <c r="I414" s="12">
        <v>160</v>
      </c>
      <c r="J414" s="12">
        <v>95</v>
      </c>
      <c r="K414">
        <v>2</v>
      </c>
      <c r="L414">
        <v>3</v>
      </c>
      <c r="M414">
        <v>600</v>
      </c>
      <c r="N414" s="12">
        <f>+gemini_code_1787702791259[[#This Row],[Cantidad]]*gemini_code_1787702791259[[#This Row],[Precio_Unitario_USD]]</f>
        <v>640</v>
      </c>
      <c r="O414" s="12">
        <f>+gemini_code_1787702791259[[#This Row],[Cantidad]]*gemini_code_1787702791259[[#This Row],[Costo_Unitario_USD]]</f>
        <v>380</v>
      </c>
      <c r="P414" s="12">
        <f>+gemini_code_1787702791259[[#This Row],[venta total]]-gemini_code_1787702791259[[#This Row],[Costo total]]</f>
        <v>260</v>
      </c>
      <c r="Q414" s="2">
        <f>gemini_code_1787702791259[[#This Row],[Ganancia bruta]]/gemini_code_1787702791259[[#This Row],[venta total]]</f>
        <v>0.40625</v>
      </c>
      <c r="R414" t="str">
        <f>IF(gemini_code_1787702791259[[#This Row],[Dias_Entrega]]&lt;=gemini_code_1787702791259[[#This Row],[Promesa_SLA_Dias]],"A tiempo","Fuera de SLA")</f>
        <v>A tiempo</v>
      </c>
    </row>
    <row r="415" spans="1:18" x14ac:dyDescent="0.25">
      <c r="A415" t="s">
        <v>71</v>
      </c>
      <c r="B415" s="1">
        <v>46242</v>
      </c>
      <c r="C415" t="s">
        <v>26</v>
      </c>
      <c r="D415" t="s">
        <v>27</v>
      </c>
      <c r="E415" t="s">
        <v>22</v>
      </c>
      <c r="F415" t="s">
        <v>31</v>
      </c>
      <c r="G415" t="s">
        <v>72</v>
      </c>
      <c r="H415">
        <v>7</v>
      </c>
      <c r="I415" s="12">
        <v>90</v>
      </c>
      <c r="J415" s="12">
        <v>45</v>
      </c>
      <c r="K415">
        <v>4</v>
      </c>
      <c r="L415">
        <v>3</v>
      </c>
      <c r="M415">
        <v>600</v>
      </c>
      <c r="N415" s="12">
        <f>+gemini_code_1787702791259[[#This Row],[Cantidad]]*gemini_code_1787702791259[[#This Row],[Precio_Unitario_USD]]</f>
        <v>630</v>
      </c>
      <c r="O415" s="12">
        <f>+gemini_code_1787702791259[[#This Row],[Cantidad]]*gemini_code_1787702791259[[#This Row],[Costo_Unitario_USD]]</f>
        <v>315</v>
      </c>
      <c r="P415" s="12">
        <f>+gemini_code_1787702791259[[#This Row],[venta total]]-gemini_code_1787702791259[[#This Row],[Costo total]]</f>
        <v>315</v>
      </c>
      <c r="Q415" s="2">
        <f>gemini_code_1787702791259[[#This Row],[Ganancia bruta]]/gemini_code_1787702791259[[#This Row],[venta total]]</f>
        <v>0.5</v>
      </c>
      <c r="R415" t="str">
        <f>IF(gemini_code_1787702791259[[#This Row],[Dias_Entrega]]&lt;=gemini_code_1787702791259[[#This Row],[Promesa_SLA_Dias]],"A tiempo","Fuera de SLA")</f>
        <v>Fuera de SLA</v>
      </c>
    </row>
    <row r="416" spans="1:18" x14ac:dyDescent="0.25">
      <c r="A416" t="s">
        <v>73</v>
      </c>
      <c r="B416" s="1">
        <v>46243</v>
      </c>
      <c r="C416" t="s">
        <v>14</v>
      </c>
      <c r="D416" t="s">
        <v>15</v>
      </c>
      <c r="E416" t="s">
        <v>22</v>
      </c>
      <c r="F416" t="s">
        <v>17</v>
      </c>
      <c r="G416" t="s">
        <v>74</v>
      </c>
      <c r="H416">
        <v>3</v>
      </c>
      <c r="I416" s="12">
        <v>310</v>
      </c>
      <c r="J416" s="12">
        <v>210</v>
      </c>
      <c r="K416">
        <v>2</v>
      </c>
      <c r="L416">
        <v>3</v>
      </c>
      <c r="M416">
        <v>900</v>
      </c>
      <c r="N416" s="12">
        <f>+gemini_code_1787702791259[[#This Row],[Cantidad]]*gemini_code_1787702791259[[#This Row],[Precio_Unitario_USD]]</f>
        <v>930</v>
      </c>
      <c r="O416" s="12">
        <f>+gemini_code_1787702791259[[#This Row],[Cantidad]]*gemini_code_1787702791259[[#This Row],[Costo_Unitario_USD]]</f>
        <v>630</v>
      </c>
      <c r="P416" s="12">
        <f>+gemini_code_1787702791259[[#This Row],[venta total]]-gemini_code_1787702791259[[#This Row],[Costo total]]</f>
        <v>300</v>
      </c>
      <c r="Q416" s="2">
        <f>gemini_code_1787702791259[[#This Row],[Ganancia bruta]]/gemini_code_1787702791259[[#This Row],[venta total]]</f>
        <v>0.32258064516129031</v>
      </c>
      <c r="R416" t="str">
        <f>IF(gemini_code_1787702791259[[#This Row],[Dias_Entrega]]&lt;=gemini_code_1787702791259[[#This Row],[Promesa_SLA_Dias]],"A tiempo","Fuera de SLA")</f>
        <v>A tiempo</v>
      </c>
    </row>
    <row r="417" spans="1:18" x14ac:dyDescent="0.25">
      <c r="A417" t="s">
        <v>75</v>
      </c>
      <c r="B417" s="1">
        <v>46243</v>
      </c>
      <c r="C417" t="s">
        <v>20</v>
      </c>
      <c r="D417" t="s">
        <v>21</v>
      </c>
      <c r="E417" t="s">
        <v>16</v>
      </c>
      <c r="F417" t="s">
        <v>23</v>
      </c>
      <c r="G417" t="s">
        <v>76</v>
      </c>
      <c r="H417">
        <v>8</v>
      </c>
      <c r="I417" s="12">
        <v>50</v>
      </c>
      <c r="J417" s="12">
        <v>22</v>
      </c>
      <c r="K417">
        <v>2</v>
      </c>
      <c r="L417">
        <v>3</v>
      </c>
      <c r="M417">
        <v>400</v>
      </c>
      <c r="N417" s="12">
        <f>+gemini_code_1787702791259[[#This Row],[Cantidad]]*gemini_code_1787702791259[[#This Row],[Precio_Unitario_USD]]</f>
        <v>400</v>
      </c>
      <c r="O417" s="12">
        <f>+gemini_code_1787702791259[[#This Row],[Cantidad]]*gemini_code_1787702791259[[#This Row],[Costo_Unitario_USD]]</f>
        <v>176</v>
      </c>
      <c r="P417" s="12">
        <f>+gemini_code_1787702791259[[#This Row],[venta total]]-gemini_code_1787702791259[[#This Row],[Costo total]]</f>
        <v>224</v>
      </c>
      <c r="Q417" s="2">
        <f>gemini_code_1787702791259[[#This Row],[Ganancia bruta]]/gemini_code_1787702791259[[#This Row],[venta total]]</f>
        <v>0.56000000000000005</v>
      </c>
      <c r="R417" t="str">
        <f>IF(gemini_code_1787702791259[[#This Row],[Dias_Entrega]]&lt;=gemini_code_1787702791259[[#This Row],[Promesa_SLA_Dias]],"A tiempo","Fuera de SLA")</f>
        <v>A tiempo</v>
      </c>
    </row>
    <row r="418" spans="1:18" x14ac:dyDescent="0.25">
      <c r="A418" t="s">
        <v>77</v>
      </c>
      <c r="B418" s="1">
        <v>46243</v>
      </c>
      <c r="C418" t="s">
        <v>26</v>
      </c>
      <c r="D418" t="s">
        <v>27</v>
      </c>
      <c r="E418" t="s">
        <v>16</v>
      </c>
      <c r="F418" t="s">
        <v>28</v>
      </c>
      <c r="G418" t="s">
        <v>78</v>
      </c>
      <c r="H418">
        <v>1</v>
      </c>
      <c r="I418" s="12">
        <v>750</v>
      </c>
      <c r="J418" s="12">
        <v>480</v>
      </c>
      <c r="K418">
        <v>8</v>
      </c>
      <c r="L418">
        <v>4</v>
      </c>
      <c r="M418">
        <v>700</v>
      </c>
      <c r="N418" s="12">
        <f>+gemini_code_1787702791259[[#This Row],[Cantidad]]*gemini_code_1787702791259[[#This Row],[Precio_Unitario_USD]]</f>
        <v>750</v>
      </c>
      <c r="O418" s="12">
        <f>+gemini_code_1787702791259[[#This Row],[Cantidad]]*gemini_code_1787702791259[[#This Row],[Costo_Unitario_USD]]</f>
        <v>480</v>
      </c>
      <c r="P418" s="12">
        <f>+gemini_code_1787702791259[[#This Row],[venta total]]-gemini_code_1787702791259[[#This Row],[Costo total]]</f>
        <v>270</v>
      </c>
      <c r="Q418" s="2">
        <f>gemini_code_1787702791259[[#This Row],[Ganancia bruta]]/gemini_code_1787702791259[[#This Row],[venta total]]</f>
        <v>0.36</v>
      </c>
      <c r="R418" t="str">
        <f>IF(gemini_code_1787702791259[[#This Row],[Dias_Entrega]]&lt;=gemini_code_1787702791259[[#This Row],[Promesa_SLA_Dias]],"A tiempo","Fuera de SLA")</f>
        <v>Fuera de SLA</v>
      </c>
    </row>
    <row r="419" spans="1:18" x14ac:dyDescent="0.25">
      <c r="A419" t="s">
        <v>79</v>
      </c>
      <c r="B419" s="1">
        <v>46244</v>
      </c>
      <c r="C419" t="s">
        <v>14</v>
      </c>
      <c r="D419" t="s">
        <v>15</v>
      </c>
      <c r="E419" t="s">
        <v>16</v>
      </c>
      <c r="F419" t="s">
        <v>31</v>
      </c>
      <c r="G419" t="s">
        <v>80</v>
      </c>
      <c r="H419">
        <v>4</v>
      </c>
      <c r="I419" s="12">
        <v>140</v>
      </c>
      <c r="J419" s="12">
        <v>75</v>
      </c>
      <c r="K419">
        <v>3</v>
      </c>
      <c r="L419">
        <v>3</v>
      </c>
      <c r="M419">
        <v>500</v>
      </c>
      <c r="N419" s="12">
        <f>+gemini_code_1787702791259[[#This Row],[Cantidad]]*gemini_code_1787702791259[[#This Row],[Precio_Unitario_USD]]</f>
        <v>560</v>
      </c>
      <c r="O419" s="12">
        <f>+gemini_code_1787702791259[[#This Row],[Cantidad]]*gemini_code_1787702791259[[#This Row],[Costo_Unitario_USD]]</f>
        <v>300</v>
      </c>
      <c r="P419" s="12">
        <f>+gemini_code_1787702791259[[#This Row],[venta total]]-gemini_code_1787702791259[[#This Row],[Costo total]]</f>
        <v>260</v>
      </c>
      <c r="Q419" s="2">
        <f>gemini_code_1787702791259[[#This Row],[Ganancia bruta]]/gemini_code_1787702791259[[#This Row],[venta total]]</f>
        <v>0.4642857142857143</v>
      </c>
      <c r="R419" t="str">
        <f>IF(gemini_code_1787702791259[[#This Row],[Dias_Entrega]]&lt;=gemini_code_1787702791259[[#This Row],[Promesa_SLA_Dias]],"A tiempo","Fuera de SLA")</f>
        <v>A tiempo</v>
      </c>
    </row>
    <row r="420" spans="1:18" x14ac:dyDescent="0.25">
      <c r="A420" t="s">
        <v>81</v>
      </c>
      <c r="B420" s="1">
        <v>46244</v>
      </c>
      <c r="C420" t="s">
        <v>20</v>
      </c>
      <c r="D420" t="s">
        <v>21</v>
      </c>
      <c r="E420" t="s">
        <v>22</v>
      </c>
      <c r="F420" t="s">
        <v>17</v>
      </c>
      <c r="G420" t="s">
        <v>82</v>
      </c>
      <c r="H420">
        <v>6</v>
      </c>
      <c r="I420" s="12">
        <v>90</v>
      </c>
      <c r="J420" s="12">
        <v>50</v>
      </c>
      <c r="K420">
        <v>1</v>
      </c>
      <c r="L420">
        <v>2</v>
      </c>
      <c r="M420">
        <v>500</v>
      </c>
      <c r="N420" s="12">
        <f>+gemini_code_1787702791259[[#This Row],[Cantidad]]*gemini_code_1787702791259[[#This Row],[Precio_Unitario_USD]]</f>
        <v>540</v>
      </c>
      <c r="O420" s="12">
        <f>+gemini_code_1787702791259[[#This Row],[Cantidad]]*gemini_code_1787702791259[[#This Row],[Costo_Unitario_USD]]</f>
        <v>300</v>
      </c>
      <c r="P420" s="12">
        <f>+gemini_code_1787702791259[[#This Row],[venta total]]-gemini_code_1787702791259[[#This Row],[Costo total]]</f>
        <v>240</v>
      </c>
      <c r="Q420" s="2">
        <f>gemini_code_1787702791259[[#This Row],[Ganancia bruta]]/gemini_code_1787702791259[[#This Row],[venta total]]</f>
        <v>0.44444444444444442</v>
      </c>
      <c r="R420" t="str">
        <f>IF(gemini_code_1787702791259[[#This Row],[Dias_Entrega]]&lt;=gemini_code_1787702791259[[#This Row],[Promesa_SLA_Dias]],"A tiempo","Fuera de SLA")</f>
        <v>A tiempo</v>
      </c>
    </row>
    <row r="421" spans="1:18" x14ac:dyDescent="0.25">
      <c r="A421" t="s">
        <v>83</v>
      </c>
      <c r="B421" s="1">
        <v>46244</v>
      </c>
      <c r="C421" t="s">
        <v>26</v>
      </c>
      <c r="D421" t="s">
        <v>27</v>
      </c>
      <c r="E421" t="s">
        <v>16</v>
      </c>
      <c r="F421" t="s">
        <v>23</v>
      </c>
      <c r="G421" t="s">
        <v>84</v>
      </c>
      <c r="H421">
        <v>6</v>
      </c>
      <c r="I421" s="12">
        <v>60</v>
      </c>
      <c r="J421" s="12">
        <v>28</v>
      </c>
      <c r="K421">
        <v>5</v>
      </c>
      <c r="L421">
        <v>3</v>
      </c>
      <c r="M421">
        <v>350</v>
      </c>
      <c r="N421" s="12">
        <f>+gemini_code_1787702791259[[#This Row],[Cantidad]]*gemini_code_1787702791259[[#This Row],[Precio_Unitario_USD]]</f>
        <v>360</v>
      </c>
      <c r="O421" s="12">
        <f>+gemini_code_1787702791259[[#This Row],[Cantidad]]*gemini_code_1787702791259[[#This Row],[Costo_Unitario_USD]]</f>
        <v>168</v>
      </c>
      <c r="P421" s="12">
        <f>+gemini_code_1787702791259[[#This Row],[venta total]]-gemini_code_1787702791259[[#This Row],[Costo total]]</f>
        <v>192</v>
      </c>
      <c r="Q421" s="2">
        <f>gemini_code_1787702791259[[#This Row],[Ganancia bruta]]/gemini_code_1787702791259[[#This Row],[venta total]]</f>
        <v>0.53333333333333333</v>
      </c>
      <c r="R421" t="str">
        <f>IF(gemini_code_1787702791259[[#This Row],[Dias_Entrega]]&lt;=gemini_code_1787702791259[[#This Row],[Promesa_SLA_Dias]],"A tiempo","Fuera de SLA")</f>
        <v>Fuera de SLA</v>
      </c>
    </row>
    <row r="422" spans="1:18" x14ac:dyDescent="0.25">
      <c r="A422" t="s">
        <v>13</v>
      </c>
      <c r="B422" s="1">
        <v>46235</v>
      </c>
      <c r="C422" t="s">
        <v>14</v>
      </c>
      <c r="D422" t="s">
        <v>15</v>
      </c>
      <c r="E422" t="s">
        <v>16</v>
      </c>
      <c r="F422" t="s">
        <v>17</v>
      </c>
      <c r="G422" t="s">
        <v>18</v>
      </c>
      <c r="H422">
        <v>2</v>
      </c>
      <c r="I422" s="12">
        <v>850</v>
      </c>
      <c r="J422" s="12">
        <v>600</v>
      </c>
      <c r="K422">
        <v>2</v>
      </c>
      <c r="L422">
        <v>3</v>
      </c>
      <c r="M422">
        <v>1500</v>
      </c>
      <c r="N422" s="12">
        <f>+gemini_code_1787702791259[[#This Row],[Cantidad]]*gemini_code_1787702791259[[#This Row],[Precio_Unitario_USD]]</f>
        <v>1700</v>
      </c>
      <c r="O422" s="12">
        <f>+gemini_code_1787702791259[[#This Row],[Cantidad]]*gemini_code_1787702791259[[#This Row],[Costo_Unitario_USD]]</f>
        <v>1200</v>
      </c>
      <c r="P422" s="12">
        <f>+gemini_code_1787702791259[[#This Row],[venta total]]-gemini_code_1787702791259[[#This Row],[Costo total]]</f>
        <v>500</v>
      </c>
      <c r="Q422" s="2">
        <f>gemini_code_1787702791259[[#This Row],[Ganancia bruta]]/gemini_code_1787702791259[[#This Row],[venta total]]</f>
        <v>0.29411764705882354</v>
      </c>
      <c r="R422" t="str">
        <f>IF(gemini_code_1787702791259[[#This Row],[Dias_Entrega]]&lt;=gemini_code_1787702791259[[#This Row],[Promesa_SLA_Dias]],"A tiempo","Fuera de SLA")</f>
        <v>A tiempo</v>
      </c>
    </row>
    <row r="423" spans="1:18" x14ac:dyDescent="0.25">
      <c r="A423" t="s">
        <v>19</v>
      </c>
      <c r="B423" s="1">
        <v>46235</v>
      </c>
      <c r="C423" t="s">
        <v>20</v>
      </c>
      <c r="D423" t="s">
        <v>21</v>
      </c>
      <c r="E423" t="s">
        <v>22</v>
      </c>
      <c r="F423" t="s">
        <v>23</v>
      </c>
      <c r="G423" t="s">
        <v>24</v>
      </c>
      <c r="H423">
        <v>5</v>
      </c>
      <c r="I423" s="12">
        <v>120</v>
      </c>
      <c r="J423" s="12">
        <v>70</v>
      </c>
      <c r="K423">
        <v>3</v>
      </c>
      <c r="L423">
        <v>3</v>
      </c>
      <c r="M423">
        <v>500</v>
      </c>
      <c r="N423" s="12">
        <f>+gemini_code_1787702791259[[#This Row],[Cantidad]]*gemini_code_1787702791259[[#This Row],[Precio_Unitario_USD]]</f>
        <v>600</v>
      </c>
      <c r="O423" s="12">
        <f>+gemini_code_1787702791259[[#This Row],[Cantidad]]*gemini_code_1787702791259[[#This Row],[Costo_Unitario_USD]]</f>
        <v>350</v>
      </c>
      <c r="P423" s="12">
        <f>+gemini_code_1787702791259[[#This Row],[venta total]]-gemini_code_1787702791259[[#This Row],[Costo total]]</f>
        <v>250</v>
      </c>
      <c r="Q423" s="2">
        <f>gemini_code_1787702791259[[#This Row],[Ganancia bruta]]/gemini_code_1787702791259[[#This Row],[venta total]]</f>
        <v>0.41666666666666669</v>
      </c>
      <c r="R423" t="str">
        <f>IF(gemini_code_1787702791259[[#This Row],[Dias_Entrega]]&lt;=gemini_code_1787702791259[[#This Row],[Promesa_SLA_Dias]],"A tiempo","Fuera de SLA")</f>
        <v>A tiempo</v>
      </c>
    </row>
    <row r="424" spans="1:18" x14ac:dyDescent="0.25">
      <c r="A424" t="s">
        <v>25</v>
      </c>
      <c r="B424" s="1">
        <v>46235</v>
      </c>
      <c r="C424" t="s">
        <v>26</v>
      </c>
      <c r="D424" t="s">
        <v>27</v>
      </c>
      <c r="E424" t="s">
        <v>16</v>
      </c>
      <c r="F424" t="s">
        <v>28</v>
      </c>
      <c r="G424" t="s">
        <v>29</v>
      </c>
      <c r="H424">
        <v>3</v>
      </c>
      <c r="I424" s="12">
        <v>90</v>
      </c>
      <c r="J424" s="12">
        <v>50</v>
      </c>
      <c r="K424">
        <v>6</v>
      </c>
      <c r="L424">
        <v>4</v>
      </c>
      <c r="M424">
        <v>300</v>
      </c>
      <c r="N424" s="12">
        <f>+gemini_code_1787702791259[[#This Row],[Cantidad]]*gemini_code_1787702791259[[#This Row],[Precio_Unitario_USD]]</f>
        <v>270</v>
      </c>
      <c r="O424" s="12">
        <f>+gemini_code_1787702791259[[#This Row],[Cantidad]]*gemini_code_1787702791259[[#This Row],[Costo_Unitario_USD]]</f>
        <v>150</v>
      </c>
      <c r="P424" s="12">
        <f>+gemini_code_1787702791259[[#This Row],[venta total]]-gemini_code_1787702791259[[#This Row],[Costo total]]</f>
        <v>120</v>
      </c>
      <c r="Q424" s="2">
        <f>gemini_code_1787702791259[[#This Row],[Ganancia bruta]]/gemini_code_1787702791259[[#This Row],[venta total]]</f>
        <v>0.44444444444444442</v>
      </c>
      <c r="R424" t="str">
        <f>IF(gemini_code_1787702791259[[#This Row],[Dias_Entrega]]&lt;=gemini_code_1787702791259[[#This Row],[Promesa_SLA_Dias]],"A tiempo","Fuera de SLA")</f>
        <v>Fuera de SLA</v>
      </c>
    </row>
    <row r="425" spans="1:18" x14ac:dyDescent="0.25">
      <c r="A425" t="s">
        <v>30</v>
      </c>
      <c r="B425" s="1">
        <v>46236</v>
      </c>
      <c r="C425" t="s">
        <v>14</v>
      </c>
      <c r="D425" t="s">
        <v>15</v>
      </c>
      <c r="E425" t="s">
        <v>22</v>
      </c>
      <c r="F425" t="s">
        <v>31</v>
      </c>
      <c r="G425" t="s">
        <v>32</v>
      </c>
      <c r="H425">
        <v>4</v>
      </c>
      <c r="I425" s="12">
        <v>110</v>
      </c>
      <c r="J425" s="12">
        <v>60</v>
      </c>
      <c r="K425">
        <v>1</v>
      </c>
      <c r="L425">
        <v>2</v>
      </c>
      <c r="M425">
        <v>400</v>
      </c>
      <c r="N425" s="12">
        <f>+gemini_code_1787702791259[[#This Row],[Cantidad]]*gemini_code_1787702791259[[#This Row],[Precio_Unitario_USD]]</f>
        <v>440</v>
      </c>
      <c r="O425" s="12">
        <f>+gemini_code_1787702791259[[#This Row],[Cantidad]]*gemini_code_1787702791259[[#This Row],[Costo_Unitario_USD]]</f>
        <v>240</v>
      </c>
      <c r="P425" s="12">
        <f>+gemini_code_1787702791259[[#This Row],[venta total]]-gemini_code_1787702791259[[#This Row],[Costo total]]</f>
        <v>200</v>
      </c>
      <c r="Q425" s="2">
        <f>gemini_code_1787702791259[[#This Row],[Ganancia bruta]]/gemini_code_1787702791259[[#This Row],[venta total]]</f>
        <v>0.45454545454545453</v>
      </c>
      <c r="R425" t="str">
        <f>IF(gemini_code_1787702791259[[#This Row],[Dias_Entrega]]&lt;=gemini_code_1787702791259[[#This Row],[Promesa_SLA_Dias]],"A tiempo","Fuera de SLA")</f>
        <v>A tiempo</v>
      </c>
    </row>
    <row r="426" spans="1:18" x14ac:dyDescent="0.25">
      <c r="A426" t="s">
        <v>33</v>
      </c>
      <c r="B426" s="1">
        <v>46236</v>
      </c>
      <c r="C426" t="s">
        <v>20</v>
      </c>
      <c r="D426" t="s">
        <v>21</v>
      </c>
      <c r="E426" t="s">
        <v>16</v>
      </c>
      <c r="F426" t="s">
        <v>17</v>
      </c>
      <c r="G426" t="s">
        <v>34</v>
      </c>
      <c r="H426">
        <v>3</v>
      </c>
      <c r="I426" s="12">
        <v>650</v>
      </c>
      <c r="J426" s="12">
        <v>450</v>
      </c>
      <c r="K426">
        <v>2</v>
      </c>
      <c r="L426">
        <v>3</v>
      </c>
      <c r="M426">
        <v>1800</v>
      </c>
      <c r="N426" s="12">
        <f>+gemini_code_1787702791259[[#This Row],[Cantidad]]*gemini_code_1787702791259[[#This Row],[Precio_Unitario_USD]]</f>
        <v>1950</v>
      </c>
      <c r="O426" s="12">
        <f>+gemini_code_1787702791259[[#This Row],[Cantidad]]*gemini_code_1787702791259[[#This Row],[Costo_Unitario_USD]]</f>
        <v>1350</v>
      </c>
      <c r="P426" s="12">
        <f>+gemini_code_1787702791259[[#This Row],[venta total]]-gemini_code_1787702791259[[#This Row],[Costo total]]</f>
        <v>600</v>
      </c>
      <c r="Q426" s="2">
        <f>gemini_code_1787702791259[[#This Row],[Ganancia bruta]]/gemini_code_1787702791259[[#This Row],[venta total]]</f>
        <v>0.30769230769230771</v>
      </c>
      <c r="R426" t="str">
        <f>IF(gemini_code_1787702791259[[#This Row],[Dias_Entrega]]&lt;=gemini_code_1787702791259[[#This Row],[Promesa_SLA_Dias]],"A tiempo","Fuera de SLA")</f>
        <v>A tiempo</v>
      </c>
    </row>
    <row r="427" spans="1:18" x14ac:dyDescent="0.25">
      <c r="A427" t="s">
        <v>35</v>
      </c>
      <c r="B427" s="1">
        <v>46236</v>
      </c>
      <c r="C427" t="s">
        <v>26</v>
      </c>
      <c r="D427" t="s">
        <v>27</v>
      </c>
      <c r="E427" t="s">
        <v>16</v>
      </c>
      <c r="F427" t="s">
        <v>23</v>
      </c>
      <c r="G427" t="s">
        <v>36</v>
      </c>
      <c r="H427">
        <v>8</v>
      </c>
      <c r="I427" s="12">
        <v>45</v>
      </c>
      <c r="J427" s="12">
        <v>20</v>
      </c>
      <c r="K427">
        <v>5</v>
      </c>
      <c r="L427">
        <v>3</v>
      </c>
      <c r="M427">
        <v>400</v>
      </c>
      <c r="N427" s="12">
        <f>+gemini_code_1787702791259[[#This Row],[Cantidad]]*gemini_code_1787702791259[[#This Row],[Precio_Unitario_USD]]</f>
        <v>360</v>
      </c>
      <c r="O427" s="12">
        <f>+gemini_code_1787702791259[[#This Row],[Cantidad]]*gemini_code_1787702791259[[#This Row],[Costo_Unitario_USD]]</f>
        <v>160</v>
      </c>
      <c r="P427" s="12">
        <f>+gemini_code_1787702791259[[#This Row],[venta total]]-gemini_code_1787702791259[[#This Row],[Costo total]]</f>
        <v>200</v>
      </c>
      <c r="Q427" s="2">
        <f>gemini_code_1787702791259[[#This Row],[Ganancia bruta]]/gemini_code_1787702791259[[#This Row],[venta total]]</f>
        <v>0.55555555555555558</v>
      </c>
      <c r="R427" t="str">
        <f>IF(gemini_code_1787702791259[[#This Row],[Dias_Entrega]]&lt;=gemini_code_1787702791259[[#This Row],[Promesa_SLA_Dias]],"A tiempo","Fuera de SLA")</f>
        <v>Fuera de SLA</v>
      </c>
    </row>
    <row r="428" spans="1:18" x14ac:dyDescent="0.25">
      <c r="A428" t="s">
        <v>37</v>
      </c>
      <c r="B428" s="1">
        <v>46237</v>
      </c>
      <c r="C428" t="s">
        <v>14</v>
      </c>
      <c r="D428" t="s">
        <v>15</v>
      </c>
      <c r="E428" t="s">
        <v>16</v>
      </c>
      <c r="F428" t="s">
        <v>28</v>
      </c>
      <c r="G428" t="s">
        <v>38</v>
      </c>
      <c r="H428">
        <v>2</v>
      </c>
      <c r="I428" s="12">
        <v>280</v>
      </c>
      <c r="J428" s="12">
        <v>180</v>
      </c>
      <c r="K428">
        <v>3</v>
      </c>
      <c r="L428">
        <v>3</v>
      </c>
      <c r="M428">
        <v>500</v>
      </c>
      <c r="N428" s="12">
        <f>+gemini_code_1787702791259[[#This Row],[Cantidad]]*gemini_code_1787702791259[[#This Row],[Precio_Unitario_USD]]</f>
        <v>560</v>
      </c>
      <c r="O428" s="12">
        <f>+gemini_code_1787702791259[[#This Row],[Cantidad]]*gemini_code_1787702791259[[#This Row],[Costo_Unitario_USD]]</f>
        <v>360</v>
      </c>
      <c r="P428" s="12">
        <f>+gemini_code_1787702791259[[#This Row],[venta total]]-gemini_code_1787702791259[[#This Row],[Costo total]]</f>
        <v>200</v>
      </c>
      <c r="Q428" s="2">
        <f>gemini_code_1787702791259[[#This Row],[Ganancia bruta]]/gemini_code_1787702791259[[#This Row],[venta total]]</f>
        <v>0.35714285714285715</v>
      </c>
      <c r="R428" t="str">
        <f>IF(gemini_code_1787702791259[[#This Row],[Dias_Entrega]]&lt;=gemini_code_1787702791259[[#This Row],[Promesa_SLA_Dias]],"A tiempo","Fuera de SLA")</f>
        <v>A tiempo</v>
      </c>
    </row>
    <row r="429" spans="1:18" x14ac:dyDescent="0.25">
      <c r="A429" t="s">
        <v>39</v>
      </c>
      <c r="B429" s="1">
        <v>46237</v>
      </c>
      <c r="C429" t="s">
        <v>20</v>
      </c>
      <c r="D429" t="s">
        <v>21</v>
      </c>
      <c r="E429" t="s">
        <v>22</v>
      </c>
      <c r="F429" t="s">
        <v>31</v>
      </c>
      <c r="G429" t="s">
        <v>40</v>
      </c>
      <c r="H429">
        <v>3</v>
      </c>
      <c r="I429" s="12">
        <v>150</v>
      </c>
      <c r="J429" s="12">
        <v>85</v>
      </c>
      <c r="K429">
        <v>2</v>
      </c>
      <c r="L429">
        <v>2</v>
      </c>
      <c r="M429">
        <v>400</v>
      </c>
      <c r="N429" s="12">
        <f>+gemini_code_1787702791259[[#This Row],[Cantidad]]*gemini_code_1787702791259[[#This Row],[Precio_Unitario_USD]]</f>
        <v>450</v>
      </c>
      <c r="O429" s="12">
        <f>+gemini_code_1787702791259[[#This Row],[Cantidad]]*gemini_code_1787702791259[[#This Row],[Costo_Unitario_USD]]</f>
        <v>255</v>
      </c>
      <c r="P429" s="12">
        <f>+gemini_code_1787702791259[[#This Row],[venta total]]-gemini_code_1787702791259[[#This Row],[Costo total]]</f>
        <v>195</v>
      </c>
      <c r="Q429" s="2">
        <f>gemini_code_1787702791259[[#This Row],[Ganancia bruta]]/gemini_code_1787702791259[[#This Row],[venta total]]</f>
        <v>0.43333333333333335</v>
      </c>
      <c r="R429" t="str">
        <f>IF(gemini_code_1787702791259[[#This Row],[Dias_Entrega]]&lt;=gemini_code_1787702791259[[#This Row],[Promesa_SLA_Dias]],"A tiempo","Fuera de SLA")</f>
        <v>A tiempo</v>
      </c>
    </row>
    <row r="430" spans="1:18" x14ac:dyDescent="0.25">
      <c r="A430" t="s">
        <v>41</v>
      </c>
      <c r="B430" s="1">
        <v>46237</v>
      </c>
      <c r="C430" t="s">
        <v>26</v>
      </c>
      <c r="D430" t="s">
        <v>27</v>
      </c>
      <c r="E430" t="s">
        <v>16</v>
      </c>
      <c r="F430" t="s">
        <v>17</v>
      </c>
      <c r="G430" t="s">
        <v>42</v>
      </c>
      <c r="H430">
        <v>2</v>
      </c>
      <c r="I430" s="12">
        <v>520</v>
      </c>
      <c r="J430" s="12">
        <v>380</v>
      </c>
      <c r="K430">
        <v>7</v>
      </c>
      <c r="L430">
        <v>4</v>
      </c>
      <c r="M430">
        <v>1000</v>
      </c>
      <c r="N430" s="12">
        <f>+gemini_code_1787702791259[[#This Row],[Cantidad]]*gemini_code_1787702791259[[#This Row],[Precio_Unitario_USD]]</f>
        <v>1040</v>
      </c>
      <c r="O430" s="12">
        <f>+gemini_code_1787702791259[[#This Row],[Cantidad]]*gemini_code_1787702791259[[#This Row],[Costo_Unitario_USD]]</f>
        <v>760</v>
      </c>
      <c r="P430" s="12">
        <f>+gemini_code_1787702791259[[#This Row],[venta total]]-gemini_code_1787702791259[[#This Row],[Costo total]]</f>
        <v>280</v>
      </c>
      <c r="Q430" s="2">
        <f>gemini_code_1787702791259[[#This Row],[Ganancia bruta]]/gemini_code_1787702791259[[#This Row],[venta total]]</f>
        <v>0.26923076923076922</v>
      </c>
      <c r="R430" t="str">
        <f>IF(gemini_code_1787702791259[[#This Row],[Dias_Entrega]]&lt;=gemini_code_1787702791259[[#This Row],[Promesa_SLA_Dias]],"A tiempo","Fuera de SLA")</f>
        <v>Fuera de SLA</v>
      </c>
    </row>
    <row r="431" spans="1:18" x14ac:dyDescent="0.25">
      <c r="A431" t="s">
        <v>43</v>
      </c>
      <c r="B431" s="1">
        <v>46238</v>
      </c>
      <c r="C431" t="s">
        <v>14</v>
      </c>
      <c r="D431" t="s">
        <v>15</v>
      </c>
      <c r="E431" t="s">
        <v>22</v>
      </c>
      <c r="F431" t="s">
        <v>23</v>
      </c>
      <c r="G431" t="s">
        <v>44</v>
      </c>
      <c r="H431">
        <v>6</v>
      </c>
      <c r="I431" s="12">
        <v>55</v>
      </c>
      <c r="J431" s="12">
        <v>25</v>
      </c>
      <c r="K431">
        <v>2</v>
      </c>
      <c r="L431">
        <v>3</v>
      </c>
      <c r="M431">
        <v>300</v>
      </c>
      <c r="N431" s="12">
        <f>+gemini_code_1787702791259[[#This Row],[Cantidad]]*gemini_code_1787702791259[[#This Row],[Precio_Unitario_USD]]</f>
        <v>330</v>
      </c>
      <c r="O431" s="12">
        <f>+gemini_code_1787702791259[[#This Row],[Cantidad]]*gemini_code_1787702791259[[#This Row],[Costo_Unitario_USD]]</f>
        <v>150</v>
      </c>
      <c r="P431" s="12">
        <f>+gemini_code_1787702791259[[#This Row],[venta total]]-gemini_code_1787702791259[[#This Row],[Costo total]]</f>
        <v>180</v>
      </c>
      <c r="Q431" s="2">
        <f>gemini_code_1787702791259[[#This Row],[Ganancia bruta]]/gemini_code_1787702791259[[#This Row],[venta total]]</f>
        <v>0.54545454545454541</v>
      </c>
      <c r="R431" t="str">
        <f>IF(gemini_code_1787702791259[[#This Row],[Dias_Entrega]]&lt;=gemini_code_1787702791259[[#This Row],[Promesa_SLA_Dias]],"A tiempo","Fuera de SLA")</f>
        <v>A tiempo</v>
      </c>
    </row>
    <row r="432" spans="1:18" x14ac:dyDescent="0.25">
      <c r="A432" t="s">
        <v>45</v>
      </c>
      <c r="B432" s="1">
        <v>46238</v>
      </c>
      <c r="C432" t="s">
        <v>20</v>
      </c>
      <c r="D432" t="s">
        <v>21</v>
      </c>
      <c r="E432" t="s">
        <v>16</v>
      </c>
      <c r="F432" t="s">
        <v>28</v>
      </c>
      <c r="G432" t="s">
        <v>46</v>
      </c>
      <c r="H432">
        <v>1</v>
      </c>
      <c r="I432" s="12">
        <v>450</v>
      </c>
      <c r="J432" s="12">
        <v>290</v>
      </c>
      <c r="K432">
        <v>4</v>
      </c>
      <c r="L432">
        <v>3</v>
      </c>
      <c r="M432">
        <v>400</v>
      </c>
      <c r="N432" s="12">
        <f>+gemini_code_1787702791259[[#This Row],[Cantidad]]*gemini_code_1787702791259[[#This Row],[Precio_Unitario_USD]]</f>
        <v>450</v>
      </c>
      <c r="O432" s="12">
        <f>+gemini_code_1787702791259[[#This Row],[Cantidad]]*gemini_code_1787702791259[[#This Row],[Costo_Unitario_USD]]</f>
        <v>290</v>
      </c>
      <c r="P432" s="12">
        <f>+gemini_code_1787702791259[[#This Row],[venta total]]-gemini_code_1787702791259[[#This Row],[Costo total]]</f>
        <v>160</v>
      </c>
      <c r="Q432" s="2">
        <f>gemini_code_1787702791259[[#This Row],[Ganancia bruta]]/gemini_code_1787702791259[[#This Row],[venta total]]</f>
        <v>0.35555555555555557</v>
      </c>
      <c r="R432" t="str">
        <f>IF(gemini_code_1787702791259[[#This Row],[Dias_Entrega]]&lt;=gemini_code_1787702791259[[#This Row],[Promesa_SLA_Dias]],"A tiempo","Fuera de SLA")</f>
        <v>Fuera de SLA</v>
      </c>
    </row>
    <row r="433" spans="1:18" x14ac:dyDescent="0.25">
      <c r="A433" t="s">
        <v>47</v>
      </c>
      <c r="B433" s="1">
        <v>46238</v>
      </c>
      <c r="C433" t="s">
        <v>26</v>
      </c>
      <c r="D433" t="s">
        <v>27</v>
      </c>
      <c r="E433" t="s">
        <v>22</v>
      </c>
      <c r="F433" t="s">
        <v>31</v>
      </c>
      <c r="G433" t="s">
        <v>48</v>
      </c>
      <c r="H433">
        <v>10</v>
      </c>
      <c r="I433" s="12">
        <v>35</v>
      </c>
      <c r="J433" s="12">
        <v>15</v>
      </c>
      <c r="K433">
        <v>4</v>
      </c>
      <c r="L433">
        <v>3</v>
      </c>
      <c r="M433">
        <v>300</v>
      </c>
      <c r="N433" s="12">
        <f>+gemini_code_1787702791259[[#This Row],[Cantidad]]*gemini_code_1787702791259[[#This Row],[Precio_Unitario_USD]]</f>
        <v>350</v>
      </c>
      <c r="O433" s="12">
        <f>+gemini_code_1787702791259[[#This Row],[Cantidad]]*gemini_code_1787702791259[[#This Row],[Costo_Unitario_USD]]</f>
        <v>150</v>
      </c>
      <c r="P433" s="12">
        <f>+gemini_code_1787702791259[[#This Row],[venta total]]-gemini_code_1787702791259[[#This Row],[Costo total]]</f>
        <v>200</v>
      </c>
      <c r="Q433" s="2">
        <f>gemini_code_1787702791259[[#This Row],[Ganancia bruta]]/gemini_code_1787702791259[[#This Row],[venta total]]</f>
        <v>0.5714285714285714</v>
      </c>
      <c r="R433" t="str">
        <f>IF(gemini_code_1787702791259[[#This Row],[Dias_Entrega]]&lt;=gemini_code_1787702791259[[#This Row],[Promesa_SLA_Dias]],"A tiempo","Fuera de SLA")</f>
        <v>Fuera de SLA</v>
      </c>
    </row>
    <row r="434" spans="1:18" x14ac:dyDescent="0.25">
      <c r="A434" t="s">
        <v>49</v>
      </c>
      <c r="B434" s="1">
        <v>46239</v>
      </c>
      <c r="C434" t="s">
        <v>14</v>
      </c>
      <c r="D434" t="s">
        <v>15</v>
      </c>
      <c r="E434" t="s">
        <v>16</v>
      </c>
      <c r="F434" t="s">
        <v>17</v>
      </c>
      <c r="G434" t="s">
        <v>50</v>
      </c>
      <c r="H434">
        <v>4</v>
      </c>
      <c r="I434" s="12">
        <v>220</v>
      </c>
      <c r="J434" s="12">
        <v>140</v>
      </c>
      <c r="K434">
        <v>2</v>
      </c>
      <c r="L434">
        <v>3</v>
      </c>
      <c r="M434">
        <v>800</v>
      </c>
      <c r="N434" s="12">
        <f>+gemini_code_1787702791259[[#This Row],[Cantidad]]*gemini_code_1787702791259[[#This Row],[Precio_Unitario_USD]]</f>
        <v>880</v>
      </c>
      <c r="O434" s="12">
        <f>+gemini_code_1787702791259[[#This Row],[Cantidad]]*gemini_code_1787702791259[[#This Row],[Costo_Unitario_USD]]</f>
        <v>560</v>
      </c>
      <c r="P434" s="12">
        <f>+gemini_code_1787702791259[[#This Row],[venta total]]-gemini_code_1787702791259[[#This Row],[Costo total]]</f>
        <v>320</v>
      </c>
      <c r="Q434" s="2">
        <f>gemini_code_1787702791259[[#This Row],[Ganancia bruta]]/gemini_code_1787702791259[[#This Row],[venta total]]</f>
        <v>0.36363636363636365</v>
      </c>
      <c r="R434" t="str">
        <f>IF(gemini_code_1787702791259[[#This Row],[Dias_Entrega]]&lt;=gemini_code_1787702791259[[#This Row],[Promesa_SLA_Dias]],"A tiempo","Fuera de SLA")</f>
        <v>A tiempo</v>
      </c>
    </row>
    <row r="435" spans="1:18" x14ac:dyDescent="0.25">
      <c r="A435" t="s">
        <v>51</v>
      </c>
      <c r="B435" s="1">
        <v>46239</v>
      </c>
      <c r="C435" t="s">
        <v>20</v>
      </c>
      <c r="D435" t="s">
        <v>21</v>
      </c>
      <c r="E435" t="s">
        <v>16</v>
      </c>
      <c r="F435" t="s">
        <v>23</v>
      </c>
      <c r="G435" t="s">
        <v>52</v>
      </c>
      <c r="H435">
        <v>5</v>
      </c>
      <c r="I435" s="12">
        <v>65</v>
      </c>
      <c r="J435" s="12">
        <v>30</v>
      </c>
      <c r="K435">
        <v>2</v>
      </c>
      <c r="L435">
        <v>3</v>
      </c>
      <c r="M435">
        <v>300</v>
      </c>
      <c r="N435" s="12">
        <f>+gemini_code_1787702791259[[#This Row],[Cantidad]]*gemini_code_1787702791259[[#This Row],[Precio_Unitario_USD]]</f>
        <v>325</v>
      </c>
      <c r="O435" s="12">
        <f>+gemini_code_1787702791259[[#This Row],[Cantidad]]*gemini_code_1787702791259[[#This Row],[Costo_Unitario_USD]]</f>
        <v>150</v>
      </c>
      <c r="P435" s="12">
        <f>+gemini_code_1787702791259[[#This Row],[venta total]]-gemini_code_1787702791259[[#This Row],[Costo total]]</f>
        <v>175</v>
      </c>
      <c r="Q435" s="2">
        <f>gemini_code_1787702791259[[#This Row],[Ganancia bruta]]/gemini_code_1787702791259[[#This Row],[venta total]]</f>
        <v>0.53846153846153844</v>
      </c>
      <c r="R435" t="str">
        <f>IF(gemini_code_1787702791259[[#This Row],[Dias_Entrega]]&lt;=gemini_code_1787702791259[[#This Row],[Promesa_SLA_Dias]],"A tiempo","Fuera de SLA")</f>
        <v>A tiempo</v>
      </c>
    </row>
    <row r="436" spans="1:18" x14ac:dyDescent="0.25">
      <c r="A436" t="s">
        <v>53</v>
      </c>
      <c r="B436" s="1">
        <v>46239</v>
      </c>
      <c r="C436" t="s">
        <v>26</v>
      </c>
      <c r="D436" t="s">
        <v>27</v>
      </c>
      <c r="E436" t="s">
        <v>16</v>
      </c>
      <c r="F436" t="s">
        <v>28</v>
      </c>
      <c r="G436" t="s">
        <v>54</v>
      </c>
      <c r="H436">
        <v>2</v>
      </c>
      <c r="I436" s="12">
        <v>180</v>
      </c>
      <c r="J436" s="12">
        <v>110</v>
      </c>
      <c r="K436">
        <v>6</v>
      </c>
      <c r="L436">
        <v>3</v>
      </c>
      <c r="M436">
        <v>350</v>
      </c>
      <c r="N436" s="12">
        <f>+gemini_code_1787702791259[[#This Row],[Cantidad]]*gemini_code_1787702791259[[#This Row],[Precio_Unitario_USD]]</f>
        <v>360</v>
      </c>
      <c r="O436" s="12">
        <f>+gemini_code_1787702791259[[#This Row],[Cantidad]]*gemini_code_1787702791259[[#This Row],[Costo_Unitario_USD]]</f>
        <v>220</v>
      </c>
      <c r="P436" s="12">
        <f>+gemini_code_1787702791259[[#This Row],[venta total]]-gemini_code_1787702791259[[#This Row],[Costo total]]</f>
        <v>140</v>
      </c>
      <c r="Q436" s="2">
        <f>gemini_code_1787702791259[[#This Row],[Ganancia bruta]]/gemini_code_1787702791259[[#This Row],[venta total]]</f>
        <v>0.3888888888888889</v>
      </c>
      <c r="R436" t="str">
        <f>IF(gemini_code_1787702791259[[#This Row],[Dias_Entrega]]&lt;=gemini_code_1787702791259[[#This Row],[Promesa_SLA_Dias]],"A tiempo","Fuera de SLA")</f>
        <v>Fuera de SLA</v>
      </c>
    </row>
    <row r="437" spans="1:18" x14ac:dyDescent="0.25">
      <c r="A437" t="s">
        <v>55</v>
      </c>
      <c r="B437" s="1">
        <v>46240</v>
      </c>
      <c r="C437" t="s">
        <v>14</v>
      </c>
      <c r="D437" t="s">
        <v>15</v>
      </c>
      <c r="E437" t="s">
        <v>22</v>
      </c>
      <c r="F437" t="s">
        <v>31</v>
      </c>
      <c r="G437" t="s">
        <v>56</v>
      </c>
      <c r="H437">
        <v>6</v>
      </c>
      <c r="I437" s="12">
        <v>85</v>
      </c>
      <c r="J437" s="12">
        <v>45</v>
      </c>
      <c r="K437">
        <v>1</v>
      </c>
      <c r="L437">
        <v>2</v>
      </c>
      <c r="M437">
        <v>500</v>
      </c>
      <c r="N437" s="12">
        <f>+gemini_code_1787702791259[[#This Row],[Cantidad]]*gemini_code_1787702791259[[#This Row],[Precio_Unitario_USD]]</f>
        <v>510</v>
      </c>
      <c r="O437" s="12">
        <f>+gemini_code_1787702791259[[#This Row],[Cantidad]]*gemini_code_1787702791259[[#This Row],[Costo_Unitario_USD]]</f>
        <v>270</v>
      </c>
      <c r="P437" s="12">
        <f>+gemini_code_1787702791259[[#This Row],[venta total]]-gemini_code_1787702791259[[#This Row],[Costo total]]</f>
        <v>240</v>
      </c>
      <c r="Q437" s="2">
        <f>gemini_code_1787702791259[[#This Row],[Ganancia bruta]]/gemini_code_1787702791259[[#This Row],[venta total]]</f>
        <v>0.47058823529411764</v>
      </c>
      <c r="R437" t="str">
        <f>IF(gemini_code_1787702791259[[#This Row],[Dias_Entrega]]&lt;=gemini_code_1787702791259[[#This Row],[Promesa_SLA_Dias]],"A tiempo","Fuera de SLA")</f>
        <v>A tiempo</v>
      </c>
    </row>
    <row r="438" spans="1:18" x14ac:dyDescent="0.25">
      <c r="A438" t="s">
        <v>57</v>
      </c>
      <c r="B438" s="1">
        <v>46240</v>
      </c>
      <c r="C438" t="s">
        <v>20</v>
      </c>
      <c r="D438" t="s">
        <v>21</v>
      </c>
      <c r="E438" t="s">
        <v>16</v>
      </c>
      <c r="F438" t="s">
        <v>17</v>
      </c>
      <c r="G438" t="s">
        <v>58</v>
      </c>
      <c r="H438">
        <v>12</v>
      </c>
      <c r="I438" s="12">
        <v>75</v>
      </c>
      <c r="J438" s="12">
        <v>35</v>
      </c>
      <c r="K438">
        <v>1</v>
      </c>
      <c r="L438">
        <v>2</v>
      </c>
      <c r="M438">
        <v>800</v>
      </c>
      <c r="N438" s="12">
        <f>+gemini_code_1787702791259[[#This Row],[Cantidad]]*gemini_code_1787702791259[[#This Row],[Precio_Unitario_USD]]</f>
        <v>900</v>
      </c>
      <c r="O438" s="12">
        <f>+gemini_code_1787702791259[[#This Row],[Cantidad]]*gemini_code_1787702791259[[#This Row],[Costo_Unitario_USD]]</f>
        <v>420</v>
      </c>
      <c r="P438" s="12">
        <f>+gemini_code_1787702791259[[#This Row],[venta total]]-gemini_code_1787702791259[[#This Row],[Costo total]]</f>
        <v>480</v>
      </c>
      <c r="Q438" s="2">
        <f>gemini_code_1787702791259[[#This Row],[Ganancia bruta]]/gemini_code_1787702791259[[#This Row],[venta total]]</f>
        <v>0.53333333333333333</v>
      </c>
      <c r="R438" t="str">
        <f>IF(gemini_code_1787702791259[[#This Row],[Dias_Entrega]]&lt;=gemini_code_1787702791259[[#This Row],[Promesa_SLA_Dias]],"A tiempo","Fuera de SLA")</f>
        <v>A tiempo</v>
      </c>
    </row>
    <row r="439" spans="1:18" x14ac:dyDescent="0.25">
      <c r="A439" t="s">
        <v>59</v>
      </c>
      <c r="B439" s="1">
        <v>46240</v>
      </c>
      <c r="C439" t="s">
        <v>26</v>
      </c>
      <c r="D439" t="s">
        <v>27</v>
      </c>
      <c r="E439" t="s">
        <v>22</v>
      </c>
      <c r="F439" t="s">
        <v>23</v>
      </c>
      <c r="G439" t="s">
        <v>60</v>
      </c>
      <c r="H439">
        <v>4</v>
      </c>
      <c r="I439" s="12">
        <v>110</v>
      </c>
      <c r="J439" s="12">
        <v>55</v>
      </c>
      <c r="K439">
        <v>5</v>
      </c>
      <c r="L439">
        <v>3</v>
      </c>
      <c r="M439">
        <v>400</v>
      </c>
      <c r="N439" s="12">
        <f>+gemini_code_1787702791259[[#This Row],[Cantidad]]*gemini_code_1787702791259[[#This Row],[Precio_Unitario_USD]]</f>
        <v>440</v>
      </c>
      <c r="O439" s="12">
        <f>+gemini_code_1787702791259[[#This Row],[Cantidad]]*gemini_code_1787702791259[[#This Row],[Costo_Unitario_USD]]</f>
        <v>220</v>
      </c>
      <c r="P439" s="12">
        <f>+gemini_code_1787702791259[[#This Row],[venta total]]-gemini_code_1787702791259[[#This Row],[Costo total]]</f>
        <v>220</v>
      </c>
      <c r="Q439" s="2">
        <f>gemini_code_1787702791259[[#This Row],[Ganancia bruta]]/gemini_code_1787702791259[[#This Row],[venta total]]</f>
        <v>0.5</v>
      </c>
      <c r="R439" t="str">
        <f>IF(gemini_code_1787702791259[[#This Row],[Dias_Entrega]]&lt;=gemini_code_1787702791259[[#This Row],[Promesa_SLA_Dias]],"A tiempo","Fuera de SLA")</f>
        <v>Fuera de SLA</v>
      </c>
    </row>
    <row r="440" spans="1:18" x14ac:dyDescent="0.25">
      <c r="A440" t="s">
        <v>61</v>
      </c>
      <c r="B440" s="1">
        <v>46241</v>
      </c>
      <c r="C440" t="s">
        <v>14</v>
      </c>
      <c r="D440" t="s">
        <v>15</v>
      </c>
      <c r="E440" t="s">
        <v>16</v>
      </c>
      <c r="F440" t="s">
        <v>28</v>
      </c>
      <c r="G440" t="s">
        <v>62</v>
      </c>
      <c r="H440">
        <v>15</v>
      </c>
      <c r="I440" s="12">
        <v>25</v>
      </c>
      <c r="J440" s="12">
        <v>10</v>
      </c>
      <c r="K440">
        <v>2</v>
      </c>
      <c r="L440">
        <v>3</v>
      </c>
      <c r="M440">
        <v>300</v>
      </c>
      <c r="N440" s="12">
        <f>+gemini_code_1787702791259[[#This Row],[Cantidad]]*gemini_code_1787702791259[[#This Row],[Precio_Unitario_USD]]</f>
        <v>375</v>
      </c>
      <c r="O440" s="12">
        <f>+gemini_code_1787702791259[[#This Row],[Cantidad]]*gemini_code_1787702791259[[#This Row],[Costo_Unitario_USD]]</f>
        <v>150</v>
      </c>
      <c r="P440" s="12">
        <f>+gemini_code_1787702791259[[#This Row],[venta total]]-gemini_code_1787702791259[[#This Row],[Costo total]]</f>
        <v>225</v>
      </c>
      <c r="Q440" s="2">
        <f>gemini_code_1787702791259[[#This Row],[Ganancia bruta]]/gemini_code_1787702791259[[#This Row],[venta total]]</f>
        <v>0.6</v>
      </c>
      <c r="R440" t="str">
        <f>IF(gemini_code_1787702791259[[#This Row],[Dias_Entrega]]&lt;=gemini_code_1787702791259[[#This Row],[Promesa_SLA_Dias]],"A tiempo","Fuera de SLA")</f>
        <v>A tiempo</v>
      </c>
    </row>
    <row r="441" spans="1:18" x14ac:dyDescent="0.25">
      <c r="A441" t="s">
        <v>63</v>
      </c>
      <c r="B441" s="1">
        <v>46241</v>
      </c>
      <c r="C441" t="s">
        <v>20</v>
      </c>
      <c r="D441" t="s">
        <v>21</v>
      </c>
      <c r="E441" t="s">
        <v>22</v>
      </c>
      <c r="F441" t="s">
        <v>31</v>
      </c>
      <c r="G441" t="s">
        <v>64</v>
      </c>
      <c r="H441">
        <v>5</v>
      </c>
      <c r="I441" s="12">
        <v>130</v>
      </c>
      <c r="J441" s="12">
        <v>70</v>
      </c>
      <c r="K441">
        <v>3</v>
      </c>
      <c r="L441">
        <v>3</v>
      </c>
      <c r="M441">
        <v>600</v>
      </c>
      <c r="N441" s="12">
        <f>+gemini_code_1787702791259[[#This Row],[Cantidad]]*gemini_code_1787702791259[[#This Row],[Precio_Unitario_USD]]</f>
        <v>650</v>
      </c>
      <c r="O441" s="12">
        <f>+gemini_code_1787702791259[[#This Row],[Cantidad]]*gemini_code_1787702791259[[#This Row],[Costo_Unitario_USD]]</f>
        <v>350</v>
      </c>
      <c r="P441" s="12">
        <f>+gemini_code_1787702791259[[#This Row],[venta total]]-gemini_code_1787702791259[[#This Row],[Costo total]]</f>
        <v>300</v>
      </c>
      <c r="Q441" s="2">
        <f>gemini_code_1787702791259[[#This Row],[Ganancia bruta]]/gemini_code_1787702791259[[#This Row],[venta total]]</f>
        <v>0.46153846153846156</v>
      </c>
      <c r="R441" t="str">
        <f>IF(gemini_code_1787702791259[[#This Row],[Dias_Entrega]]&lt;=gemini_code_1787702791259[[#This Row],[Promesa_SLA_Dias]],"A tiempo","Fuera de SLA")</f>
        <v>A tiempo</v>
      </c>
    </row>
    <row r="442" spans="1:18" x14ac:dyDescent="0.25">
      <c r="A442" t="s">
        <v>65</v>
      </c>
      <c r="B442" s="1">
        <v>46241</v>
      </c>
      <c r="C442" t="s">
        <v>26</v>
      </c>
      <c r="D442" t="s">
        <v>27</v>
      </c>
      <c r="E442" t="s">
        <v>16</v>
      </c>
      <c r="F442" t="s">
        <v>17</v>
      </c>
      <c r="G442" t="s">
        <v>66</v>
      </c>
      <c r="H442">
        <v>2</v>
      </c>
      <c r="I442" s="12">
        <v>500</v>
      </c>
      <c r="J442" s="12">
        <v>380</v>
      </c>
      <c r="K442">
        <v>6</v>
      </c>
      <c r="L442">
        <v>4</v>
      </c>
      <c r="M442">
        <v>900</v>
      </c>
      <c r="N442" s="12">
        <f>+gemini_code_1787702791259[[#This Row],[Cantidad]]*gemini_code_1787702791259[[#This Row],[Precio_Unitario_USD]]</f>
        <v>1000</v>
      </c>
      <c r="O442" s="12">
        <f>+gemini_code_1787702791259[[#This Row],[Cantidad]]*gemini_code_1787702791259[[#This Row],[Costo_Unitario_USD]]</f>
        <v>760</v>
      </c>
      <c r="P442" s="12">
        <f>+gemini_code_1787702791259[[#This Row],[venta total]]-gemini_code_1787702791259[[#This Row],[Costo total]]</f>
        <v>240</v>
      </c>
      <c r="Q442" s="2">
        <f>gemini_code_1787702791259[[#This Row],[Ganancia bruta]]/gemini_code_1787702791259[[#This Row],[venta total]]</f>
        <v>0.24</v>
      </c>
      <c r="R442" t="str">
        <f>IF(gemini_code_1787702791259[[#This Row],[Dias_Entrega]]&lt;=gemini_code_1787702791259[[#This Row],[Promesa_SLA_Dias]],"A tiempo","Fuera de SLA")</f>
        <v>Fuera de SLA</v>
      </c>
    </row>
    <row r="443" spans="1:18" x14ac:dyDescent="0.25">
      <c r="A443" t="s">
        <v>67</v>
      </c>
      <c r="B443" s="1">
        <v>46242</v>
      </c>
      <c r="C443" t="s">
        <v>14</v>
      </c>
      <c r="D443" t="s">
        <v>15</v>
      </c>
      <c r="E443" t="s">
        <v>16</v>
      </c>
      <c r="F443" t="s">
        <v>23</v>
      </c>
      <c r="G443" t="s">
        <v>68</v>
      </c>
      <c r="H443">
        <v>3</v>
      </c>
      <c r="I443" s="12">
        <v>95</v>
      </c>
      <c r="J443" s="12">
        <v>45</v>
      </c>
      <c r="K443">
        <v>2</v>
      </c>
      <c r="L443">
        <v>3</v>
      </c>
      <c r="M443">
        <v>300</v>
      </c>
      <c r="N443" s="12">
        <f>+gemini_code_1787702791259[[#This Row],[Cantidad]]*gemini_code_1787702791259[[#This Row],[Precio_Unitario_USD]]</f>
        <v>285</v>
      </c>
      <c r="O443" s="12">
        <f>+gemini_code_1787702791259[[#This Row],[Cantidad]]*gemini_code_1787702791259[[#This Row],[Costo_Unitario_USD]]</f>
        <v>135</v>
      </c>
      <c r="P443" s="12">
        <f>+gemini_code_1787702791259[[#This Row],[venta total]]-gemini_code_1787702791259[[#This Row],[Costo total]]</f>
        <v>150</v>
      </c>
      <c r="Q443" s="2">
        <f>gemini_code_1787702791259[[#This Row],[Ganancia bruta]]/gemini_code_1787702791259[[#This Row],[venta total]]</f>
        <v>0.52631578947368418</v>
      </c>
      <c r="R443" t="str">
        <f>IF(gemini_code_1787702791259[[#This Row],[Dias_Entrega]]&lt;=gemini_code_1787702791259[[#This Row],[Promesa_SLA_Dias]],"A tiempo","Fuera de SLA")</f>
        <v>A tiempo</v>
      </c>
    </row>
    <row r="444" spans="1:18" x14ac:dyDescent="0.25">
      <c r="A444" t="s">
        <v>69</v>
      </c>
      <c r="B444" s="1">
        <v>46242</v>
      </c>
      <c r="C444" t="s">
        <v>20</v>
      </c>
      <c r="D444" t="s">
        <v>21</v>
      </c>
      <c r="E444" t="s">
        <v>16</v>
      </c>
      <c r="F444" t="s">
        <v>28</v>
      </c>
      <c r="G444" t="s">
        <v>70</v>
      </c>
      <c r="H444">
        <v>4</v>
      </c>
      <c r="I444" s="12">
        <v>160</v>
      </c>
      <c r="J444" s="12">
        <v>95</v>
      </c>
      <c r="K444">
        <v>2</v>
      </c>
      <c r="L444">
        <v>3</v>
      </c>
      <c r="M444">
        <v>600</v>
      </c>
      <c r="N444" s="12">
        <f>+gemini_code_1787702791259[[#This Row],[Cantidad]]*gemini_code_1787702791259[[#This Row],[Precio_Unitario_USD]]</f>
        <v>640</v>
      </c>
      <c r="O444" s="12">
        <f>+gemini_code_1787702791259[[#This Row],[Cantidad]]*gemini_code_1787702791259[[#This Row],[Costo_Unitario_USD]]</f>
        <v>380</v>
      </c>
      <c r="P444" s="12">
        <f>+gemini_code_1787702791259[[#This Row],[venta total]]-gemini_code_1787702791259[[#This Row],[Costo total]]</f>
        <v>260</v>
      </c>
      <c r="Q444" s="2">
        <f>gemini_code_1787702791259[[#This Row],[Ganancia bruta]]/gemini_code_1787702791259[[#This Row],[venta total]]</f>
        <v>0.40625</v>
      </c>
      <c r="R444" t="str">
        <f>IF(gemini_code_1787702791259[[#This Row],[Dias_Entrega]]&lt;=gemini_code_1787702791259[[#This Row],[Promesa_SLA_Dias]],"A tiempo","Fuera de SLA")</f>
        <v>A tiempo</v>
      </c>
    </row>
    <row r="445" spans="1:18" x14ac:dyDescent="0.25">
      <c r="A445" t="s">
        <v>71</v>
      </c>
      <c r="B445" s="1">
        <v>46242</v>
      </c>
      <c r="C445" t="s">
        <v>26</v>
      </c>
      <c r="D445" t="s">
        <v>27</v>
      </c>
      <c r="E445" t="s">
        <v>22</v>
      </c>
      <c r="F445" t="s">
        <v>31</v>
      </c>
      <c r="G445" t="s">
        <v>72</v>
      </c>
      <c r="H445">
        <v>7</v>
      </c>
      <c r="I445" s="12">
        <v>90</v>
      </c>
      <c r="J445" s="12">
        <v>45</v>
      </c>
      <c r="K445">
        <v>4</v>
      </c>
      <c r="L445">
        <v>3</v>
      </c>
      <c r="M445">
        <v>600</v>
      </c>
      <c r="N445" s="12">
        <f>+gemini_code_1787702791259[[#This Row],[Cantidad]]*gemini_code_1787702791259[[#This Row],[Precio_Unitario_USD]]</f>
        <v>630</v>
      </c>
      <c r="O445" s="12">
        <f>+gemini_code_1787702791259[[#This Row],[Cantidad]]*gemini_code_1787702791259[[#This Row],[Costo_Unitario_USD]]</f>
        <v>315</v>
      </c>
      <c r="P445" s="12">
        <f>+gemini_code_1787702791259[[#This Row],[venta total]]-gemini_code_1787702791259[[#This Row],[Costo total]]</f>
        <v>315</v>
      </c>
      <c r="Q445" s="2">
        <f>gemini_code_1787702791259[[#This Row],[Ganancia bruta]]/gemini_code_1787702791259[[#This Row],[venta total]]</f>
        <v>0.5</v>
      </c>
      <c r="R445" t="str">
        <f>IF(gemini_code_1787702791259[[#This Row],[Dias_Entrega]]&lt;=gemini_code_1787702791259[[#This Row],[Promesa_SLA_Dias]],"A tiempo","Fuera de SLA")</f>
        <v>Fuera de SLA</v>
      </c>
    </row>
    <row r="446" spans="1:18" x14ac:dyDescent="0.25">
      <c r="A446" t="s">
        <v>73</v>
      </c>
      <c r="B446" s="1">
        <v>46243</v>
      </c>
      <c r="C446" t="s">
        <v>14</v>
      </c>
      <c r="D446" t="s">
        <v>15</v>
      </c>
      <c r="E446" t="s">
        <v>22</v>
      </c>
      <c r="F446" t="s">
        <v>17</v>
      </c>
      <c r="G446" t="s">
        <v>74</v>
      </c>
      <c r="H446">
        <v>3</v>
      </c>
      <c r="I446" s="12">
        <v>310</v>
      </c>
      <c r="J446" s="12">
        <v>210</v>
      </c>
      <c r="K446">
        <v>2</v>
      </c>
      <c r="L446">
        <v>3</v>
      </c>
      <c r="M446">
        <v>900</v>
      </c>
      <c r="N446" s="12">
        <f>+gemini_code_1787702791259[[#This Row],[Cantidad]]*gemini_code_1787702791259[[#This Row],[Precio_Unitario_USD]]</f>
        <v>930</v>
      </c>
      <c r="O446" s="12">
        <f>+gemini_code_1787702791259[[#This Row],[Cantidad]]*gemini_code_1787702791259[[#This Row],[Costo_Unitario_USD]]</f>
        <v>630</v>
      </c>
      <c r="P446" s="12">
        <f>+gemini_code_1787702791259[[#This Row],[venta total]]-gemini_code_1787702791259[[#This Row],[Costo total]]</f>
        <v>300</v>
      </c>
      <c r="Q446" s="2">
        <f>gemini_code_1787702791259[[#This Row],[Ganancia bruta]]/gemini_code_1787702791259[[#This Row],[venta total]]</f>
        <v>0.32258064516129031</v>
      </c>
      <c r="R446" t="str">
        <f>IF(gemini_code_1787702791259[[#This Row],[Dias_Entrega]]&lt;=gemini_code_1787702791259[[#This Row],[Promesa_SLA_Dias]],"A tiempo","Fuera de SLA")</f>
        <v>A tiempo</v>
      </c>
    </row>
    <row r="447" spans="1:18" x14ac:dyDescent="0.25">
      <c r="A447" t="s">
        <v>75</v>
      </c>
      <c r="B447" s="1">
        <v>46243</v>
      </c>
      <c r="C447" t="s">
        <v>20</v>
      </c>
      <c r="D447" t="s">
        <v>21</v>
      </c>
      <c r="E447" t="s">
        <v>16</v>
      </c>
      <c r="F447" t="s">
        <v>23</v>
      </c>
      <c r="G447" t="s">
        <v>76</v>
      </c>
      <c r="H447">
        <v>8</v>
      </c>
      <c r="I447" s="12">
        <v>50</v>
      </c>
      <c r="J447" s="12">
        <v>22</v>
      </c>
      <c r="K447">
        <v>2</v>
      </c>
      <c r="L447">
        <v>3</v>
      </c>
      <c r="M447">
        <v>400</v>
      </c>
      <c r="N447" s="12">
        <f>+gemini_code_1787702791259[[#This Row],[Cantidad]]*gemini_code_1787702791259[[#This Row],[Precio_Unitario_USD]]</f>
        <v>400</v>
      </c>
      <c r="O447" s="12">
        <f>+gemini_code_1787702791259[[#This Row],[Cantidad]]*gemini_code_1787702791259[[#This Row],[Costo_Unitario_USD]]</f>
        <v>176</v>
      </c>
      <c r="P447" s="12">
        <f>+gemini_code_1787702791259[[#This Row],[venta total]]-gemini_code_1787702791259[[#This Row],[Costo total]]</f>
        <v>224</v>
      </c>
      <c r="Q447" s="2">
        <f>gemini_code_1787702791259[[#This Row],[Ganancia bruta]]/gemini_code_1787702791259[[#This Row],[venta total]]</f>
        <v>0.56000000000000005</v>
      </c>
      <c r="R447" t="str">
        <f>IF(gemini_code_1787702791259[[#This Row],[Dias_Entrega]]&lt;=gemini_code_1787702791259[[#This Row],[Promesa_SLA_Dias]],"A tiempo","Fuera de SLA")</f>
        <v>A tiempo</v>
      </c>
    </row>
    <row r="448" spans="1:18" x14ac:dyDescent="0.25">
      <c r="A448" t="s">
        <v>77</v>
      </c>
      <c r="B448" s="1">
        <v>46243</v>
      </c>
      <c r="C448" t="s">
        <v>26</v>
      </c>
      <c r="D448" t="s">
        <v>27</v>
      </c>
      <c r="E448" t="s">
        <v>16</v>
      </c>
      <c r="F448" t="s">
        <v>28</v>
      </c>
      <c r="G448" t="s">
        <v>78</v>
      </c>
      <c r="H448">
        <v>1</v>
      </c>
      <c r="I448" s="12">
        <v>750</v>
      </c>
      <c r="J448" s="12">
        <v>480</v>
      </c>
      <c r="K448">
        <v>8</v>
      </c>
      <c r="L448">
        <v>4</v>
      </c>
      <c r="M448">
        <v>700</v>
      </c>
      <c r="N448" s="12">
        <f>+gemini_code_1787702791259[[#This Row],[Cantidad]]*gemini_code_1787702791259[[#This Row],[Precio_Unitario_USD]]</f>
        <v>750</v>
      </c>
      <c r="O448" s="12">
        <f>+gemini_code_1787702791259[[#This Row],[Cantidad]]*gemini_code_1787702791259[[#This Row],[Costo_Unitario_USD]]</f>
        <v>480</v>
      </c>
      <c r="P448" s="12">
        <f>+gemini_code_1787702791259[[#This Row],[venta total]]-gemini_code_1787702791259[[#This Row],[Costo total]]</f>
        <v>270</v>
      </c>
      <c r="Q448" s="2">
        <f>gemini_code_1787702791259[[#This Row],[Ganancia bruta]]/gemini_code_1787702791259[[#This Row],[venta total]]</f>
        <v>0.36</v>
      </c>
      <c r="R448" t="str">
        <f>IF(gemini_code_1787702791259[[#This Row],[Dias_Entrega]]&lt;=gemini_code_1787702791259[[#This Row],[Promesa_SLA_Dias]],"A tiempo","Fuera de SLA")</f>
        <v>Fuera de SLA</v>
      </c>
    </row>
    <row r="449" spans="1:18" x14ac:dyDescent="0.25">
      <c r="A449" t="s">
        <v>79</v>
      </c>
      <c r="B449" s="1">
        <v>46244</v>
      </c>
      <c r="C449" t="s">
        <v>14</v>
      </c>
      <c r="D449" t="s">
        <v>15</v>
      </c>
      <c r="E449" t="s">
        <v>16</v>
      </c>
      <c r="F449" t="s">
        <v>31</v>
      </c>
      <c r="G449" t="s">
        <v>80</v>
      </c>
      <c r="H449">
        <v>4</v>
      </c>
      <c r="I449" s="12">
        <v>140</v>
      </c>
      <c r="J449" s="12">
        <v>75</v>
      </c>
      <c r="K449">
        <v>3</v>
      </c>
      <c r="L449">
        <v>3</v>
      </c>
      <c r="M449">
        <v>500</v>
      </c>
      <c r="N449" s="12">
        <f>+gemini_code_1787702791259[[#This Row],[Cantidad]]*gemini_code_1787702791259[[#This Row],[Precio_Unitario_USD]]</f>
        <v>560</v>
      </c>
      <c r="O449" s="12">
        <f>+gemini_code_1787702791259[[#This Row],[Cantidad]]*gemini_code_1787702791259[[#This Row],[Costo_Unitario_USD]]</f>
        <v>300</v>
      </c>
      <c r="P449" s="12">
        <f>+gemini_code_1787702791259[[#This Row],[venta total]]-gemini_code_1787702791259[[#This Row],[Costo total]]</f>
        <v>260</v>
      </c>
      <c r="Q449" s="2">
        <f>gemini_code_1787702791259[[#This Row],[Ganancia bruta]]/gemini_code_1787702791259[[#This Row],[venta total]]</f>
        <v>0.4642857142857143</v>
      </c>
      <c r="R449" t="str">
        <f>IF(gemini_code_1787702791259[[#This Row],[Dias_Entrega]]&lt;=gemini_code_1787702791259[[#This Row],[Promesa_SLA_Dias]],"A tiempo","Fuera de SLA")</f>
        <v>A tiempo</v>
      </c>
    </row>
    <row r="450" spans="1:18" x14ac:dyDescent="0.25">
      <c r="A450" t="s">
        <v>81</v>
      </c>
      <c r="B450" s="1">
        <v>46244</v>
      </c>
      <c r="C450" t="s">
        <v>20</v>
      </c>
      <c r="D450" t="s">
        <v>21</v>
      </c>
      <c r="E450" t="s">
        <v>22</v>
      </c>
      <c r="F450" t="s">
        <v>17</v>
      </c>
      <c r="G450" t="s">
        <v>82</v>
      </c>
      <c r="H450">
        <v>6</v>
      </c>
      <c r="I450" s="12">
        <v>90</v>
      </c>
      <c r="J450" s="12">
        <v>50</v>
      </c>
      <c r="K450">
        <v>1</v>
      </c>
      <c r="L450">
        <v>2</v>
      </c>
      <c r="M450">
        <v>500</v>
      </c>
      <c r="N450" s="12">
        <f>+gemini_code_1787702791259[[#This Row],[Cantidad]]*gemini_code_1787702791259[[#This Row],[Precio_Unitario_USD]]</f>
        <v>540</v>
      </c>
      <c r="O450" s="12">
        <f>+gemini_code_1787702791259[[#This Row],[Cantidad]]*gemini_code_1787702791259[[#This Row],[Costo_Unitario_USD]]</f>
        <v>300</v>
      </c>
      <c r="P450" s="12">
        <f>+gemini_code_1787702791259[[#This Row],[venta total]]-gemini_code_1787702791259[[#This Row],[Costo total]]</f>
        <v>240</v>
      </c>
      <c r="Q450" s="2">
        <f>gemini_code_1787702791259[[#This Row],[Ganancia bruta]]/gemini_code_1787702791259[[#This Row],[venta total]]</f>
        <v>0.44444444444444442</v>
      </c>
      <c r="R450" t="str">
        <f>IF(gemini_code_1787702791259[[#This Row],[Dias_Entrega]]&lt;=gemini_code_1787702791259[[#This Row],[Promesa_SLA_Dias]],"A tiempo","Fuera de SLA")</f>
        <v>A tiempo</v>
      </c>
    </row>
    <row r="451" spans="1:18" x14ac:dyDescent="0.25">
      <c r="A451" t="s">
        <v>83</v>
      </c>
      <c r="B451" s="1">
        <v>46244</v>
      </c>
      <c r="C451" t="s">
        <v>26</v>
      </c>
      <c r="D451" t="s">
        <v>27</v>
      </c>
      <c r="E451" t="s">
        <v>16</v>
      </c>
      <c r="F451" t="s">
        <v>23</v>
      </c>
      <c r="G451" t="s">
        <v>84</v>
      </c>
      <c r="H451">
        <v>6</v>
      </c>
      <c r="I451" s="12">
        <v>60</v>
      </c>
      <c r="J451" s="12">
        <v>28</v>
      </c>
      <c r="K451">
        <v>5</v>
      </c>
      <c r="L451">
        <v>3</v>
      </c>
      <c r="M451">
        <v>350</v>
      </c>
      <c r="N451" s="12">
        <f>+gemini_code_1787702791259[[#This Row],[Cantidad]]*gemini_code_1787702791259[[#This Row],[Precio_Unitario_USD]]</f>
        <v>360</v>
      </c>
      <c r="O451" s="12">
        <f>+gemini_code_1787702791259[[#This Row],[Cantidad]]*gemini_code_1787702791259[[#This Row],[Costo_Unitario_USD]]</f>
        <v>168</v>
      </c>
      <c r="P451" s="12">
        <f>+gemini_code_1787702791259[[#This Row],[venta total]]-gemini_code_1787702791259[[#This Row],[Costo total]]</f>
        <v>192</v>
      </c>
      <c r="Q451" s="2">
        <f>gemini_code_1787702791259[[#This Row],[Ganancia bruta]]/gemini_code_1787702791259[[#This Row],[venta total]]</f>
        <v>0.53333333333333333</v>
      </c>
      <c r="R451" t="str">
        <f>IF(gemini_code_1787702791259[[#This Row],[Dias_Entrega]]&lt;=gemini_code_1787702791259[[#This Row],[Promesa_SLA_Dias]],"A tiempo","Fuera de SLA")</f>
        <v>Fuera de SLA</v>
      </c>
    </row>
    <row r="452" spans="1:18" x14ac:dyDescent="0.25">
      <c r="A452" t="s">
        <v>13</v>
      </c>
      <c r="B452" s="1">
        <v>46235</v>
      </c>
      <c r="C452" t="s">
        <v>14</v>
      </c>
      <c r="D452" t="s">
        <v>15</v>
      </c>
      <c r="E452" t="s">
        <v>16</v>
      </c>
      <c r="F452" t="s">
        <v>17</v>
      </c>
      <c r="G452" t="s">
        <v>18</v>
      </c>
      <c r="H452">
        <v>2</v>
      </c>
      <c r="I452" s="12">
        <v>850</v>
      </c>
      <c r="J452" s="12">
        <v>600</v>
      </c>
      <c r="K452">
        <v>2</v>
      </c>
      <c r="L452">
        <v>3</v>
      </c>
      <c r="M452">
        <v>1500</v>
      </c>
      <c r="N452" s="12">
        <f>+gemini_code_1787702791259[[#This Row],[Cantidad]]*gemini_code_1787702791259[[#This Row],[Precio_Unitario_USD]]</f>
        <v>1700</v>
      </c>
      <c r="O452" s="12">
        <f>+gemini_code_1787702791259[[#This Row],[Cantidad]]*gemini_code_1787702791259[[#This Row],[Costo_Unitario_USD]]</f>
        <v>1200</v>
      </c>
      <c r="P452" s="12">
        <f>+gemini_code_1787702791259[[#This Row],[venta total]]-gemini_code_1787702791259[[#This Row],[Costo total]]</f>
        <v>500</v>
      </c>
      <c r="Q452" s="2">
        <f>gemini_code_1787702791259[[#This Row],[Ganancia bruta]]/gemini_code_1787702791259[[#This Row],[venta total]]</f>
        <v>0.29411764705882354</v>
      </c>
      <c r="R452" t="str">
        <f>IF(gemini_code_1787702791259[[#This Row],[Dias_Entrega]]&lt;=gemini_code_1787702791259[[#This Row],[Promesa_SLA_Dias]],"A tiempo","Fuera de SLA")</f>
        <v>A tiempo</v>
      </c>
    </row>
    <row r="453" spans="1:18" x14ac:dyDescent="0.25">
      <c r="A453" t="s">
        <v>19</v>
      </c>
      <c r="B453" s="1">
        <v>46235</v>
      </c>
      <c r="C453" t="s">
        <v>20</v>
      </c>
      <c r="D453" t="s">
        <v>21</v>
      </c>
      <c r="E453" t="s">
        <v>22</v>
      </c>
      <c r="F453" t="s">
        <v>23</v>
      </c>
      <c r="G453" t="s">
        <v>24</v>
      </c>
      <c r="H453">
        <v>5</v>
      </c>
      <c r="I453" s="12">
        <v>120</v>
      </c>
      <c r="J453" s="12">
        <v>70</v>
      </c>
      <c r="K453">
        <v>3</v>
      </c>
      <c r="L453">
        <v>3</v>
      </c>
      <c r="M453">
        <v>500</v>
      </c>
      <c r="N453" s="12">
        <f>+gemini_code_1787702791259[[#This Row],[Cantidad]]*gemini_code_1787702791259[[#This Row],[Precio_Unitario_USD]]</f>
        <v>600</v>
      </c>
      <c r="O453" s="12">
        <f>+gemini_code_1787702791259[[#This Row],[Cantidad]]*gemini_code_1787702791259[[#This Row],[Costo_Unitario_USD]]</f>
        <v>350</v>
      </c>
      <c r="P453" s="12">
        <f>+gemini_code_1787702791259[[#This Row],[venta total]]-gemini_code_1787702791259[[#This Row],[Costo total]]</f>
        <v>250</v>
      </c>
      <c r="Q453" s="2">
        <f>gemini_code_1787702791259[[#This Row],[Ganancia bruta]]/gemini_code_1787702791259[[#This Row],[venta total]]</f>
        <v>0.41666666666666669</v>
      </c>
      <c r="R453" t="str">
        <f>IF(gemini_code_1787702791259[[#This Row],[Dias_Entrega]]&lt;=gemini_code_1787702791259[[#This Row],[Promesa_SLA_Dias]],"A tiempo","Fuera de SLA")</f>
        <v>A tiempo</v>
      </c>
    </row>
    <row r="454" spans="1:18" x14ac:dyDescent="0.25">
      <c r="A454" t="s">
        <v>25</v>
      </c>
      <c r="B454" s="1">
        <v>46235</v>
      </c>
      <c r="C454" t="s">
        <v>26</v>
      </c>
      <c r="D454" t="s">
        <v>27</v>
      </c>
      <c r="E454" t="s">
        <v>16</v>
      </c>
      <c r="F454" t="s">
        <v>28</v>
      </c>
      <c r="G454" t="s">
        <v>29</v>
      </c>
      <c r="H454">
        <v>3</v>
      </c>
      <c r="I454" s="12">
        <v>90</v>
      </c>
      <c r="J454" s="12">
        <v>50</v>
      </c>
      <c r="K454">
        <v>6</v>
      </c>
      <c r="L454">
        <v>4</v>
      </c>
      <c r="M454">
        <v>300</v>
      </c>
      <c r="N454" s="12">
        <f>+gemini_code_1787702791259[[#This Row],[Cantidad]]*gemini_code_1787702791259[[#This Row],[Precio_Unitario_USD]]</f>
        <v>270</v>
      </c>
      <c r="O454" s="12">
        <f>+gemini_code_1787702791259[[#This Row],[Cantidad]]*gemini_code_1787702791259[[#This Row],[Costo_Unitario_USD]]</f>
        <v>150</v>
      </c>
      <c r="P454" s="12">
        <f>+gemini_code_1787702791259[[#This Row],[venta total]]-gemini_code_1787702791259[[#This Row],[Costo total]]</f>
        <v>120</v>
      </c>
      <c r="Q454" s="2">
        <f>gemini_code_1787702791259[[#This Row],[Ganancia bruta]]/gemini_code_1787702791259[[#This Row],[venta total]]</f>
        <v>0.44444444444444442</v>
      </c>
      <c r="R454" t="str">
        <f>IF(gemini_code_1787702791259[[#This Row],[Dias_Entrega]]&lt;=gemini_code_1787702791259[[#This Row],[Promesa_SLA_Dias]],"A tiempo","Fuera de SLA")</f>
        <v>Fuera de SLA</v>
      </c>
    </row>
    <row r="455" spans="1:18" x14ac:dyDescent="0.25">
      <c r="A455" t="s">
        <v>30</v>
      </c>
      <c r="B455" s="1">
        <v>46236</v>
      </c>
      <c r="C455" t="s">
        <v>14</v>
      </c>
      <c r="D455" t="s">
        <v>15</v>
      </c>
      <c r="E455" t="s">
        <v>22</v>
      </c>
      <c r="F455" t="s">
        <v>31</v>
      </c>
      <c r="G455" t="s">
        <v>32</v>
      </c>
      <c r="H455">
        <v>4</v>
      </c>
      <c r="I455" s="12">
        <v>110</v>
      </c>
      <c r="J455" s="12">
        <v>60</v>
      </c>
      <c r="K455">
        <v>1</v>
      </c>
      <c r="L455">
        <v>2</v>
      </c>
      <c r="M455">
        <v>400</v>
      </c>
      <c r="N455" s="12">
        <f>+gemini_code_1787702791259[[#This Row],[Cantidad]]*gemini_code_1787702791259[[#This Row],[Precio_Unitario_USD]]</f>
        <v>440</v>
      </c>
      <c r="O455" s="12">
        <f>+gemini_code_1787702791259[[#This Row],[Cantidad]]*gemini_code_1787702791259[[#This Row],[Costo_Unitario_USD]]</f>
        <v>240</v>
      </c>
      <c r="P455" s="12">
        <f>+gemini_code_1787702791259[[#This Row],[venta total]]-gemini_code_1787702791259[[#This Row],[Costo total]]</f>
        <v>200</v>
      </c>
      <c r="Q455" s="2">
        <f>gemini_code_1787702791259[[#This Row],[Ganancia bruta]]/gemini_code_1787702791259[[#This Row],[venta total]]</f>
        <v>0.45454545454545453</v>
      </c>
      <c r="R455" t="str">
        <f>IF(gemini_code_1787702791259[[#This Row],[Dias_Entrega]]&lt;=gemini_code_1787702791259[[#This Row],[Promesa_SLA_Dias]],"A tiempo","Fuera de SLA")</f>
        <v>A tiempo</v>
      </c>
    </row>
    <row r="456" spans="1:18" x14ac:dyDescent="0.25">
      <c r="A456" t="s">
        <v>33</v>
      </c>
      <c r="B456" s="1">
        <v>46236</v>
      </c>
      <c r="C456" t="s">
        <v>20</v>
      </c>
      <c r="D456" t="s">
        <v>21</v>
      </c>
      <c r="E456" t="s">
        <v>16</v>
      </c>
      <c r="F456" t="s">
        <v>17</v>
      </c>
      <c r="G456" t="s">
        <v>34</v>
      </c>
      <c r="H456">
        <v>3</v>
      </c>
      <c r="I456" s="12">
        <v>650</v>
      </c>
      <c r="J456" s="12">
        <v>450</v>
      </c>
      <c r="K456">
        <v>2</v>
      </c>
      <c r="L456">
        <v>3</v>
      </c>
      <c r="M456">
        <v>1800</v>
      </c>
      <c r="N456" s="12">
        <f>+gemini_code_1787702791259[[#This Row],[Cantidad]]*gemini_code_1787702791259[[#This Row],[Precio_Unitario_USD]]</f>
        <v>1950</v>
      </c>
      <c r="O456" s="12">
        <f>+gemini_code_1787702791259[[#This Row],[Cantidad]]*gemini_code_1787702791259[[#This Row],[Costo_Unitario_USD]]</f>
        <v>1350</v>
      </c>
      <c r="P456" s="12">
        <f>+gemini_code_1787702791259[[#This Row],[venta total]]-gemini_code_1787702791259[[#This Row],[Costo total]]</f>
        <v>600</v>
      </c>
      <c r="Q456" s="2">
        <f>gemini_code_1787702791259[[#This Row],[Ganancia bruta]]/gemini_code_1787702791259[[#This Row],[venta total]]</f>
        <v>0.30769230769230771</v>
      </c>
      <c r="R456" t="str">
        <f>IF(gemini_code_1787702791259[[#This Row],[Dias_Entrega]]&lt;=gemini_code_1787702791259[[#This Row],[Promesa_SLA_Dias]],"A tiempo","Fuera de SLA")</f>
        <v>A tiempo</v>
      </c>
    </row>
    <row r="457" spans="1:18" x14ac:dyDescent="0.25">
      <c r="A457" t="s">
        <v>35</v>
      </c>
      <c r="B457" s="1">
        <v>46236</v>
      </c>
      <c r="C457" t="s">
        <v>26</v>
      </c>
      <c r="D457" t="s">
        <v>27</v>
      </c>
      <c r="E457" t="s">
        <v>16</v>
      </c>
      <c r="F457" t="s">
        <v>23</v>
      </c>
      <c r="G457" t="s">
        <v>36</v>
      </c>
      <c r="H457">
        <v>8</v>
      </c>
      <c r="I457" s="12">
        <v>45</v>
      </c>
      <c r="J457" s="12">
        <v>20</v>
      </c>
      <c r="K457">
        <v>5</v>
      </c>
      <c r="L457">
        <v>3</v>
      </c>
      <c r="M457">
        <v>400</v>
      </c>
      <c r="N457" s="12">
        <f>+gemini_code_1787702791259[[#This Row],[Cantidad]]*gemini_code_1787702791259[[#This Row],[Precio_Unitario_USD]]</f>
        <v>360</v>
      </c>
      <c r="O457" s="12">
        <f>+gemini_code_1787702791259[[#This Row],[Cantidad]]*gemini_code_1787702791259[[#This Row],[Costo_Unitario_USD]]</f>
        <v>160</v>
      </c>
      <c r="P457" s="12">
        <f>+gemini_code_1787702791259[[#This Row],[venta total]]-gemini_code_1787702791259[[#This Row],[Costo total]]</f>
        <v>200</v>
      </c>
      <c r="Q457" s="2">
        <f>gemini_code_1787702791259[[#This Row],[Ganancia bruta]]/gemini_code_1787702791259[[#This Row],[venta total]]</f>
        <v>0.55555555555555558</v>
      </c>
      <c r="R457" t="str">
        <f>IF(gemini_code_1787702791259[[#This Row],[Dias_Entrega]]&lt;=gemini_code_1787702791259[[#This Row],[Promesa_SLA_Dias]],"A tiempo","Fuera de SLA")</f>
        <v>Fuera de SLA</v>
      </c>
    </row>
    <row r="458" spans="1:18" x14ac:dyDescent="0.25">
      <c r="A458" t="s">
        <v>37</v>
      </c>
      <c r="B458" s="1">
        <v>46237</v>
      </c>
      <c r="C458" t="s">
        <v>14</v>
      </c>
      <c r="D458" t="s">
        <v>15</v>
      </c>
      <c r="E458" t="s">
        <v>16</v>
      </c>
      <c r="F458" t="s">
        <v>28</v>
      </c>
      <c r="G458" t="s">
        <v>38</v>
      </c>
      <c r="H458">
        <v>2</v>
      </c>
      <c r="I458" s="12">
        <v>280</v>
      </c>
      <c r="J458" s="12">
        <v>180</v>
      </c>
      <c r="K458">
        <v>3</v>
      </c>
      <c r="L458">
        <v>3</v>
      </c>
      <c r="M458">
        <v>500</v>
      </c>
      <c r="N458" s="12">
        <f>+gemini_code_1787702791259[[#This Row],[Cantidad]]*gemini_code_1787702791259[[#This Row],[Precio_Unitario_USD]]</f>
        <v>560</v>
      </c>
      <c r="O458" s="12">
        <f>+gemini_code_1787702791259[[#This Row],[Cantidad]]*gemini_code_1787702791259[[#This Row],[Costo_Unitario_USD]]</f>
        <v>360</v>
      </c>
      <c r="P458" s="12">
        <f>+gemini_code_1787702791259[[#This Row],[venta total]]-gemini_code_1787702791259[[#This Row],[Costo total]]</f>
        <v>200</v>
      </c>
      <c r="Q458" s="2">
        <f>gemini_code_1787702791259[[#This Row],[Ganancia bruta]]/gemini_code_1787702791259[[#This Row],[venta total]]</f>
        <v>0.35714285714285715</v>
      </c>
      <c r="R458" t="str">
        <f>IF(gemini_code_1787702791259[[#This Row],[Dias_Entrega]]&lt;=gemini_code_1787702791259[[#This Row],[Promesa_SLA_Dias]],"A tiempo","Fuera de SLA")</f>
        <v>A tiempo</v>
      </c>
    </row>
    <row r="459" spans="1:18" x14ac:dyDescent="0.25">
      <c r="A459" t="s">
        <v>39</v>
      </c>
      <c r="B459" s="1">
        <v>46237</v>
      </c>
      <c r="C459" t="s">
        <v>20</v>
      </c>
      <c r="D459" t="s">
        <v>21</v>
      </c>
      <c r="E459" t="s">
        <v>22</v>
      </c>
      <c r="F459" t="s">
        <v>31</v>
      </c>
      <c r="G459" t="s">
        <v>40</v>
      </c>
      <c r="H459">
        <v>3</v>
      </c>
      <c r="I459" s="12">
        <v>150</v>
      </c>
      <c r="J459" s="12">
        <v>85</v>
      </c>
      <c r="K459">
        <v>2</v>
      </c>
      <c r="L459">
        <v>2</v>
      </c>
      <c r="M459">
        <v>400</v>
      </c>
      <c r="N459" s="12">
        <f>+gemini_code_1787702791259[[#This Row],[Cantidad]]*gemini_code_1787702791259[[#This Row],[Precio_Unitario_USD]]</f>
        <v>450</v>
      </c>
      <c r="O459" s="12">
        <f>+gemini_code_1787702791259[[#This Row],[Cantidad]]*gemini_code_1787702791259[[#This Row],[Costo_Unitario_USD]]</f>
        <v>255</v>
      </c>
      <c r="P459" s="12">
        <f>+gemini_code_1787702791259[[#This Row],[venta total]]-gemini_code_1787702791259[[#This Row],[Costo total]]</f>
        <v>195</v>
      </c>
      <c r="Q459" s="2">
        <f>gemini_code_1787702791259[[#This Row],[Ganancia bruta]]/gemini_code_1787702791259[[#This Row],[venta total]]</f>
        <v>0.43333333333333335</v>
      </c>
      <c r="R459" t="str">
        <f>IF(gemini_code_1787702791259[[#This Row],[Dias_Entrega]]&lt;=gemini_code_1787702791259[[#This Row],[Promesa_SLA_Dias]],"A tiempo","Fuera de SLA")</f>
        <v>A tiempo</v>
      </c>
    </row>
    <row r="460" spans="1:18" x14ac:dyDescent="0.25">
      <c r="A460" t="s">
        <v>41</v>
      </c>
      <c r="B460" s="1">
        <v>46237</v>
      </c>
      <c r="C460" t="s">
        <v>26</v>
      </c>
      <c r="D460" t="s">
        <v>27</v>
      </c>
      <c r="E460" t="s">
        <v>16</v>
      </c>
      <c r="F460" t="s">
        <v>17</v>
      </c>
      <c r="G460" t="s">
        <v>42</v>
      </c>
      <c r="H460">
        <v>2</v>
      </c>
      <c r="I460" s="12">
        <v>520</v>
      </c>
      <c r="J460" s="12">
        <v>380</v>
      </c>
      <c r="K460">
        <v>7</v>
      </c>
      <c r="L460">
        <v>4</v>
      </c>
      <c r="M460">
        <v>1000</v>
      </c>
      <c r="N460" s="12">
        <f>+gemini_code_1787702791259[[#This Row],[Cantidad]]*gemini_code_1787702791259[[#This Row],[Precio_Unitario_USD]]</f>
        <v>1040</v>
      </c>
      <c r="O460" s="12">
        <f>+gemini_code_1787702791259[[#This Row],[Cantidad]]*gemini_code_1787702791259[[#This Row],[Costo_Unitario_USD]]</f>
        <v>760</v>
      </c>
      <c r="P460" s="12">
        <f>+gemini_code_1787702791259[[#This Row],[venta total]]-gemini_code_1787702791259[[#This Row],[Costo total]]</f>
        <v>280</v>
      </c>
      <c r="Q460" s="2">
        <f>gemini_code_1787702791259[[#This Row],[Ganancia bruta]]/gemini_code_1787702791259[[#This Row],[venta total]]</f>
        <v>0.26923076923076922</v>
      </c>
      <c r="R460" t="str">
        <f>IF(gemini_code_1787702791259[[#This Row],[Dias_Entrega]]&lt;=gemini_code_1787702791259[[#This Row],[Promesa_SLA_Dias]],"A tiempo","Fuera de SLA")</f>
        <v>Fuera de SLA</v>
      </c>
    </row>
    <row r="461" spans="1:18" x14ac:dyDescent="0.25">
      <c r="A461" t="s">
        <v>43</v>
      </c>
      <c r="B461" s="1">
        <v>46238</v>
      </c>
      <c r="C461" t="s">
        <v>14</v>
      </c>
      <c r="D461" t="s">
        <v>15</v>
      </c>
      <c r="E461" t="s">
        <v>22</v>
      </c>
      <c r="F461" t="s">
        <v>23</v>
      </c>
      <c r="G461" t="s">
        <v>44</v>
      </c>
      <c r="H461">
        <v>6</v>
      </c>
      <c r="I461" s="12">
        <v>55</v>
      </c>
      <c r="J461" s="12">
        <v>25</v>
      </c>
      <c r="K461">
        <v>2</v>
      </c>
      <c r="L461">
        <v>3</v>
      </c>
      <c r="M461">
        <v>300</v>
      </c>
      <c r="N461" s="12">
        <f>+gemini_code_1787702791259[[#This Row],[Cantidad]]*gemini_code_1787702791259[[#This Row],[Precio_Unitario_USD]]</f>
        <v>330</v>
      </c>
      <c r="O461" s="12">
        <f>+gemini_code_1787702791259[[#This Row],[Cantidad]]*gemini_code_1787702791259[[#This Row],[Costo_Unitario_USD]]</f>
        <v>150</v>
      </c>
      <c r="P461" s="12">
        <f>+gemini_code_1787702791259[[#This Row],[venta total]]-gemini_code_1787702791259[[#This Row],[Costo total]]</f>
        <v>180</v>
      </c>
      <c r="Q461" s="2">
        <f>gemini_code_1787702791259[[#This Row],[Ganancia bruta]]/gemini_code_1787702791259[[#This Row],[venta total]]</f>
        <v>0.54545454545454541</v>
      </c>
      <c r="R461" t="str">
        <f>IF(gemini_code_1787702791259[[#This Row],[Dias_Entrega]]&lt;=gemini_code_1787702791259[[#This Row],[Promesa_SLA_Dias]],"A tiempo","Fuera de SLA")</f>
        <v>A tiempo</v>
      </c>
    </row>
    <row r="462" spans="1:18" x14ac:dyDescent="0.25">
      <c r="A462" t="s">
        <v>45</v>
      </c>
      <c r="B462" s="1">
        <v>46238</v>
      </c>
      <c r="C462" t="s">
        <v>20</v>
      </c>
      <c r="D462" t="s">
        <v>21</v>
      </c>
      <c r="E462" t="s">
        <v>16</v>
      </c>
      <c r="F462" t="s">
        <v>28</v>
      </c>
      <c r="G462" t="s">
        <v>46</v>
      </c>
      <c r="H462">
        <v>1</v>
      </c>
      <c r="I462" s="12">
        <v>450</v>
      </c>
      <c r="J462" s="12">
        <v>290</v>
      </c>
      <c r="K462">
        <v>4</v>
      </c>
      <c r="L462">
        <v>3</v>
      </c>
      <c r="M462">
        <v>400</v>
      </c>
      <c r="N462" s="12">
        <f>+gemini_code_1787702791259[[#This Row],[Cantidad]]*gemini_code_1787702791259[[#This Row],[Precio_Unitario_USD]]</f>
        <v>450</v>
      </c>
      <c r="O462" s="12">
        <f>+gemini_code_1787702791259[[#This Row],[Cantidad]]*gemini_code_1787702791259[[#This Row],[Costo_Unitario_USD]]</f>
        <v>290</v>
      </c>
      <c r="P462" s="12">
        <f>+gemini_code_1787702791259[[#This Row],[venta total]]-gemini_code_1787702791259[[#This Row],[Costo total]]</f>
        <v>160</v>
      </c>
      <c r="Q462" s="2">
        <f>gemini_code_1787702791259[[#This Row],[Ganancia bruta]]/gemini_code_1787702791259[[#This Row],[venta total]]</f>
        <v>0.35555555555555557</v>
      </c>
      <c r="R462" t="str">
        <f>IF(gemini_code_1787702791259[[#This Row],[Dias_Entrega]]&lt;=gemini_code_1787702791259[[#This Row],[Promesa_SLA_Dias]],"A tiempo","Fuera de SLA")</f>
        <v>Fuera de SLA</v>
      </c>
    </row>
    <row r="463" spans="1:18" x14ac:dyDescent="0.25">
      <c r="A463" t="s">
        <v>47</v>
      </c>
      <c r="B463" s="1">
        <v>46238</v>
      </c>
      <c r="C463" t="s">
        <v>26</v>
      </c>
      <c r="D463" t="s">
        <v>27</v>
      </c>
      <c r="E463" t="s">
        <v>22</v>
      </c>
      <c r="F463" t="s">
        <v>31</v>
      </c>
      <c r="G463" t="s">
        <v>48</v>
      </c>
      <c r="H463">
        <v>10</v>
      </c>
      <c r="I463" s="12">
        <v>35</v>
      </c>
      <c r="J463" s="12">
        <v>15</v>
      </c>
      <c r="K463">
        <v>4</v>
      </c>
      <c r="L463">
        <v>3</v>
      </c>
      <c r="M463">
        <v>300</v>
      </c>
      <c r="N463" s="12">
        <f>+gemini_code_1787702791259[[#This Row],[Cantidad]]*gemini_code_1787702791259[[#This Row],[Precio_Unitario_USD]]</f>
        <v>350</v>
      </c>
      <c r="O463" s="12">
        <f>+gemini_code_1787702791259[[#This Row],[Cantidad]]*gemini_code_1787702791259[[#This Row],[Costo_Unitario_USD]]</f>
        <v>150</v>
      </c>
      <c r="P463" s="12">
        <f>+gemini_code_1787702791259[[#This Row],[venta total]]-gemini_code_1787702791259[[#This Row],[Costo total]]</f>
        <v>200</v>
      </c>
      <c r="Q463" s="2">
        <f>gemini_code_1787702791259[[#This Row],[Ganancia bruta]]/gemini_code_1787702791259[[#This Row],[venta total]]</f>
        <v>0.5714285714285714</v>
      </c>
      <c r="R463" t="str">
        <f>IF(gemini_code_1787702791259[[#This Row],[Dias_Entrega]]&lt;=gemini_code_1787702791259[[#This Row],[Promesa_SLA_Dias]],"A tiempo","Fuera de SLA")</f>
        <v>Fuera de SLA</v>
      </c>
    </row>
    <row r="464" spans="1:18" x14ac:dyDescent="0.25">
      <c r="A464" t="s">
        <v>49</v>
      </c>
      <c r="B464" s="1">
        <v>46239</v>
      </c>
      <c r="C464" t="s">
        <v>14</v>
      </c>
      <c r="D464" t="s">
        <v>15</v>
      </c>
      <c r="E464" t="s">
        <v>16</v>
      </c>
      <c r="F464" t="s">
        <v>17</v>
      </c>
      <c r="G464" t="s">
        <v>50</v>
      </c>
      <c r="H464">
        <v>4</v>
      </c>
      <c r="I464" s="12">
        <v>220</v>
      </c>
      <c r="J464" s="12">
        <v>140</v>
      </c>
      <c r="K464">
        <v>2</v>
      </c>
      <c r="L464">
        <v>3</v>
      </c>
      <c r="M464">
        <v>800</v>
      </c>
      <c r="N464" s="12">
        <f>+gemini_code_1787702791259[[#This Row],[Cantidad]]*gemini_code_1787702791259[[#This Row],[Precio_Unitario_USD]]</f>
        <v>880</v>
      </c>
      <c r="O464" s="12">
        <f>+gemini_code_1787702791259[[#This Row],[Cantidad]]*gemini_code_1787702791259[[#This Row],[Costo_Unitario_USD]]</f>
        <v>560</v>
      </c>
      <c r="P464" s="12">
        <f>+gemini_code_1787702791259[[#This Row],[venta total]]-gemini_code_1787702791259[[#This Row],[Costo total]]</f>
        <v>320</v>
      </c>
      <c r="Q464" s="2">
        <f>gemini_code_1787702791259[[#This Row],[Ganancia bruta]]/gemini_code_1787702791259[[#This Row],[venta total]]</f>
        <v>0.36363636363636365</v>
      </c>
      <c r="R464" t="str">
        <f>IF(gemini_code_1787702791259[[#This Row],[Dias_Entrega]]&lt;=gemini_code_1787702791259[[#This Row],[Promesa_SLA_Dias]],"A tiempo","Fuera de SLA")</f>
        <v>A tiempo</v>
      </c>
    </row>
    <row r="465" spans="1:18" x14ac:dyDescent="0.25">
      <c r="A465" t="s">
        <v>51</v>
      </c>
      <c r="B465" s="1">
        <v>46239</v>
      </c>
      <c r="C465" t="s">
        <v>20</v>
      </c>
      <c r="D465" t="s">
        <v>21</v>
      </c>
      <c r="E465" t="s">
        <v>16</v>
      </c>
      <c r="F465" t="s">
        <v>23</v>
      </c>
      <c r="G465" t="s">
        <v>52</v>
      </c>
      <c r="H465">
        <v>5</v>
      </c>
      <c r="I465" s="12">
        <v>65</v>
      </c>
      <c r="J465" s="12">
        <v>30</v>
      </c>
      <c r="K465">
        <v>2</v>
      </c>
      <c r="L465">
        <v>3</v>
      </c>
      <c r="M465">
        <v>300</v>
      </c>
      <c r="N465" s="12">
        <f>+gemini_code_1787702791259[[#This Row],[Cantidad]]*gemini_code_1787702791259[[#This Row],[Precio_Unitario_USD]]</f>
        <v>325</v>
      </c>
      <c r="O465" s="12">
        <f>+gemini_code_1787702791259[[#This Row],[Cantidad]]*gemini_code_1787702791259[[#This Row],[Costo_Unitario_USD]]</f>
        <v>150</v>
      </c>
      <c r="P465" s="12">
        <f>+gemini_code_1787702791259[[#This Row],[venta total]]-gemini_code_1787702791259[[#This Row],[Costo total]]</f>
        <v>175</v>
      </c>
      <c r="Q465" s="2">
        <f>gemini_code_1787702791259[[#This Row],[Ganancia bruta]]/gemini_code_1787702791259[[#This Row],[venta total]]</f>
        <v>0.53846153846153844</v>
      </c>
      <c r="R465" t="str">
        <f>IF(gemini_code_1787702791259[[#This Row],[Dias_Entrega]]&lt;=gemini_code_1787702791259[[#This Row],[Promesa_SLA_Dias]],"A tiempo","Fuera de SLA")</f>
        <v>A tiempo</v>
      </c>
    </row>
    <row r="466" spans="1:18" x14ac:dyDescent="0.25">
      <c r="A466" t="s">
        <v>53</v>
      </c>
      <c r="B466" s="1">
        <v>46239</v>
      </c>
      <c r="C466" t="s">
        <v>26</v>
      </c>
      <c r="D466" t="s">
        <v>27</v>
      </c>
      <c r="E466" t="s">
        <v>16</v>
      </c>
      <c r="F466" t="s">
        <v>28</v>
      </c>
      <c r="G466" t="s">
        <v>54</v>
      </c>
      <c r="H466">
        <v>2</v>
      </c>
      <c r="I466" s="12">
        <v>180</v>
      </c>
      <c r="J466" s="12">
        <v>110</v>
      </c>
      <c r="K466">
        <v>6</v>
      </c>
      <c r="L466">
        <v>3</v>
      </c>
      <c r="M466">
        <v>350</v>
      </c>
      <c r="N466" s="12">
        <f>+gemini_code_1787702791259[[#This Row],[Cantidad]]*gemini_code_1787702791259[[#This Row],[Precio_Unitario_USD]]</f>
        <v>360</v>
      </c>
      <c r="O466" s="12">
        <f>+gemini_code_1787702791259[[#This Row],[Cantidad]]*gemini_code_1787702791259[[#This Row],[Costo_Unitario_USD]]</f>
        <v>220</v>
      </c>
      <c r="P466" s="12">
        <f>+gemini_code_1787702791259[[#This Row],[venta total]]-gemini_code_1787702791259[[#This Row],[Costo total]]</f>
        <v>140</v>
      </c>
      <c r="Q466" s="2">
        <f>gemini_code_1787702791259[[#This Row],[Ganancia bruta]]/gemini_code_1787702791259[[#This Row],[venta total]]</f>
        <v>0.3888888888888889</v>
      </c>
      <c r="R466" t="str">
        <f>IF(gemini_code_1787702791259[[#This Row],[Dias_Entrega]]&lt;=gemini_code_1787702791259[[#This Row],[Promesa_SLA_Dias]],"A tiempo","Fuera de SLA")</f>
        <v>Fuera de SLA</v>
      </c>
    </row>
    <row r="467" spans="1:18" x14ac:dyDescent="0.25">
      <c r="A467" t="s">
        <v>55</v>
      </c>
      <c r="B467" s="1">
        <v>46240</v>
      </c>
      <c r="C467" t="s">
        <v>14</v>
      </c>
      <c r="D467" t="s">
        <v>15</v>
      </c>
      <c r="E467" t="s">
        <v>22</v>
      </c>
      <c r="F467" t="s">
        <v>31</v>
      </c>
      <c r="G467" t="s">
        <v>56</v>
      </c>
      <c r="H467">
        <v>6</v>
      </c>
      <c r="I467" s="12">
        <v>85</v>
      </c>
      <c r="J467" s="12">
        <v>45</v>
      </c>
      <c r="K467">
        <v>1</v>
      </c>
      <c r="L467">
        <v>2</v>
      </c>
      <c r="M467">
        <v>500</v>
      </c>
      <c r="N467" s="12">
        <f>+gemini_code_1787702791259[[#This Row],[Cantidad]]*gemini_code_1787702791259[[#This Row],[Precio_Unitario_USD]]</f>
        <v>510</v>
      </c>
      <c r="O467" s="12">
        <f>+gemini_code_1787702791259[[#This Row],[Cantidad]]*gemini_code_1787702791259[[#This Row],[Costo_Unitario_USD]]</f>
        <v>270</v>
      </c>
      <c r="P467" s="12">
        <f>+gemini_code_1787702791259[[#This Row],[venta total]]-gemini_code_1787702791259[[#This Row],[Costo total]]</f>
        <v>240</v>
      </c>
      <c r="Q467" s="2">
        <f>gemini_code_1787702791259[[#This Row],[Ganancia bruta]]/gemini_code_1787702791259[[#This Row],[venta total]]</f>
        <v>0.47058823529411764</v>
      </c>
      <c r="R467" t="str">
        <f>IF(gemini_code_1787702791259[[#This Row],[Dias_Entrega]]&lt;=gemini_code_1787702791259[[#This Row],[Promesa_SLA_Dias]],"A tiempo","Fuera de SLA")</f>
        <v>A tiempo</v>
      </c>
    </row>
    <row r="468" spans="1:18" x14ac:dyDescent="0.25">
      <c r="A468" t="s">
        <v>57</v>
      </c>
      <c r="B468" s="1">
        <v>46240</v>
      </c>
      <c r="C468" t="s">
        <v>20</v>
      </c>
      <c r="D468" t="s">
        <v>21</v>
      </c>
      <c r="E468" t="s">
        <v>16</v>
      </c>
      <c r="F468" t="s">
        <v>17</v>
      </c>
      <c r="G468" t="s">
        <v>58</v>
      </c>
      <c r="H468">
        <v>12</v>
      </c>
      <c r="I468" s="12">
        <v>75</v>
      </c>
      <c r="J468" s="12">
        <v>35</v>
      </c>
      <c r="K468">
        <v>1</v>
      </c>
      <c r="L468">
        <v>2</v>
      </c>
      <c r="M468">
        <v>800</v>
      </c>
      <c r="N468" s="12">
        <f>+gemini_code_1787702791259[[#This Row],[Cantidad]]*gemini_code_1787702791259[[#This Row],[Precio_Unitario_USD]]</f>
        <v>900</v>
      </c>
      <c r="O468" s="12">
        <f>+gemini_code_1787702791259[[#This Row],[Cantidad]]*gemini_code_1787702791259[[#This Row],[Costo_Unitario_USD]]</f>
        <v>420</v>
      </c>
      <c r="P468" s="12">
        <f>+gemini_code_1787702791259[[#This Row],[venta total]]-gemini_code_1787702791259[[#This Row],[Costo total]]</f>
        <v>480</v>
      </c>
      <c r="Q468" s="2">
        <f>gemini_code_1787702791259[[#This Row],[Ganancia bruta]]/gemini_code_1787702791259[[#This Row],[venta total]]</f>
        <v>0.53333333333333333</v>
      </c>
      <c r="R468" t="str">
        <f>IF(gemini_code_1787702791259[[#This Row],[Dias_Entrega]]&lt;=gemini_code_1787702791259[[#This Row],[Promesa_SLA_Dias]],"A tiempo","Fuera de SLA")</f>
        <v>A tiempo</v>
      </c>
    </row>
    <row r="469" spans="1:18" x14ac:dyDescent="0.25">
      <c r="A469" t="s">
        <v>59</v>
      </c>
      <c r="B469" s="1">
        <v>46240</v>
      </c>
      <c r="C469" t="s">
        <v>26</v>
      </c>
      <c r="D469" t="s">
        <v>27</v>
      </c>
      <c r="E469" t="s">
        <v>22</v>
      </c>
      <c r="F469" t="s">
        <v>23</v>
      </c>
      <c r="G469" t="s">
        <v>60</v>
      </c>
      <c r="H469">
        <v>4</v>
      </c>
      <c r="I469" s="12">
        <v>110</v>
      </c>
      <c r="J469" s="12">
        <v>55</v>
      </c>
      <c r="K469">
        <v>5</v>
      </c>
      <c r="L469">
        <v>3</v>
      </c>
      <c r="M469">
        <v>400</v>
      </c>
      <c r="N469" s="12">
        <f>+gemini_code_1787702791259[[#This Row],[Cantidad]]*gemini_code_1787702791259[[#This Row],[Precio_Unitario_USD]]</f>
        <v>440</v>
      </c>
      <c r="O469" s="12">
        <f>+gemini_code_1787702791259[[#This Row],[Cantidad]]*gemini_code_1787702791259[[#This Row],[Costo_Unitario_USD]]</f>
        <v>220</v>
      </c>
      <c r="P469" s="12">
        <f>+gemini_code_1787702791259[[#This Row],[venta total]]-gemini_code_1787702791259[[#This Row],[Costo total]]</f>
        <v>220</v>
      </c>
      <c r="Q469" s="2">
        <f>gemini_code_1787702791259[[#This Row],[Ganancia bruta]]/gemini_code_1787702791259[[#This Row],[venta total]]</f>
        <v>0.5</v>
      </c>
      <c r="R469" t="str">
        <f>IF(gemini_code_1787702791259[[#This Row],[Dias_Entrega]]&lt;=gemini_code_1787702791259[[#This Row],[Promesa_SLA_Dias]],"A tiempo","Fuera de SLA")</f>
        <v>Fuera de SLA</v>
      </c>
    </row>
    <row r="470" spans="1:18" x14ac:dyDescent="0.25">
      <c r="A470" t="s">
        <v>61</v>
      </c>
      <c r="B470" s="1">
        <v>46241</v>
      </c>
      <c r="C470" t="s">
        <v>14</v>
      </c>
      <c r="D470" t="s">
        <v>15</v>
      </c>
      <c r="E470" t="s">
        <v>16</v>
      </c>
      <c r="F470" t="s">
        <v>28</v>
      </c>
      <c r="G470" t="s">
        <v>62</v>
      </c>
      <c r="H470">
        <v>15</v>
      </c>
      <c r="I470" s="12">
        <v>25</v>
      </c>
      <c r="J470" s="12">
        <v>10</v>
      </c>
      <c r="K470">
        <v>2</v>
      </c>
      <c r="L470">
        <v>3</v>
      </c>
      <c r="M470">
        <v>300</v>
      </c>
      <c r="N470" s="12">
        <f>+gemini_code_1787702791259[[#This Row],[Cantidad]]*gemini_code_1787702791259[[#This Row],[Precio_Unitario_USD]]</f>
        <v>375</v>
      </c>
      <c r="O470" s="12">
        <f>+gemini_code_1787702791259[[#This Row],[Cantidad]]*gemini_code_1787702791259[[#This Row],[Costo_Unitario_USD]]</f>
        <v>150</v>
      </c>
      <c r="P470" s="12">
        <f>+gemini_code_1787702791259[[#This Row],[venta total]]-gemini_code_1787702791259[[#This Row],[Costo total]]</f>
        <v>225</v>
      </c>
      <c r="Q470" s="2">
        <f>gemini_code_1787702791259[[#This Row],[Ganancia bruta]]/gemini_code_1787702791259[[#This Row],[venta total]]</f>
        <v>0.6</v>
      </c>
      <c r="R470" t="str">
        <f>IF(gemini_code_1787702791259[[#This Row],[Dias_Entrega]]&lt;=gemini_code_1787702791259[[#This Row],[Promesa_SLA_Dias]],"A tiempo","Fuera de SLA")</f>
        <v>A tiempo</v>
      </c>
    </row>
    <row r="471" spans="1:18" x14ac:dyDescent="0.25">
      <c r="A471" t="s">
        <v>63</v>
      </c>
      <c r="B471" s="1">
        <v>46241</v>
      </c>
      <c r="C471" t="s">
        <v>20</v>
      </c>
      <c r="D471" t="s">
        <v>21</v>
      </c>
      <c r="E471" t="s">
        <v>22</v>
      </c>
      <c r="F471" t="s">
        <v>31</v>
      </c>
      <c r="G471" t="s">
        <v>64</v>
      </c>
      <c r="H471">
        <v>5</v>
      </c>
      <c r="I471" s="12">
        <v>130</v>
      </c>
      <c r="J471" s="12">
        <v>70</v>
      </c>
      <c r="K471">
        <v>3</v>
      </c>
      <c r="L471">
        <v>3</v>
      </c>
      <c r="M471">
        <v>600</v>
      </c>
      <c r="N471" s="12">
        <f>+gemini_code_1787702791259[[#This Row],[Cantidad]]*gemini_code_1787702791259[[#This Row],[Precio_Unitario_USD]]</f>
        <v>650</v>
      </c>
      <c r="O471" s="12">
        <f>+gemini_code_1787702791259[[#This Row],[Cantidad]]*gemini_code_1787702791259[[#This Row],[Costo_Unitario_USD]]</f>
        <v>350</v>
      </c>
      <c r="P471" s="12">
        <f>+gemini_code_1787702791259[[#This Row],[venta total]]-gemini_code_1787702791259[[#This Row],[Costo total]]</f>
        <v>300</v>
      </c>
      <c r="Q471" s="2">
        <f>gemini_code_1787702791259[[#This Row],[Ganancia bruta]]/gemini_code_1787702791259[[#This Row],[venta total]]</f>
        <v>0.46153846153846156</v>
      </c>
      <c r="R471" t="str">
        <f>IF(gemini_code_1787702791259[[#This Row],[Dias_Entrega]]&lt;=gemini_code_1787702791259[[#This Row],[Promesa_SLA_Dias]],"A tiempo","Fuera de SLA")</f>
        <v>A tiempo</v>
      </c>
    </row>
    <row r="472" spans="1:18" x14ac:dyDescent="0.25">
      <c r="A472" t="s">
        <v>65</v>
      </c>
      <c r="B472" s="1">
        <v>46241</v>
      </c>
      <c r="C472" t="s">
        <v>26</v>
      </c>
      <c r="D472" t="s">
        <v>27</v>
      </c>
      <c r="E472" t="s">
        <v>16</v>
      </c>
      <c r="F472" t="s">
        <v>17</v>
      </c>
      <c r="G472" t="s">
        <v>66</v>
      </c>
      <c r="H472">
        <v>2</v>
      </c>
      <c r="I472" s="12">
        <v>500</v>
      </c>
      <c r="J472" s="12">
        <v>380</v>
      </c>
      <c r="K472">
        <v>6</v>
      </c>
      <c r="L472">
        <v>4</v>
      </c>
      <c r="M472">
        <v>900</v>
      </c>
      <c r="N472" s="12">
        <f>+gemini_code_1787702791259[[#This Row],[Cantidad]]*gemini_code_1787702791259[[#This Row],[Precio_Unitario_USD]]</f>
        <v>1000</v>
      </c>
      <c r="O472" s="12">
        <f>+gemini_code_1787702791259[[#This Row],[Cantidad]]*gemini_code_1787702791259[[#This Row],[Costo_Unitario_USD]]</f>
        <v>760</v>
      </c>
      <c r="P472" s="12">
        <f>+gemini_code_1787702791259[[#This Row],[venta total]]-gemini_code_1787702791259[[#This Row],[Costo total]]</f>
        <v>240</v>
      </c>
      <c r="Q472" s="2">
        <f>gemini_code_1787702791259[[#This Row],[Ganancia bruta]]/gemini_code_1787702791259[[#This Row],[venta total]]</f>
        <v>0.24</v>
      </c>
      <c r="R472" t="str">
        <f>IF(gemini_code_1787702791259[[#This Row],[Dias_Entrega]]&lt;=gemini_code_1787702791259[[#This Row],[Promesa_SLA_Dias]],"A tiempo","Fuera de SLA")</f>
        <v>Fuera de SLA</v>
      </c>
    </row>
    <row r="473" spans="1:18" x14ac:dyDescent="0.25">
      <c r="A473" t="s">
        <v>67</v>
      </c>
      <c r="B473" s="1">
        <v>46242</v>
      </c>
      <c r="C473" t="s">
        <v>14</v>
      </c>
      <c r="D473" t="s">
        <v>15</v>
      </c>
      <c r="E473" t="s">
        <v>16</v>
      </c>
      <c r="F473" t="s">
        <v>23</v>
      </c>
      <c r="G473" t="s">
        <v>68</v>
      </c>
      <c r="H473">
        <v>3</v>
      </c>
      <c r="I473" s="12">
        <v>95</v>
      </c>
      <c r="J473" s="12">
        <v>45</v>
      </c>
      <c r="K473">
        <v>2</v>
      </c>
      <c r="L473">
        <v>3</v>
      </c>
      <c r="M473">
        <v>300</v>
      </c>
      <c r="N473" s="12">
        <f>+gemini_code_1787702791259[[#This Row],[Cantidad]]*gemini_code_1787702791259[[#This Row],[Precio_Unitario_USD]]</f>
        <v>285</v>
      </c>
      <c r="O473" s="12">
        <f>+gemini_code_1787702791259[[#This Row],[Cantidad]]*gemini_code_1787702791259[[#This Row],[Costo_Unitario_USD]]</f>
        <v>135</v>
      </c>
      <c r="P473" s="12">
        <f>+gemini_code_1787702791259[[#This Row],[venta total]]-gemini_code_1787702791259[[#This Row],[Costo total]]</f>
        <v>150</v>
      </c>
      <c r="Q473" s="2">
        <f>gemini_code_1787702791259[[#This Row],[Ganancia bruta]]/gemini_code_1787702791259[[#This Row],[venta total]]</f>
        <v>0.52631578947368418</v>
      </c>
      <c r="R473" t="str">
        <f>IF(gemini_code_1787702791259[[#This Row],[Dias_Entrega]]&lt;=gemini_code_1787702791259[[#This Row],[Promesa_SLA_Dias]],"A tiempo","Fuera de SLA")</f>
        <v>A tiempo</v>
      </c>
    </row>
    <row r="474" spans="1:18" x14ac:dyDescent="0.25">
      <c r="A474" t="s">
        <v>69</v>
      </c>
      <c r="B474" s="1">
        <v>46242</v>
      </c>
      <c r="C474" t="s">
        <v>20</v>
      </c>
      <c r="D474" t="s">
        <v>21</v>
      </c>
      <c r="E474" t="s">
        <v>16</v>
      </c>
      <c r="F474" t="s">
        <v>28</v>
      </c>
      <c r="G474" t="s">
        <v>70</v>
      </c>
      <c r="H474">
        <v>4</v>
      </c>
      <c r="I474" s="12">
        <v>160</v>
      </c>
      <c r="J474" s="12">
        <v>95</v>
      </c>
      <c r="K474">
        <v>2</v>
      </c>
      <c r="L474">
        <v>3</v>
      </c>
      <c r="M474">
        <v>600</v>
      </c>
      <c r="N474" s="12">
        <f>+gemini_code_1787702791259[[#This Row],[Cantidad]]*gemini_code_1787702791259[[#This Row],[Precio_Unitario_USD]]</f>
        <v>640</v>
      </c>
      <c r="O474" s="12">
        <f>+gemini_code_1787702791259[[#This Row],[Cantidad]]*gemini_code_1787702791259[[#This Row],[Costo_Unitario_USD]]</f>
        <v>380</v>
      </c>
      <c r="P474" s="12">
        <f>+gemini_code_1787702791259[[#This Row],[venta total]]-gemini_code_1787702791259[[#This Row],[Costo total]]</f>
        <v>260</v>
      </c>
      <c r="Q474" s="2">
        <f>gemini_code_1787702791259[[#This Row],[Ganancia bruta]]/gemini_code_1787702791259[[#This Row],[venta total]]</f>
        <v>0.40625</v>
      </c>
      <c r="R474" t="str">
        <f>IF(gemini_code_1787702791259[[#This Row],[Dias_Entrega]]&lt;=gemini_code_1787702791259[[#This Row],[Promesa_SLA_Dias]],"A tiempo","Fuera de SLA")</f>
        <v>A tiempo</v>
      </c>
    </row>
    <row r="475" spans="1:18" x14ac:dyDescent="0.25">
      <c r="A475" t="s">
        <v>71</v>
      </c>
      <c r="B475" s="1">
        <v>46242</v>
      </c>
      <c r="C475" t="s">
        <v>26</v>
      </c>
      <c r="D475" t="s">
        <v>27</v>
      </c>
      <c r="E475" t="s">
        <v>22</v>
      </c>
      <c r="F475" t="s">
        <v>31</v>
      </c>
      <c r="G475" t="s">
        <v>72</v>
      </c>
      <c r="H475">
        <v>7</v>
      </c>
      <c r="I475" s="12">
        <v>90</v>
      </c>
      <c r="J475" s="12">
        <v>45</v>
      </c>
      <c r="K475">
        <v>4</v>
      </c>
      <c r="L475">
        <v>3</v>
      </c>
      <c r="M475">
        <v>600</v>
      </c>
      <c r="N475" s="12">
        <f>+gemini_code_1787702791259[[#This Row],[Cantidad]]*gemini_code_1787702791259[[#This Row],[Precio_Unitario_USD]]</f>
        <v>630</v>
      </c>
      <c r="O475" s="12">
        <f>+gemini_code_1787702791259[[#This Row],[Cantidad]]*gemini_code_1787702791259[[#This Row],[Costo_Unitario_USD]]</f>
        <v>315</v>
      </c>
      <c r="P475" s="12">
        <f>+gemini_code_1787702791259[[#This Row],[venta total]]-gemini_code_1787702791259[[#This Row],[Costo total]]</f>
        <v>315</v>
      </c>
      <c r="Q475" s="2">
        <f>gemini_code_1787702791259[[#This Row],[Ganancia bruta]]/gemini_code_1787702791259[[#This Row],[venta total]]</f>
        <v>0.5</v>
      </c>
      <c r="R475" t="str">
        <f>IF(gemini_code_1787702791259[[#This Row],[Dias_Entrega]]&lt;=gemini_code_1787702791259[[#This Row],[Promesa_SLA_Dias]],"A tiempo","Fuera de SLA")</f>
        <v>Fuera de SLA</v>
      </c>
    </row>
    <row r="476" spans="1:18" x14ac:dyDescent="0.25">
      <c r="A476" t="s">
        <v>73</v>
      </c>
      <c r="B476" s="1">
        <v>46243</v>
      </c>
      <c r="C476" t="s">
        <v>14</v>
      </c>
      <c r="D476" t="s">
        <v>15</v>
      </c>
      <c r="E476" t="s">
        <v>22</v>
      </c>
      <c r="F476" t="s">
        <v>17</v>
      </c>
      <c r="G476" t="s">
        <v>74</v>
      </c>
      <c r="H476">
        <v>3</v>
      </c>
      <c r="I476" s="12">
        <v>310</v>
      </c>
      <c r="J476" s="12">
        <v>210</v>
      </c>
      <c r="K476">
        <v>2</v>
      </c>
      <c r="L476">
        <v>3</v>
      </c>
      <c r="M476">
        <v>900</v>
      </c>
      <c r="N476" s="12">
        <f>+gemini_code_1787702791259[[#This Row],[Cantidad]]*gemini_code_1787702791259[[#This Row],[Precio_Unitario_USD]]</f>
        <v>930</v>
      </c>
      <c r="O476" s="12">
        <f>+gemini_code_1787702791259[[#This Row],[Cantidad]]*gemini_code_1787702791259[[#This Row],[Costo_Unitario_USD]]</f>
        <v>630</v>
      </c>
      <c r="P476" s="12">
        <f>+gemini_code_1787702791259[[#This Row],[venta total]]-gemini_code_1787702791259[[#This Row],[Costo total]]</f>
        <v>300</v>
      </c>
      <c r="Q476" s="2">
        <f>gemini_code_1787702791259[[#This Row],[Ganancia bruta]]/gemini_code_1787702791259[[#This Row],[venta total]]</f>
        <v>0.32258064516129031</v>
      </c>
      <c r="R476" t="str">
        <f>IF(gemini_code_1787702791259[[#This Row],[Dias_Entrega]]&lt;=gemini_code_1787702791259[[#This Row],[Promesa_SLA_Dias]],"A tiempo","Fuera de SLA")</f>
        <v>A tiempo</v>
      </c>
    </row>
    <row r="477" spans="1:18" x14ac:dyDescent="0.25">
      <c r="A477" t="s">
        <v>75</v>
      </c>
      <c r="B477" s="1">
        <v>46243</v>
      </c>
      <c r="C477" t="s">
        <v>20</v>
      </c>
      <c r="D477" t="s">
        <v>21</v>
      </c>
      <c r="E477" t="s">
        <v>16</v>
      </c>
      <c r="F477" t="s">
        <v>23</v>
      </c>
      <c r="G477" t="s">
        <v>76</v>
      </c>
      <c r="H477">
        <v>8</v>
      </c>
      <c r="I477" s="12">
        <v>50</v>
      </c>
      <c r="J477" s="12">
        <v>22</v>
      </c>
      <c r="K477">
        <v>2</v>
      </c>
      <c r="L477">
        <v>3</v>
      </c>
      <c r="M477">
        <v>400</v>
      </c>
      <c r="N477" s="12">
        <f>+gemini_code_1787702791259[[#This Row],[Cantidad]]*gemini_code_1787702791259[[#This Row],[Precio_Unitario_USD]]</f>
        <v>400</v>
      </c>
      <c r="O477" s="12">
        <f>+gemini_code_1787702791259[[#This Row],[Cantidad]]*gemini_code_1787702791259[[#This Row],[Costo_Unitario_USD]]</f>
        <v>176</v>
      </c>
      <c r="P477" s="12">
        <f>+gemini_code_1787702791259[[#This Row],[venta total]]-gemini_code_1787702791259[[#This Row],[Costo total]]</f>
        <v>224</v>
      </c>
      <c r="Q477" s="2">
        <f>gemini_code_1787702791259[[#This Row],[Ganancia bruta]]/gemini_code_1787702791259[[#This Row],[venta total]]</f>
        <v>0.56000000000000005</v>
      </c>
      <c r="R477" t="str">
        <f>IF(gemini_code_1787702791259[[#This Row],[Dias_Entrega]]&lt;=gemini_code_1787702791259[[#This Row],[Promesa_SLA_Dias]],"A tiempo","Fuera de SLA")</f>
        <v>A tiempo</v>
      </c>
    </row>
    <row r="478" spans="1:18" x14ac:dyDescent="0.25">
      <c r="A478" t="s">
        <v>77</v>
      </c>
      <c r="B478" s="1">
        <v>46243</v>
      </c>
      <c r="C478" t="s">
        <v>26</v>
      </c>
      <c r="D478" t="s">
        <v>27</v>
      </c>
      <c r="E478" t="s">
        <v>16</v>
      </c>
      <c r="F478" t="s">
        <v>28</v>
      </c>
      <c r="G478" t="s">
        <v>78</v>
      </c>
      <c r="H478">
        <v>1</v>
      </c>
      <c r="I478" s="12">
        <v>750</v>
      </c>
      <c r="J478" s="12">
        <v>480</v>
      </c>
      <c r="K478">
        <v>8</v>
      </c>
      <c r="L478">
        <v>4</v>
      </c>
      <c r="M478">
        <v>700</v>
      </c>
      <c r="N478" s="12">
        <f>+gemini_code_1787702791259[[#This Row],[Cantidad]]*gemini_code_1787702791259[[#This Row],[Precio_Unitario_USD]]</f>
        <v>750</v>
      </c>
      <c r="O478" s="12">
        <f>+gemini_code_1787702791259[[#This Row],[Cantidad]]*gemini_code_1787702791259[[#This Row],[Costo_Unitario_USD]]</f>
        <v>480</v>
      </c>
      <c r="P478" s="12">
        <f>+gemini_code_1787702791259[[#This Row],[venta total]]-gemini_code_1787702791259[[#This Row],[Costo total]]</f>
        <v>270</v>
      </c>
      <c r="Q478" s="2">
        <f>gemini_code_1787702791259[[#This Row],[Ganancia bruta]]/gemini_code_1787702791259[[#This Row],[venta total]]</f>
        <v>0.36</v>
      </c>
      <c r="R478" t="str">
        <f>IF(gemini_code_1787702791259[[#This Row],[Dias_Entrega]]&lt;=gemini_code_1787702791259[[#This Row],[Promesa_SLA_Dias]],"A tiempo","Fuera de SLA")</f>
        <v>Fuera de SLA</v>
      </c>
    </row>
    <row r="479" spans="1:18" x14ac:dyDescent="0.25">
      <c r="A479" t="s">
        <v>79</v>
      </c>
      <c r="B479" s="1">
        <v>46244</v>
      </c>
      <c r="C479" t="s">
        <v>14</v>
      </c>
      <c r="D479" t="s">
        <v>15</v>
      </c>
      <c r="E479" t="s">
        <v>16</v>
      </c>
      <c r="F479" t="s">
        <v>31</v>
      </c>
      <c r="G479" t="s">
        <v>80</v>
      </c>
      <c r="H479">
        <v>4</v>
      </c>
      <c r="I479" s="12">
        <v>140</v>
      </c>
      <c r="J479" s="12">
        <v>75</v>
      </c>
      <c r="K479">
        <v>3</v>
      </c>
      <c r="L479">
        <v>3</v>
      </c>
      <c r="M479">
        <v>500</v>
      </c>
      <c r="N479" s="12">
        <f>+gemini_code_1787702791259[[#This Row],[Cantidad]]*gemini_code_1787702791259[[#This Row],[Precio_Unitario_USD]]</f>
        <v>560</v>
      </c>
      <c r="O479" s="12">
        <f>+gemini_code_1787702791259[[#This Row],[Cantidad]]*gemini_code_1787702791259[[#This Row],[Costo_Unitario_USD]]</f>
        <v>300</v>
      </c>
      <c r="P479" s="12">
        <f>+gemini_code_1787702791259[[#This Row],[venta total]]-gemini_code_1787702791259[[#This Row],[Costo total]]</f>
        <v>260</v>
      </c>
      <c r="Q479" s="2">
        <f>gemini_code_1787702791259[[#This Row],[Ganancia bruta]]/gemini_code_1787702791259[[#This Row],[venta total]]</f>
        <v>0.4642857142857143</v>
      </c>
      <c r="R479" t="str">
        <f>IF(gemini_code_1787702791259[[#This Row],[Dias_Entrega]]&lt;=gemini_code_1787702791259[[#This Row],[Promesa_SLA_Dias]],"A tiempo","Fuera de SLA")</f>
        <v>A tiempo</v>
      </c>
    </row>
    <row r="480" spans="1:18" x14ac:dyDescent="0.25">
      <c r="A480" t="s">
        <v>81</v>
      </c>
      <c r="B480" s="1">
        <v>46244</v>
      </c>
      <c r="C480" t="s">
        <v>20</v>
      </c>
      <c r="D480" t="s">
        <v>21</v>
      </c>
      <c r="E480" t="s">
        <v>22</v>
      </c>
      <c r="F480" t="s">
        <v>17</v>
      </c>
      <c r="G480" t="s">
        <v>82</v>
      </c>
      <c r="H480">
        <v>6</v>
      </c>
      <c r="I480" s="12">
        <v>90</v>
      </c>
      <c r="J480" s="12">
        <v>50</v>
      </c>
      <c r="K480">
        <v>1</v>
      </c>
      <c r="L480">
        <v>2</v>
      </c>
      <c r="M480">
        <v>500</v>
      </c>
      <c r="N480" s="12">
        <f>+gemini_code_1787702791259[[#This Row],[Cantidad]]*gemini_code_1787702791259[[#This Row],[Precio_Unitario_USD]]</f>
        <v>540</v>
      </c>
      <c r="O480" s="12">
        <f>+gemini_code_1787702791259[[#This Row],[Cantidad]]*gemini_code_1787702791259[[#This Row],[Costo_Unitario_USD]]</f>
        <v>300</v>
      </c>
      <c r="P480" s="12">
        <f>+gemini_code_1787702791259[[#This Row],[venta total]]-gemini_code_1787702791259[[#This Row],[Costo total]]</f>
        <v>240</v>
      </c>
      <c r="Q480" s="2">
        <f>gemini_code_1787702791259[[#This Row],[Ganancia bruta]]/gemini_code_1787702791259[[#This Row],[venta total]]</f>
        <v>0.44444444444444442</v>
      </c>
      <c r="R480" t="str">
        <f>IF(gemini_code_1787702791259[[#This Row],[Dias_Entrega]]&lt;=gemini_code_1787702791259[[#This Row],[Promesa_SLA_Dias]],"A tiempo","Fuera de SLA")</f>
        <v>A tiempo</v>
      </c>
    </row>
    <row r="481" spans="1:18" x14ac:dyDescent="0.25">
      <c r="A481" t="s">
        <v>83</v>
      </c>
      <c r="B481" s="1">
        <v>46244</v>
      </c>
      <c r="C481" t="s">
        <v>26</v>
      </c>
      <c r="D481" t="s">
        <v>27</v>
      </c>
      <c r="E481" t="s">
        <v>16</v>
      </c>
      <c r="F481" t="s">
        <v>23</v>
      </c>
      <c r="G481" t="s">
        <v>84</v>
      </c>
      <c r="H481">
        <v>6</v>
      </c>
      <c r="I481" s="12">
        <v>60</v>
      </c>
      <c r="J481" s="12">
        <v>28</v>
      </c>
      <c r="K481">
        <v>5</v>
      </c>
      <c r="L481">
        <v>3</v>
      </c>
      <c r="M481">
        <v>350</v>
      </c>
      <c r="N481" s="12">
        <f>+gemini_code_1787702791259[[#This Row],[Cantidad]]*gemini_code_1787702791259[[#This Row],[Precio_Unitario_USD]]</f>
        <v>360</v>
      </c>
      <c r="O481" s="12">
        <f>+gemini_code_1787702791259[[#This Row],[Cantidad]]*gemini_code_1787702791259[[#This Row],[Costo_Unitario_USD]]</f>
        <v>168</v>
      </c>
      <c r="P481" s="12">
        <f>+gemini_code_1787702791259[[#This Row],[venta total]]-gemini_code_1787702791259[[#This Row],[Costo total]]</f>
        <v>192</v>
      </c>
      <c r="Q481" s="2">
        <f>gemini_code_1787702791259[[#This Row],[Ganancia bruta]]/gemini_code_1787702791259[[#This Row],[venta total]]</f>
        <v>0.53333333333333333</v>
      </c>
      <c r="R481" t="str">
        <f>IF(gemini_code_1787702791259[[#This Row],[Dias_Entrega]]&lt;=gemini_code_1787702791259[[#This Row],[Promesa_SLA_Dias]],"A tiempo","Fuera de SLA")</f>
        <v>Fuera de SLA</v>
      </c>
    </row>
    <row r="482" spans="1:18" x14ac:dyDescent="0.25">
      <c r="A482" t="s">
        <v>13</v>
      </c>
      <c r="B482" s="1">
        <v>46235</v>
      </c>
      <c r="C482" t="s">
        <v>14</v>
      </c>
      <c r="D482" t="s">
        <v>15</v>
      </c>
      <c r="E482" t="s">
        <v>16</v>
      </c>
      <c r="F482" t="s">
        <v>17</v>
      </c>
      <c r="G482" t="s">
        <v>18</v>
      </c>
      <c r="H482">
        <v>2</v>
      </c>
      <c r="I482" s="12">
        <v>850</v>
      </c>
      <c r="J482" s="12">
        <v>600</v>
      </c>
      <c r="K482">
        <v>2</v>
      </c>
      <c r="L482">
        <v>3</v>
      </c>
      <c r="M482">
        <v>1500</v>
      </c>
      <c r="N482" s="12">
        <f>+gemini_code_1787702791259[[#This Row],[Cantidad]]*gemini_code_1787702791259[[#This Row],[Precio_Unitario_USD]]</f>
        <v>1700</v>
      </c>
      <c r="O482" s="12">
        <f>+gemini_code_1787702791259[[#This Row],[Cantidad]]*gemini_code_1787702791259[[#This Row],[Costo_Unitario_USD]]</f>
        <v>1200</v>
      </c>
      <c r="P482" s="12">
        <f>+gemini_code_1787702791259[[#This Row],[venta total]]-gemini_code_1787702791259[[#This Row],[Costo total]]</f>
        <v>500</v>
      </c>
      <c r="Q482" s="2">
        <f>gemini_code_1787702791259[[#This Row],[Ganancia bruta]]/gemini_code_1787702791259[[#This Row],[venta total]]</f>
        <v>0.29411764705882354</v>
      </c>
      <c r="R482" t="str">
        <f>IF(gemini_code_1787702791259[[#This Row],[Dias_Entrega]]&lt;=gemini_code_1787702791259[[#This Row],[Promesa_SLA_Dias]],"A tiempo","Fuera de SLA")</f>
        <v>A tiempo</v>
      </c>
    </row>
    <row r="483" spans="1:18" x14ac:dyDescent="0.25">
      <c r="A483" t="s">
        <v>19</v>
      </c>
      <c r="B483" s="1">
        <v>46235</v>
      </c>
      <c r="C483" t="s">
        <v>20</v>
      </c>
      <c r="D483" t="s">
        <v>21</v>
      </c>
      <c r="E483" t="s">
        <v>22</v>
      </c>
      <c r="F483" t="s">
        <v>23</v>
      </c>
      <c r="G483" t="s">
        <v>24</v>
      </c>
      <c r="H483">
        <v>5</v>
      </c>
      <c r="I483" s="12">
        <v>120</v>
      </c>
      <c r="J483" s="12">
        <v>70</v>
      </c>
      <c r="K483">
        <v>3</v>
      </c>
      <c r="L483">
        <v>3</v>
      </c>
      <c r="M483">
        <v>500</v>
      </c>
      <c r="N483" s="12">
        <f>+gemini_code_1787702791259[[#This Row],[Cantidad]]*gemini_code_1787702791259[[#This Row],[Precio_Unitario_USD]]</f>
        <v>600</v>
      </c>
      <c r="O483" s="12">
        <f>+gemini_code_1787702791259[[#This Row],[Cantidad]]*gemini_code_1787702791259[[#This Row],[Costo_Unitario_USD]]</f>
        <v>350</v>
      </c>
      <c r="P483" s="12">
        <f>+gemini_code_1787702791259[[#This Row],[venta total]]-gemini_code_1787702791259[[#This Row],[Costo total]]</f>
        <v>250</v>
      </c>
      <c r="Q483" s="2">
        <f>gemini_code_1787702791259[[#This Row],[Ganancia bruta]]/gemini_code_1787702791259[[#This Row],[venta total]]</f>
        <v>0.41666666666666669</v>
      </c>
      <c r="R483" t="str">
        <f>IF(gemini_code_1787702791259[[#This Row],[Dias_Entrega]]&lt;=gemini_code_1787702791259[[#This Row],[Promesa_SLA_Dias]],"A tiempo","Fuera de SLA")</f>
        <v>A tiempo</v>
      </c>
    </row>
    <row r="484" spans="1:18" x14ac:dyDescent="0.25">
      <c r="A484" t="s">
        <v>25</v>
      </c>
      <c r="B484" s="1">
        <v>46235</v>
      </c>
      <c r="C484" t="s">
        <v>26</v>
      </c>
      <c r="D484" t="s">
        <v>27</v>
      </c>
      <c r="E484" t="s">
        <v>16</v>
      </c>
      <c r="F484" t="s">
        <v>28</v>
      </c>
      <c r="G484" t="s">
        <v>29</v>
      </c>
      <c r="H484">
        <v>3</v>
      </c>
      <c r="I484" s="12">
        <v>90</v>
      </c>
      <c r="J484" s="12">
        <v>50</v>
      </c>
      <c r="K484">
        <v>6</v>
      </c>
      <c r="L484">
        <v>4</v>
      </c>
      <c r="M484">
        <v>300</v>
      </c>
      <c r="N484" s="12">
        <f>+gemini_code_1787702791259[[#This Row],[Cantidad]]*gemini_code_1787702791259[[#This Row],[Precio_Unitario_USD]]</f>
        <v>270</v>
      </c>
      <c r="O484" s="12">
        <f>+gemini_code_1787702791259[[#This Row],[Cantidad]]*gemini_code_1787702791259[[#This Row],[Costo_Unitario_USD]]</f>
        <v>150</v>
      </c>
      <c r="P484" s="12">
        <f>+gemini_code_1787702791259[[#This Row],[venta total]]-gemini_code_1787702791259[[#This Row],[Costo total]]</f>
        <v>120</v>
      </c>
      <c r="Q484" s="2">
        <f>gemini_code_1787702791259[[#This Row],[Ganancia bruta]]/gemini_code_1787702791259[[#This Row],[venta total]]</f>
        <v>0.44444444444444442</v>
      </c>
      <c r="R484" t="str">
        <f>IF(gemini_code_1787702791259[[#This Row],[Dias_Entrega]]&lt;=gemini_code_1787702791259[[#This Row],[Promesa_SLA_Dias]],"A tiempo","Fuera de SLA")</f>
        <v>Fuera de SLA</v>
      </c>
    </row>
    <row r="485" spans="1:18" x14ac:dyDescent="0.25">
      <c r="A485" t="s">
        <v>30</v>
      </c>
      <c r="B485" s="1">
        <v>46236</v>
      </c>
      <c r="C485" t="s">
        <v>14</v>
      </c>
      <c r="D485" t="s">
        <v>15</v>
      </c>
      <c r="E485" t="s">
        <v>22</v>
      </c>
      <c r="F485" t="s">
        <v>31</v>
      </c>
      <c r="G485" t="s">
        <v>32</v>
      </c>
      <c r="H485">
        <v>4</v>
      </c>
      <c r="I485" s="12">
        <v>110</v>
      </c>
      <c r="J485" s="12">
        <v>60</v>
      </c>
      <c r="K485">
        <v>1</v>
      </c>
      <c r="L485">
        <v>2</v>
      </c>
      <c r="M485">
        <v>400</v>
      </c>
      <c r="N485" s="12">
        <f>+gemini_code_1787702791259[[#This Row],[Cantidad]]*gemini_code_1787702791259[[#This Row],[Precio_Unitario_USD]]</f>
        <v>440</v>
      </c>
      <c r="O485" s="12">
        <f>+gemini_code_1787702791259[[#This Row],[Cantidad]]*gemini_code_1787702791259[[#This Row],[Costo_Unitario_USD]]</f>
        <v>240</v>
      </c>
      <c r="P485" s="12">
        <f>+gemini_code_1787702791259[[#This Row],[venta total]]-gemini_code_1787702791259[[#This Row],[Costo total]]</f>
        <v>200</v>
      </c>
      <c r="Q485" s="2">
        <f>gemini_code_1787702791259[[#This Row],[Ganancia bruta]]/gemini_code_1787702791259[[#This Row],[venta total]]</f>
        <v>0.45454545454545453</v>
      </c>
      <c r="R485" t="str">
        <f>IF(gemini_code_1787702791259[[#This Row],[Dias_Entrega]]&lt;=gemini_code_1787702791259[[#This Row],[Promesa_SLA_Dias]],"A tiempo","Fuera de SLA")</f>
        <v>A tiempo</v>
      </c>
    </row>
    <row r="486" spans="1:18" x14ac:dyDescent="0.25">
      <c r="A486" t="s">
        <v>33</v>
      </c>
      <c r="B486" s="1">
        <v>46236</v>
      </c>
      <c r="C486" t="s">
        <v>20</v>
      </c>
      <c r="D486" t="s">
        <v>21</v>
      </c>
      <c r="E486" t="s">
        <v>16</v>
      </c>
      <c r="F486" t="s">
        <v>17</v>
      </c>
      <c r="G486" t="s">
        <v>34</v>
      </c>
      <c r="H486">
        <v>3</v>
      </c>
      <c r="I486" s="12">
        <v>650</v>
      </c>
      <c r="J486" s="12">
        <v>450</v>
      </c>
      <c r="K486">
        <v>2</v>
      </c>
      <c r="L486">
        <v>3</v>
      </c>
      <c r="M486">
        <v>1800</v>
      </c>
      <c r="N486" s="12">
        <f>+gemini_code_1787702791259[[#This Row],[Cantidad]]*gemini_code_1787702791259[[#This Row],[Precio_Unitario_USD]]</f>
        <v>1950</v>
      </c>
      <c r="O486" s="12">
        <f>+gemini_code_1787702791259[[#This Row],[Cantidad]]*gemini_code_1787702791259[[#This Row],[Costo_Unitario_USD]]</f>
        <v>1350</v>
      </c>
      <c r="P486" s="12">
        <f>+gemini_code_1787702791259[[#This Row],[venta total]]-gemini_code_1787702791259[[#This Row],[Costo total]]</f>
        <v>600</v>
      </c>
      <c r="Q486" s="2">
        <f>gemini_code_1787702791259[[#This Row],[Ganancia bruta]]/gemini_code_1787702791259[[#This Row],[venta total]]</f>
        <v>0.30769230769230771</v>
      </c>
      <c r="R486" t="str">
        <f>IF(gemini_code_1787702791259[[#This Row],[Dias_Entrega]]&lt;=gemini_code_1787702791259[[#This Row],[Promesa_SLA_Dias]],"A tiempo","Fuera de SLA")</f>
        <v>A tiempo</v>
      </c>
    </row>
    <row r="487" spans="1:18" x14ac:dyDescent="0.25">
      <c r="A487" t="s">
        <v>35</v>
      </c>
      <c r="B487" s="1">
        <v>46236</v>
      </c>
      <c r="C487" t="s">
        <v>26</v>
      </c>
      <c r="D487" t="s">
        <v>27</v>
      </c>
      <c r="E487" t="s">
        <v>16</v>
      </c>
      <c r="F487" t="s">
        <v>23</v>
      </c>
      <c r="G487" t="s">
        <v>36</v>
      </c>
      <c r="H487">
        <v>8</v>
      </c>
      <c r="I487" s="12">
        <v>45</v>
      </c>
      <c r="J487" s="12">
        <v>20</v>
      </c>
      <c r="K487">
        <v>5</v>
      </c>
      <c r="L487">
        <v>3</v>
      </c>
      <c r="M487">
        <v>400</v>
      </c>
      <c r="N487" s="12">
        <f>+gemini_code_1787702791259[[#This Row],[Cantidad]]*gemini_code_1787702791259[[#This Row],[Precio_Unitario_USD]]</f>
        <v>360</v>
      </c>
      <c r="O487" s="12">
        <f>+gemini_code_1787702791259[[#This Row],[Cantidad]]*gemini_code_1787702791259[[#This Row],[Costo_Unitario_USD]]</f>
        <v>160</v>
      </c>
      <c r="P487" s="12">
        <f>+gemini_code_1787702791259[[#This Row],[venta total]]-gemini_code_1787702791259[[#This Row],[Costo total]]</f>
        <v>200</v>
      </c>
      <c r="Q487" s="2">
        <f>gemini_code_1787702791259[[#This Row],[Ganancia bruta]]/gemini_code_1787702791259[[#This Row],[venta total]]</f>
        <v>0.55555555555555558</v>
      </c>
      <c r="R487" t="str">
        <f>IF(gemini_code_1787702791259[[#This Row],[Dias_Entrega]]&lt;=gemini_code_1787702791259[[#This Row],[Promesa_SLA_Dias]],"A tiempo","Fuera de SLA")</f>
        <v>Fuera de SLA</v>
      </c>
    </row>
    <row r="488" spans="1:18" x14ac:dyDescent="0.25">
      <c r="A488" t="s">
        <v>37</v>
      </c>
      <c r="B488" s="1">
        <v>46237</v>
      </c>
      <c r="C488" t="s">
        <v>14</v>
      </c>
      <c r="D488" t="s">
        <v>15</v>
      </c>
      <c r="E488" t="s">
        <v>16</v>
      </c>
      <c r="F488" t="s">
        <v>28</v>
      </c>
      <c r="G488" t="s">
        <v>38</v>
      </c>
      <c r="H488">
        <v>2</v>
      </c>
      <c r="I488" s="12">
        <v>280</v>
      </c>
      <c r="J488" s="12">
        <v>180</v>
      </c>
      <c r="K488">
        <v>3</v>
      </c>
      <c r="L488">
        <v>3</v>
      </c>
      <c r="M488">
        <v>500</v>
      </c>
      <c r="N488" s="12">
        <f>+gemini_code_1787702791259[[#This Row],[Cantidad]]*gemini_code_1787702791259[[#This Row],[Precio_Unitario_USD]]</f>
        <v>560</v>
      </c>
      <c r="O488" s="12">
        <f>+gemini_code_1787702791259[[#This Row],[Cantidad]]*gemini_code_1787702791259[[#This Row],[Costo_Unitario_USD]]</f>
        <v>360</v>
      </c>
      <c r="P488" s="12">
        <f>+gemini_code_1787702791259[[#This Row],[venta total]]-gemini_code_1787702791259[[#This Row],[Costo total]]</f>
        <v>200</v>
      </c>
      <c r="Q488" s="2">
        <f>gemini_code_1787702791259[[#This Row],[Ganancia bruta]]/gemini_code_1787702791259[[#This Row],[venta total]]</f>
        <v>0.35714285714285715</v>
      </c>
      <c r="R488" t="str">
        <f>IF(gemini_code_1787702791259[[#This Row],[Dias_Entrega]]&lt;=gemini_code_1787702791259[[#This Row],[Promesa_SLA_Dias]],"A tiempo","Fuera de SLA")</f>
        <v>A tiempo</v>
      </c>
    </row>
    <row r="489" spans="1:18" x14ac:dyDescent="0.25">
      <c r="A489" t="s">
        <v>39</v>
      </c>
      <c r="B489" s="1">
        <v>46237</v>
      </c>
      <c r="C489" t="s">
        <v>20</v>
      </c>
      <c r="D489" t="s">
        <v>21</v>
      </c>
      <c r="E489" t="s">
        <v>22</v>
      </c>
      <c r="F489" t="s">
        <v>31</v>
      </c>
      <c r="G489" t="s">
        <v>40</v>
      </c>
      <c r="H489">
        <v>3</v>
      </c>
      <c r="I489" s="12">
        <v>150</v>
      </c>
      <c r="J489" s="12">
        <v>85</v>
      </c>
      <c r="K489">
        <v>2</v>
      </c>
      <c r="L489">
        <v>2</v>
      </c>
      <c r="M489">
        <v>400</v>
      </c>
      <c r="N489" s="12">
        <f>+gemini_code_1787702791259[[#This Row],[Cantidad]]*gemini_code_1787702791259[[#This Row],[Precio_Unitario_USD]]</f>
        <v>450</v>
      </c>
      <c r="O489" s="12">
        <f>+gemini_code_1787702791259[[#This Row],[Cantidad]]*gemini_code_1787702791259[[#This Row],[Costo_Unitario_USD]]</f>
        <v>255</v>
      </c>
      <c r="P489" s="12">
        <f>+gemini_code_1787702791259[[#This Row],[venta total]]-gemini_code_1787702791259[[#This Row],[Costo total]]</f>
        <v>195</v>
      </c>
      <c r="Q489" s="2">
        <f>gemini_code_1787702791259[[#This Row],[Ganancia bruta]]/gemini_code_1787702791259[[#This Row],[venta total]]</f>
        <v>0.43333333333333335</v>
      </c>
      <c r="R489" t="str">
        <f>IF(gemini_code_1787702791259[[#This Row],[Dias_Entrega]]&lt;=gemini_code_1787702791259[[#This Row],[Promesa_SLA_Dias]],"A tiempo","Fuera de SLA")</f>
        <v>A tiempo</v>
      </c>
    </row>
    <row r="490" spans="1:18" x14ac:dyDescent="0.25">
      <c r="A490" t="s">
        <v>41</v>
      </c>
      <c r="B490" s="1">
        <v>46237</v>
      </c>
      <c r="C490" t="s">
        <v>26</v>
      </c>
      <c r="D490" t="s">
        <v>27</v>
      </c>
      <c r="E490" t="s">
        <v>16</v>
      </c>
      <c r="F490" t="s">
        <v>17</v>
      </c>
      <c r="G490" t="s">
        <v>42</v>
      </c>
      <c r="H490">
        <v>2</v>
      </c>
      <c r="I490" s="12">
        <v>520</v>
      </c>
      <c r="J490" s="12">
        <v>380</v>
      </c>
      <c r="K490">
        <v>7</v>
      </c>
      <c r="L490">
        <v>4</v>
      </c>
      <c r="M490">
        <v>1000</v>
      </c>
      <c r="N490" s="12">
        <f>+gemini_code_1787702791259[[#This Row],[Cantidad]]*gemini_code_1787702791259[[#This Row],[Precio_Unitario_USD]]</f>
        <v>1040</v>
      </c>
      <c r="O490" s="12">
        <f>+gemini_code_1787702791259[[#This Row],[Cantidad]]*gemini_code_1787702791259[[#This Row],[Costo_Unitario_USD]]</f>
        <v>760</v>
      </c>
      <c r="P490" s="12">
        <f>+gemini_code_1787702791259[[#This Row],[venta total]]-gemini_code_1787702791259[[#This Row],[Costo total]]</f>
        <v>280</v>
      </c>
      <c r="Q490" s="2">
        <f>gemini_code_1787702791259[[#This Row],[Ganancia bruta]]/gemini_code_1787702791259[[#This Row],[venta total]]</f>
        <v>0.26923076923076922</v>
      </c>
      <c r="R490" t="str">
        <f>IF(gemini_code_1787702791259[[#This Row],[Dias_Entrega]]&lt;=gemini_code_1787702791259[[#This Row],[Promesa_SLA_Dias]],"A tiempo","Fuera de SLA")</f>
        <v>Fuera de SLA</v>
      </c>
    </row>
    <row r="491" spans="1:18" x14ac:dyDescent="0.25">
      <c r="A491" t="s">
        <v>43</v>
      </c>
      <c r="B491" s="1">
        <v>46238</v>
      </c>
      <c r="C491" t="s">
        <v>14</v>
      </c>
      <c r="D491" t="s">
        <v>15</v>
      </c>
      <c r="E491" t="s">
        <v>22</v>
      </c>
      <c r="F491" t="s">
        <v>23</v>
      </c>
      <c r="G491" t="s">
        <v>44</v>
      </c>
      <c r="H491">
        <v>6</v>
      </c>
      <c r="I491" s="12">
        <v>55</v>
      </c>
      <c r="J491" s="12">
        <v>25</v>
      </c>
      <c r="K491">
        <v>2</v>
      </c>
      <c r="L491">
        <v>3</v>
      </c>
      <c r="M491">
        <v>300</v>
      </c>
      <c r="N491" s="12">
        <f>+gemini_code_1787702791259[[#This Row],[Cantidad]]*gemini_code_1787702791259[[#This Row],[Precio_Unitario_USD]]</f>
        <v>330</v>
      </c>
      <c r="O491" s="12">
        <f>+gemini_code_1787702791259[[#This Row],[Cantidad]]*gemini_code_1787702791259[[#This Row],[Costo_Unitario_USD]]</f>
        <v>150</v>
      </c>
      <c r="P491" s="12">
        <f>+gemini_code_1787702791259[[#This Row],[venta total]]-gemini_code_1787702791259[[#This Row],[Costo total]]</f>
        <v>180</v>
      </c>
      <c r="Q491" s="2">
        <f>gemini_code_1787702791259[[#This Row],[Ganancia bruta]]/gemini_code_1787702791259[[#This Row],[venta total]]</f>
        <v>0.54545454545454541</v>
      </c>
      <c r="R491" t="str">
        <f>IF(gemini_code_1787702791259[[#This Row],[Dias_Entrega]]&lt;=gemini_code_1787702791259[[#This Row],[Promesa_SLA_Dias]],"A tiempo","Fuera de SLA")</f>
        <v>A tiempo</v>
      </c>
    </row>
    <row r="492" spans="1:18" x14ac:dyDescent="0.25">
      <c r="A492" t="s">
        <v>45</v>
      </c>
      <c r="B492" s="1">
        <v>46238</v>
      </c>
      <c r="C492" t="s">
        <v>20</v>
      </c>
      <c r="D492" t="s">
        <v>21</v>
      </c>
      <c r="E492" t="s">
        <v>16</v>
      </c>
      <c r="F492" t="s">
        <v>28</v>
      </c>
      <c r="G492" t="s">
        <v>46</v>
      </c>
      <c r="H492">
        <v>1</v>
      </c>
      <c r="I492" s="12">
        <v>450</v>
      </c>
      <c r="J492" s="12">
        <v>290</v>
      </c>
      <c r="K492">
        <v>4</v>
      </c>
      <c r="L492">
        <v>3</v>
      </c>
      <c r="M492">
        <v>400</v>
      </c>
      <c r="N492" s="12">
        <f>+gemini_code_1787702791259[[#This Row],[Cantidad]]*gemini_code_1787702791259[[#This Row],[Precio_Unitario_USD]]</f>
        <v>450</v>
      </c>
      <c r="O492" s="12">
        <f>+gemini_code_1787702791259[[#This Row],[Cantidad]]*gemini_code_1787702791259[[#This Row],[Costo_Unitario_USD]]</f>
        <v>290</v>
      </c>
      <c r="P492" s="12">
        <f>+gemini_code_1787702791259[[#This Row],[venta total]]-gemini_code_1787702791259[[#This Row],[Costo total]]</f>
        <v>160</v>
      </c>
      <c r="Q492" s="2">
        <f>gemini_code_1787702791259[[#This Row],[Ganancia bruta]]/gemini_code_1787702791259[[#This Row],[venta total]]</f>
        <v>0.35555555555555557</v>
      </c>
      <c r="R492" t="str">
        <f>IF(gemini_code_1787702791259[[#This Row],[Dias_Entrega]]&lt;=gemini_code_1787702791259[[#This Row],[Promesa_SLA_Dias]],"A tiempo","Fuera de SLA")</f>
        <v>Fuera de SLA</v>
      </c>
    </row>
    <row r="493" spans="1:18" x14ac:dyDescent="0.25">
      <c r="A493" t="s">
        <v>47</v>
      </c>
      <c r="B493" s="1">
        <v>46238</v>
      </c>
      <c r="C493" t="s">
        <v>26</v>
      </c>
      <c r="D493" t="s">
        <v>27</v>
      </c>
      <c r="E493" t="s">
        <v>22</v>
      </c>
      <c r="F493" t="s">
        <v>31</v>
      </c>
      <c r="G493" t="s">
        <v>48</v>
      </c>
      <c r="H493">
        <v>10</v>
      </c>
      <c r="I493" s="12">
        <v>35</v>
      </c>
      <c r="J493" s="12">
        <v>15</v>
      </c>
      <c r="K493">
        <v>4</v>
      </c>
      <c r="L493">
        <v>3</v>
      </c>
      <c r="M493">
        <v>300</v>
      </c>
      <c r="N493" s="12">
        <f>+gemini_code_1787702791259[[#This Row],[Cantidad]]*gemini_code_1787702791259[[#This Row],[Precio_Unitario_USD]]</f>
        <v>350</v>
      </c>
      <c r="O493" s="12">
        <f>+gemini_code_1787702791259[[#This Row],[Cantidad]]*gemini_code_1787702791259[[#This Row],[Costo_Unitario_USD]]</f>
        <v>150</v>
      </c>
      <c r="P493" s="12">
        <f>+gemini_code_1787702791259[[#This Row],[venta total]]-gemini_code_1787702791259[[#This Row],[Costo total]]</f>
        <v>200</v>
      </c>
      <c r="Q493" s="2">
        <f>gemini_code_1787702791259[[#This Row],[Ganancia bruta]]/gemini_code_1787702791259[[#This Row],[venta total]]</f>
        <v>0.5714285714285714</v>
      </c>
      <c r="R493" t="str">
        <f>IF(gemini_code_1787702791259[[#This Row],[Dias_Entrega]]&lt;=gemini_code_1787702791259[[#This Row],[Promesa_SLA_Dias]],"A tiempo","Fuera de SLA")</f>
        <v>Fuera de SLA</v>
      </c>
    </row>
    <row r="494" spans="1:18" x14ac:dyDescent="0.25">
      <c r="A494" t="s">
        <v>49</v>
      </c>
      <c r="B494" s="1">
        <v>46239</v>
      </c>
      <c r="C494" t="s">
        <v>14</v>
      </c>
      <c r="D494" t="s">
        <v>15</v>
      </c>
      <c r="E494" t="s">
        <v>16</v>
      </c>
      <c r="F494" t="s">
        <v>17</v>
      </c>
      <c r="G494" t="s">
        <v>50</v>
      </c>
      <c r="H494">
        <v>4</v>
      </c>
      <c r="I494" s="12">
        <v>220</v>
      </c>
      <c r="J494" s="12">
        <v>140</v>
      </c>
      <c r="K494">
        <v>2</v>
      </c>
      <c r="L494">
        <v>3</v>
      </c>
      <c r="M494">
        <v>800</v>
      </c>
      <c r="N494" s="12">
        <f>+gemini_code_1787702791259[[#This Row],[Cantidad]]*gemini_code_1787702791259[[#This Row],[Precio_Unitario_USD]]</f>
        <v>880</v>
      </c>
      <c r="O494" s="12">
        <f>+gemini_code_1787702791259[[#This Row],[Cantidad]]*gemini_code_1787702791259[[#This Row],[Costo_Unitario_USD]]</f>
        <v>560</v>
      </c>
      <c r="P494" s="12">
        <f>+gemini_code_1787702791259[[#This Row],[venta total]]-gemini_code_1787702791259[[#This Row],[Costo total]]</f>
        <v>320</v>
      </c>
      <c r="Q494" s="2">
        <f>gemini_code_1787702791259[[#This Row],[Ganancia bruta]]/gemini_code_1787702791259[[#This Row],[venta total]]</f>
        <v>0.36363636363636365</v>
      </c>
      <c r="R494" t="str">
        <f>IF(gemini_code_1787702791259[[#This Row],[Dias_Entrega]]&lt;=gemini_code_1787702791259[[#This Row],[Promesa_SLA_Dias]],"A tiempo","Fuera de SLA")</f>
        <v>A tiempo</v>
      </c>
    </row>
    <row r="495" spans="1:18" x14ac:dyDescent="0.25">
      <c r="A495" t="s">
        <v>51</v>
      </c>
      <c r="B495" s="1">
        <v>46239</v>
      </c>
      <c r="C495" t="s">
        <v>20</v>
      </c>
      <c r="D495" t="s">
        <v>21</v>
      </c>
      <c r="E495" t="s">
        <v>16</v>
      </c>
      <c r="F495" t="s">
        <v>23</v>
      </c>
      <c r="G495" t="s">
        <v>52</v>
      </c>
      <c r="H495">
        <v>5</v>
      </c>
      <c r="I495" s="12">
        <v>65</v>
      </c>
      <c r="J495" s="12">
        <v>30</v>
      </c>
      <c r="K495">
        <v>2</v>
      </c>
      <c r="L495">
        <v>3</v>
      </c>
      <c r="M495">
        <v>300</v>
      </c>
      <c r="N495" s="12">
        <f>+gemini_code_1787702791259[[#This Row],[Cantidad]]*gemini_code_1787702791259[[#This Row],[Precio_Unitario_USD]]</f>
        <v>325</v>
      </c>
      <c r="O495" s="12">
        <f>+gemini_code_1787702791259[[#This Row],[Cantidad]]*gemini_code_1787702791259[[#This Row],[Costo_Unitario_USD]]</f>
        <v>150</v>
      </c>
      <c r="P495" s="12">
        <f>+gemini_code_1787702791259[[#This Row],[venta total]]-gemini_code_1787702791259[[#This Row],[Costo total]]</f>
        <v>175</v>
      </c>
      <c r="Q495" s="2">
        <f>gemini_code_1787702791259[[#This Row],[Ganancia bruta]]/gemini_code_1787702791259[[#This Row],[venta total]]</f>
        <v>0.53846153846153844</v>
      </c>
      <c r="R495" t="str">
        <f>IF(gemini_code_1787702791259[[#This Row],[Dias_Entrega]]&lt;=gemini_code_1787702791259[[#This Row],[Promesa_SLA_Dias]],"A tiempo","Fuera de SLA")</f>
        <v>A tiempo</v>
      </c>
    </row>
    <row r="496" spans="1:18" x14ac:dyDescent="0.25">
      <c r="A496" t="s">
        <v>53</v>
      </c>
      <c r="B496" s="1">
        <v>46239</v>
      </c>
      <c r="C496" t="s">
        <v>26</v>
      </c>
      <c r="D496" t="s">
        <v>27</v>
      </c>
      <c r="E496" t="s">
        <v>16</v>
      </c>
      <c r="F496" t="s">
        <v>28</v>
      </c>
      <c r="G496" t="s">
        <v>54</v>
      </c>
      <c r="H496">
        <v>2</v>
      </c>
      <c r="I496" s="12">
        <v>180</v>
      </c>
      <c r="J496" s="12">
        <v>110</v>
      </c>
      <c r="K496">
        <v>6</v>
      </c>
      <c r="L496">
        <v>3</v>
      </c>
      <c r="M496">
        <v>350</v>
      </c>
      <c r="N496" s="12">
        <f>+gemini_code_1787702791259[[#This Row],[Cantidad]]*gemini_code_1787702791259[[#This Row],[Precio_Unitario_USD]]</f>
        <v>360</v>
      </c>
      <c r="O496" s="12">
        <f>+gemini_code_1787702791259[[#This Row],[Cantidad]]*gemini_code_1787702791259[[#This Row],[Costo_Unitario_USD]]</f>
        <v>220</v>
      </c>
      <c r="P496" s="12">
        <f>+gemini_code_1787702791259[[#This Row],[venta total]]-gemini_code_1787702791259[[#This Row],[Costo total]]</f>
        <v>140</v>
      </c>
      <c r="Q496" s="2">
        <f>gemini_code_1787702791259[[#This Row],[Ganancia bruta]]/gemini_code_1787702791259[[#This Row],[venta total]]</f>
        <v>0.3888888888888889</v>
      </c>
      <c r="R496" t="str">
        <f>IF(gemini_code_1787702791259[[#This Row],[Dias_Entrega]]&lt;=gemini_code_1787702791259[[#This Row],[Promesa_SLA_Dias]],"A tiempo","Fuera de SLA")</f>
        <v>Fuera de SLA</v>
      </c>
    </row>
    <row r="497" spans="1:18" x14ac:dyDescent="0.25">
      <c r="A497" t="s">
        <v>55</v>
      </c>
      <c r="B497" s="1">
        <v>46240</v>
      </c>
      <c r="C497" t="s">
        <v>14</v>
      </c>
      <c r="D497" t="s">
        <v>15</v>
      </c>
      <c r="E497" t="s">
        <v>22</v>
      </c>
      <c r="F497" t="s">
        <v>31</v>
      </c>
      <c r="G497" t="s">
        <v>56</v>
      </c>
      <c r="H497">
        <v>6</v>
      </c>
      <c r="I497" s="12">
        <v>85</v>
      </c>
      <c r="J497" s="12">
        <v>45</v>
      </c>
      <c r="K497">
        <v>1</v>
      </c>
      <c r="L497">
        <v>2</v>
      </c>
      <c r="M497">
        <v>500</v>
      </c>
      <c r="N497" s="12">
        <f>+gemini_code_1787702791259[[#This Row],[Cantidad]]*gemini_code_1787702791259[[#This Row],[Precio_Unitario_USD]]</f>
        <v>510</v>
      </c>
      <c r="O497" s="12">
        <f>+gemini_code_1787702791259[[#This Row],[Cantidad]]*gemini_code_1787702791259[[#This Row],[Costo_Unitario_USD]]</f>
        <v>270</v>
      </c>
      <c r="P497" s="12">
        <f>+gemini_code_1787702791259[[#This Row],[venta total]]-gemini_code_1787702791259[[#This Row],[Costo total]]</f>
        <v>240</v>
      </c>
      <c r="Q497" s="2">
        <f>gemini_code_1787702791259[[#This Row],[Ganancia bruta]]/gemini_code_1787702791259[[#This Row],[venta total]]</f>
        <v>0.47058823529411764</v>
      </c>
      <c r="R497" t="str">
        <f>IF(gemini_code_1787702791259[[#This Row],[Dias_Entrega]]&lt;=gemini_code_1787702791259[[#This Row],[Promesa_SLA_Dias]],"A tiempo","Fuera de SLA")</f>
        <v>A tiempo</v>
      </c>
    </row>
    <row r="498" spans="1:18" x14ac:dyDescent="0.25">
      <c r="A498" t="s">
        <v>57</v>
      </c>
      <c r="B498" s="1">
        <v>46240</v>
      </c>
      <c r="C498" t="s">
        <v>20</v>
      </c>
      <c r="D498" t="s">
        <v>21</v>
      </c>
      <c r="E498" t="s">
        <v>16</v>
      </c>
      <c r="F498" t="s">
        <v>17</v>
      </c>
      <c r="G498" t="s">
        <v>58</v>
      </c>
      <c r="H498">
        <v>12</v>
      </c>
      <c r="I498" s="12">
        <v>75</v>
      </c>
      <c r="J498" s="12">
        <v>35</v>
      </c>
      <c r="K498">
        <v>1</v>
      </c>
      <c r="L498">
        <v>2</v>
      </c>
      <c r="M498">
        <v>800</v>
      </c>
      <c r="N498" s="12">
        <f>+gemini_code_1787702791259[[#This Row],[Cantidad]]*gemini_code_1787702791259[[#This Row],[Precio_Unitario_USD]]</f>
        <v>900</v>
      </c>
      <c r="O498" s="12">
        <f>+gemini_code_1787702791259[[#This Row],[Cantidad]]*gemini_code_1787702791259[[#This Row],[Costo_Unitario_USD]]</f>
        <v>420</v>
      </c>
      <c r="P498" s="12">
        <f>+gemini_code_1787702791259[[#This Row],[venta total]]-gemini_code_1787702791259[[#This Row],[Costo total]]</f>
        <v>480</v>
      </c>
      <c r="Q498" s="2">
        <f>gemini_code_1787702791259[[#This Row],[Ganancia bruta]]/gemini_code_1787702791259[[#This Row],[venta total]]</f>
        <v>0.53333333333333333</v>
      </c>
      <c r="R498" t="str">
        <f>IF(gemini_code_1787702791259[[#This Row],[Dias_Entrega]]&lt;=gemini_code_1787702791259[[#This Row],[Promesa_SLA_Dias]],"A tiempo","Fuera de SLA")</f>
        <v>A tiempo</v>
      </c>
    </row>
    <row r="499" spans="1:18" x14ac:dyDescent="0.25">
      <c r="A499" t="s">
        <v>59</v>
      </c>
      <c r="B499" s="1">
        <v>46240</v>
      </c>
      <c r="C499" t="s">
        <v>26</v>
      </c>
      <c r="D499" t="s">
        <v>27</v>
      </c>
      <c r="E499" t="s">
        <v>22</v>
      </c>
      <c r="F499" t="s">
        <v>23</v>
      </c>
      <c r="G499" t="s">
        <v>60</v>
      </c>
      <c r="H499">
        <v>4</v>
      </c>
      <c r="I499" s="12">
        <v>110</v>
      </c>
      <c r="J499" s="12">
        <v>55</v>
      </c>
      <c r="K499">
        <v>5</v>
      </c>
      <c r="L499">
        <v>3</v>
      </c>
      <c r="M499">
        <v>400</v>
      </c>
      <c r="N499" s="12">
        <f>+gemini_code_1787702791259[[#This Row],[Cantidad]]*gemini_code_1787702791259[[#This Row],[Precio_Unitario_USD]]</f>
        <v>440</v>
      </c>
      <c r="O499" s="12">
        <f>+gemini_code_1787702791259[[#This Row],[Cantidad]]*gemini_code_1787702791259[[#This Row],[Costo_Unitario_USD]]</f>
        <v>220</v>
      </c>
      <c r="P499" s="12">
        <f>+gemini_code_1787702791259[[#This Row],[venta total]]-gemini_code_1787702791259[[#This Row],[Costo total]]</f>
        <v>220</v>
      </c>
      <c r="Q499" s="2">
        <f>gemini_code_1787702791259[[#This Row],[Ganancia bruta]]/gemini_code_1787702791259[[#This Row],[venta total]]</f>
        <v>0.5</v>
      </c>
      <c r="R499" t="str">
        <f>IF(gemini_code_1787702791259[[#This Row],[Dias_Entrega]]&lt;=gemini_code_1787702791259[[#This Row],[Promesa_SLA_Dias]],"A tiempo","Fuera de SLA")</f>
        <v>Fuera de SLA</v>
      </c>
    </row>
    <row r="500" spans="1:18" x14ac:dyDescent="0.25">
      <c r="A500" t="s">
        <v>61</v>
      </c>
      <c r="B500" s="1">
        <v>46241</v>
      </c>
      <c r="C500" t="s">
        <v>14</v>
      </c>
      <c r="D500" t="s">
        <v>15</v>
      </c>
      <c r="E500" t="s">
        <v>16</v>
      </c>
      <c r="F500" t="s">
        <v>28</v>
      </c>
      <c r="G500" t="s">
        <v>62</v>
      </c>
      <c r="H500">
        <v>15</v>
      </c>
      <c r="I500" s="12">
        <v>25</v>
      </c>
      <c r="J500" s="12">
        <v>10</v>
      </c>
      <c r="K500">
        <v>2</v>
      </c>
      <c r="L500">
        <v>3</v>
      </c>
      <c r="M500">
        <v>300</v>
      </c>
      <c r="N500" s="12">
        <f>+gemini_code_1787702791259[[#This Row],[Cantidad]]*gemini_code_1787702791259[[#This Row],[Precio_Unitario_USD]]</f>
        <v>375</v>
      </c>
      <c r="O500" s="12">
        <f>+gemini_code_1787702791259[[#This Row],[Cantidad]]*gemini_code_1787702791259[[#This Row],[Costo_Unitario_USD]]</f>
        <v>150</v>
      </c>
      <c r="P500" s="12">
        <f>+gemini_code_1787702791259[[#This Row],[venta total]]-gemini_code_1787702791259[[#This Row],[Costo total]]</f>
        <v>225</v>
      </c>
      <c r="Q500" s="2">
        <f>gemini_code_1787702791259[[#This Row],[Ganancia bruta]]/gemini_code_1787702791259[[#This Row],[venta total]]</f>
        <v>0.6</v>
      </c>
      <c r="R500" t="str">
        <f>IF(gemini_code_1787702791259[[#This Row],[Dias_Entrega]]&lt;=gemini_code_1787702791259[[#This Row],[Promesa_SLA_Dias]],"A tiempo","Fuera de SLA")</f>
        <v>A tiempo</v>
      </c>
    </row>
    <row r="501" spans="1:18" x14ac:dyDescent="0.25">
      <c r="A501" t="s">
        <v>63</v>
      </c>
      <c r="B501" s="1">
        <v>46241</v>
      </c>
      <c r="C501" t="s">
        <v>20</v>
      </c>
      <c r="D501" t="s">
        <v>21</v>
      </c>
      <c r="E501" t="s">
        <v>22</v>
      </c>
      <c r="F501" t="s">
        <v>31</v>
      </c>
      <c r="G501" t="s">
        <v>64</v>
      </c>
      <c r="H501">
        <v>5</v>
      </c>
      <c r="I501" s="12">
        <v>130</v>
      </c>
      <c r="J501" s="12">
        <v>70</v>
      </c>
      <c r="K501">
        <v>3</v>
      </c>
      <c r="L501">
        <v>3</v>
      </c>
      <c r="M501">
        <v>600</v>
      </c>
      <c r="N501" s="12">
        <f>+gemini_code_1787702791259[[#This Row],[Cantidad]]*gemini_code_1787702791259[[#This Row],[Precio_Unitario_USD]]</f>
        <v>650</v>
      </c>
      <c r="O501" s="12">
        <f>+gemini_code_1787702791259[[#This Row],[Cantidad]]*gemini_code_1787702791259[[#This Row],[Costo_Unitario_USD]]</f>
        <v>350</v>
      </c>
      <c r="P501" s="12">
        <f>+gemini_code_1787702791259[[#This Row],[venta total]]-gemini_code_1787702791259[[#This Row],[Costo total]]</f>
        <v>300</v>
      </c>
      <c r="Q501" s="2">
        <f>gemini_code_1787702791259[[#This Row],[Ganancia bruta]]/gemini_code_1787702791259[[#This Row],[venta total]]</f>
        <v>0.46153846153846156</v>
      </c>
      <c r="R501" t="str">
        <f>IF(gemini_code_1787702791259[[#This Row],[Dias_Entrega]]&lt;=gemini_code_1787702791259[[#This Row],[Promesa_SLA_Dias]],"A tiempo","Fuera de SLA")</f>
        <v>A tiempo</v>
      </c>
    </row>
    <row r="502" spans="1:18" x14ac:dyDescent="0.25">
      <c r="A502" t="s">
        <v>65</v>
      </c>
      <c r="B502" s="1">
        <v>46241</v>
      </c>
      <c r="C502" t="s">
        <v>26</v>
      </c>
      <c r="D502" t="s">
        <v>27</v>
      </c>
      <c r="E502" t="s">
        <v>16</v>
      </c>
      <c r="F502" t="s">
        <v>17</v>
      </c>
      <c r="G502" t="s">
        <v>66</v>
      </c>
      <c r="H502">
        <v>2</v>
      </c>
      <c r="I502" s="12">
        <v>500</v>
      </c>
      <c r="J502" s="12">
        <v>380</v>
      </c>
      <c r="K502">
        <v>6</v>
      </c>
      <c r="L502">
        <v>4</v>
      </c>
      <c r="M502">
        <v>900</v>
      </c>
      <c r="N502" s="12">
        <f>+gemini_code_1787702791259[[#This Row],[Cantidad]]*gemini_code_1787702791259[[#This Row],[Precio_Unitario_USD]]</f>
        <v>1000</v>
      </c>
      <c r="O502" s="12">
        <f>+gemini_code_1787702791259[[#This Row],[Cantidad]]*gemini_code_1787702791259[[#This Row],[Costo_Unitario_USD]]</f>
        <v>760</v>
      </c>
      <c r="P502" s="12">
        <f>+gemini_code_1787702791259[[#This Row],[venta total]]-gemini_code_1787702791259[[#This Row],[Costo total]]</f>
        <v>240</v>
      </c>
      <c r="Q502" s="2">
        <f>gemini_code_1787702791259[[#This Row],[Ganancia bruta]]/gemini_code_1787702791259[[#This Row],[venta total]]</f>
        <v>0.24</v>
      </c>
      <c r="R502" t="str">
        <f>IF(gemini_code_1787702791259[[#This Row],[Dias_Entrega]]&lt;=gemini_code_1787702791259[[#This Row],[Promesa_SLA_Dias]],"A tiempo","Fuera de SLA")</f>
        <v>Fuera de SLA</v>
      </c>
    </row>
    <row r="503" spans="1:18" x14ac:dyDescent="0.25">
      <c r="A503" t="s">
        <v>67</v>
      </c>
      <c r="B503" s="1">
        <v>46242</v>
      </c>
      <c r="C503" t="s">
        <v>14</v>
      </c>
      <c r="D503" t="s">
        <v>15</v>
      </c>
      <c r="E503" t="s">
        <v>16</v>
      </c>
      <c r="F503" t="s">
        <v>23</v>
      </c>
      <c r="G503" t="s">
        <v>68</v>
      </c>
      <c r="H503">
        <v>3</v>
      </c>
      <c r="I503" s="12">
        <v>95</v>
      </c>
      <c r="J503" s="12">
        <v>45</v>
      </c>
      <c r="K503">
        <v>2</v>
      </c>
      <c r="L503">
        <v>3</v>
      </c>
      <c r="M503">
        <v>300</v>
      </c>
      <c r="N503" s="12">
        <f>+gemini_code_1787702791259[[#This Row],[Cantidad]]*gemini_code_1787702791259[[#This Row],[Precio_Unitario_USD]]</f>
        <v>285</v>
      </c>
      <c r="O503" s="12">
        <f>+gemini_code_1787702791259[[#This Row],[Cantidad]]*gemini_code_1787702791259[[#This Row],[Costo_Unitario_USD]]</f>
        <v>135</v>
      </c>
      <c r="P503" s="12">
        <f>+gemini_code_1787702791259[[#This Row],[venta total]]-gemini_code_1787702791259[[#This Row],[Costo total]]</f>
        <v>150</v>
      </c>
      <c r="Q503" s="2">
        <f>gemini_code_1787702791259[[#This Row],[Ganancia bruta]]/gemini_code_1787702791259[[#This Row],[venta total]]</f>
        <v>0.52631578947368418</v>
      </c>
      <c r="R503" t="str">
        <f>IF(gemini_code_1787702791259[[#This Row],[Dias_Entrega]]&lt;=gemini_code_1787702791259[[#This Row],[Promesa_SLA_Dias]],"A tiempo","Fuera de SLA")</f>
        <v>A tiempo</v>
      </c>
    </row>
    <row r="504" spans="1:18" x14ac:dyDescent="0.25">
      <c r="A504" t="s">
        <v>69</v>
      </c>
      <c r="B504" s="1">
        <v>46242</v>
      </c>
      <c r="C504" t="s">
        <v>20</v>
      </c>
      <c r="D504" t="s">
        <v>21</v>
      </c>
      <c r="E504" t="s">
        <v>16</v>
      </c>
      <c r="F504" t="s">
        <v>28</v>
      </c>
      <c r="G504" t="s">
        <v>70</v>
      </c>
      <c r="H504">
        <v>4</v>
      </c>
      <c r="I504" s="12">
        <v>160</v>
      </c>
      <c r="J504" s="12">
        <v>95</v>
      </c>
      <c r="K504">
        <v>2</v>
      </c>
      <c r="L504">
        <v>3</v>
      </c>
      <c r="M504">
        <v>600</v>
      </c>
      <c r="N504" s="12">
        <f>+gemini_code_1787702791259[[#This Row],[Cantidad]]*gemini_code_1787702791259[[#This Row],[Precio_Unitario_USD]]</f>
        <v>640</v>
      </c>
      <c r="O504" s="12">
        <f>+gemini_code_1787702791259[[#This Row],[Cantidad]]*gemini_code_1787702791259[[#This Row],[Costo_Unitario_USD]]</f>
        <v>380</v>
      </c>
      <c r="P504" s="12">
        <f>+gemini_code_1787702791259[[#This Row],[venta total]]-gemini_code_1787702791259[[#This Row],[Costo total]]</f>
        <v>260</v>
      </c>
      <c r="Q504" s="2">
        <f>gemini_code_1787702791259[[#This Row],[Ganancia bruta]]/gemini_code_1787702791259[[#This Row],[venta total]]</f>
        <v>0.40625</v>
      </c>
      <c r="R504" t="str">
        <f>IF(gemini_code_1787702791259[[#This Row],[Dias_Entrega]]&lt;=gemini_code_1787702791259[[#This Row],[Promesa_SLA_Dias]],"A tiempo","Fuera de SLA")</f>
        <v>A tiempo</v>
      </c>
    </row>
    <row r="505" spans="1:18" x14ac:dyDescent="0.25">
      <c r="A505" t="s">
        <v>71</v>
      </c>
      <c r="B505" s="1">
        <v>46242</v>
      </c>
      <c r="C505" t="s">
        <v>26</v>
      </c>
      <c r="D505" t="s">
        <v>27</v>
      </c>
      <c r="E505" t="s">
        <v>22</v>
      </c>
      <c r="F505" t="s">
        <v>31</v>
      </c>
      <c r="G505" t="s">
        <v>72</v>
      </c>
      <c r="H505">
        <v>7</v>
      </c>
      <c r="I505" s="12">
        <v>90</v>
      </c>
      <c r="J505" s="12">
        <v>45</v>
      </c>
      <c r="K505">
        <v>4</v>
      </c>
      <c r="L505">
        <v>3</v>
      </c>
      <c r="M505">
        <v>600</v>
      </c>
      <c r="N505" s="12">
        <f>+gemini_code_1787702791259[[#This Row],[Cantidad]]*gemini_code_1787702791259[[#This Row],[Precio_Unitario_USD]]</f>
        <v>630</v>
      </c>
      <c r="O505" s="12">
        <f>+gemini_code_1787702791259[[#This Row],[Cantidad]]*gemini_code_1787702791259[[#This Row],[Costo_Unitario_USD]]</f>
        <v>315</v>
      </c>
      <c r="P505" s="12">
        <f>+gemini_code_1787702791259[[#This Row],[venta total]]-gemini_code_1787702791259[[#This Row],[Costo total]]</f>
        <v>315</v>
      </c>
      <c r="Q505" s="2">
        <f>gemini_code_1787702791259[[#This Row],[Ganancia bruta]]/gemini_code_1787702791259[[#This Row],[venta total]]</f>
        <v>0.5</v>
      </c>
      <c r="R505" t="str">
        <f>IF(gemini_code_1787702791259[[#This Row],[Dias_Entrega]]&lt;=gemini_code_1787702791259[[#This Row],[Promesa_SLA_Dias]],"A tiempo","Fuera de SLA")</f>
        <v>Fuera de SLA</v>
      </c>
    </row>
    <row r="506" spans="1:18" x14ac:dyDescent="0.25">
      <c r="A506" t="s">
        <v>73</v>
      </c>
      <c r="B506" s="1">
        <v>46243</v>
      </c>
      <c r="C506" t="s">
        <v>14</v>
      </c>
      <c r="D506" t="s">
        <v>15</v>
      </c>
      <c r="E506" t="s">
        <v>22</v>
      </c>
      <c r="F506" t="s">
        <v>17</v>
      </c>
      <c r="G506" t="s">
        <v>74</v>
      </c>
      <c r="H506">
        <v>3</v>
      </c>
      <c r="I506" s="12">
        <v>310</v>
      </c>
      <c r="J506" s="12">
        <v>210</v>
      </c>
      <c r="K506">
        <v>2</v>
      </c>
      <c r="L506">
        <v>3</v>
      </c>
      <c r="M506">
        <v>900</v>
      </c>
      <c r="N506" s="12">
        <f>+gemini_code_1787702791259[[#This Row],[Cantidad]]*gemini_code_1787702791259[[#This Row],[Precio_Unitario_USD]]</f>
        <v>930</v>
      </c>
      <c r="O506" s="12">
        <f>+gemini_code_1787702791259[[#This Row],[Cantidad]]*gemini_code_1787702791259[[#This Row],[Costo_Unitario_USD]]</f>
        <v>630</v>
      </c>
      <c r="P506" s="12">
        <f>+gemini_code_1787702791259[[#This Row],[venta total]]-gemini_code_1787702791259[[#This Row],[Costo total]]</f>
        <v>300</v>
      </c>
      <c r="Q506" s="2">
        <f>gemini_code_1787702791259[[#This Row],[Ganancia bruta]]/gemini_code_1787702791259[[#This Row],[venta total]]</f>
        <v>0.32258064516129031</v>
      </c>
      <c r="R506" t="str">
        <f>IF(gemini_code_1787702791259[[#This Row],[Dias_Entrega]]&lt;=gemini_code_1787702791259[[#This Row],[Promesa_SLA_Dias]],"A tiempo","Fuera de SLA")</f>
        <v>A tiempo</v>
      </c>
    </row>
    <row r="507" spans="1:18" x14ac:dyDescent="0.25">
      <c r="A507" t="s">
        <v>75</v>
      </c>
      <c r="B507" s="1">
        <v>46243</v>
      </c>
      <c r="C507" t="s">
        <v>20</v>
      </c>
      <c r="D507" t="s">
        <v>21</v>
      </c>
      <c r="E507" t="s">
        <v>16</v>
      </c>
      <c r="F507" t="s">
        <v>23</v>
      </c>
      <c r="G507" t="s">
        <v>76</v>
      </c>
      <c r="H507">
        <v>8</v>
      </c>
      <c r="I507" s="12">
        <v>50</v>
      </c>
      <c r="J507" s="12">
        <v>22</v>
      </c>
      <c r="K507">
        <v>2</v>
      </c>
      <c r="L507">
        <v>3</v>
      </c>
      <c r="M507">
        <v>400</v>
      </c>
      <c r="N507" s="12">
        <f>+gemini_code_1787702791259[[#This Row],[Cantidad]]*gemini_code_1787702791259[[#This Row],[Precio_Unitario_USD]]</f>
        <v>400</v>
      </c>
      <c r="O507" s="12">
        <f>+gemini_code_1787702791259[[#This Row],[Cantidad]]*gemini_code_1787702791259[[#This Row],[Costo_Unitario_USD]]</f>
        <v>176</v>
      </c>
      <c r="P507" s="12">
        <f>+gemini_code_1787702791259[[#This Row],[venta total]]-gemini_code_1787702791259[[#This Row],[Costo total]]</f>
        <v>224</v>
      </c>
      <c r="Q507" s="2">
        <f>gemini_code_1787702791259[[#This Row],[Ganancia bruta]]/gemini_code_1787702791259[[#This Row],[venta total]]</f>
        <v>0.56000000000000005</v>
      </c>
      <c r="R507" t="str">
        <f>IF(gemini_code_1787702791259[[#This Row],[Dias_Entrega]]&lt;=gemini_code_1787702791259[[#This Row],[Promesa_SLA_Dias]],"A tiempo","Fuera de SLA")</f>
        <v>A tiempo</v>
      </c>
    </row>
    <row r="508" spans="1:18" x14ac:dyDescent="0.25">
      <c r="A508" t="s">
        <v>77</v>
      </c>
      <c r="B508" s="1">
        <v>46243</v>
      </c>
      <c r="C508" t="s">
        <v>26</v>
      </c>
      <c r="D508" t="s">
        <v>27</v>
      </c>
      <c r="E508" t="s">
        <v>16</v>
      </c>
      <c r="F508" t="s">
        <v>28</v>
      </c>
      <c r="G508" t="s">
        <v>78</v>
      </c>
      <c r="H508">
        <v>1</v>
      </c>
      <c r="I508" s="12">
        <v>750</v>
      </c>
      <c r="J508" s="12">
        <v>480</v>
      </c>
      <c r="K508">
        <v>8</v>
      </c>
      <c r="L508">
        <v>4</v>
      </c>
      <c r="M508">
        <v>700</v>
      </c>
      <c r="N508" s="12">
        <f>+gemini_code_1787702791259[[#This Row],[Cantidad]]*gemini_code_1787702791259[[#This Row],[Precio_Unitario_USD]]</f>
        <v>750</v>
      </c>
      <c r="O508" s="12">
        <f>+gemini_code_1787702791259[[#This Row],[Cantidad]]*gemini_code_1787702791259[[#This Row],[Costo_Unitario_USD]]</f>
        <v>480</v>
      </c>
      <c r="P508" s="12">
        <f>+gemini_code_1787702791259[[#This Row],[venta total]]-gemini_code_1787702791259[[#This Row],[Costo total]]</f>
        <v>270</v>
      </c>
      <c r="Q508" s="2">
        <f>gemini_code_1787702791259[[#This Row],[Ganancia bruta]]/gemini_code_1787702791259[[#This Row],[venta total]]</f>
        <v>0.36</v>
      </c>
      <c r="R508" t="str">
        <f>IF(gemini_code_1787702791259[[#This Row],[Dias_Entrega]]&lt;=gemini_code_1787702791259[[#This Row],[Promesa_SLA_Dias]],"A tiempo","Fuera de SLA")</f>
        <v>Fuera de SLA</v>
      </c>
    </row>
    <row r="509" spans="1:18" x14ac:dyDescent="0.25">
      <c r="A509" t="s">
        <v>79</v>
      </c>
      <c r="B509" s="1">
        <v>46244</v>
      </c>
      <c r="C509" t="s">
        <v>14</v>
      </c>
      <c r="D509" t="s">
        <v>15</v>
      </c>
      <c r="E509" t="s">
        <v>16</v>
      </c>
      <c r="F509" t="s">
        <v>31</v>
      </c>
      <c r="G509" t="s">
        <v>80</v>
      </c>
      <c r="H509">
        <v>4</v>
      </c>
      <c r="I509" s="12">
        <v>140</v>
      </c>
      <c r="J509" s="12">
        <v>75</v>
      </c>
      <c r="K509">
        <v>3</v>
      </c>
      <c r="L509">
        <v>3</v>
      </c>
      <c r="M509">
        <v>500</v>
      </c>
      <c r="N509" s="12">
        <f>+gemini_code_1787702791259[[#This Row],[Cantidad]]*gemini_code_1787702791259[[#This Row],[Precio_Unitario_USD]]</f>
        <v>560</v>
      </c>
      <c r="O509" s="12">
        <f>+gemini_code_1787702791259[[#This Row],[Cantidad]]*gemini_code_1787702791259[[#This Row],[Costo_Unitario_USD]]</f>
        <v>300</v>
      </c>
      <c r="P509" s="12">
        <f>+gemini_code_1787702791259[[#This Row],[venta total]]-gemini_code_1787702791259[[#This Row],[Costo total]]</f>
        <v>260</v>
      </c>
      <c r="Q509" s="2">
        <f>gemini_code_1787702791259[[#This Row],[Ganancia bruta]]/gemini_code_1787702791259[[#This Row],[venta total]]</f>
        <v>0.4642857142857143</v>
      </c>
      <c r="R509" t="str">
        <f>IF(gemini_code_1787702791259[[#This Row],[Dias_Entrega]]&lt;=gemini_code_1787702791259[[#This Row],[Promesa_SLA_Dias]],"A tiempo","Fuera de SLA")</f>
        <v>A tiempo</v>
      </c>
    </row>
    <row r="510" spans="1:18" x14ac:dyDescent="0.25">
      <c r="A510" t="s">
        <v>81</v>
      </c>
      <c r="B510" s="1">
        <v>46244</v>
      </c>
      <c r="C510" t="s">
        <v>20</v>
      </c>
      <c r="D510" t="s">
        <v>21</v>
      </c>
      <c r="E510" t="s">
        <v>22</v>
      </c>
      <c r="F510" t="s">
        <v>17</v>
      </c>
      <c r="G510" t="s">
        <v>82</v>
      </c>
      <c r="H510">
        <v>6</v>
      </c>
      <c r="I510" s="12">
        <v>90</v>
      </c>
      <c r="J510" s="12">
        <v>50</v>
      </c>
      <c r="K510">
        <v>1</v>
      </c>
      <c r="L510">
        <v>2</v>
      </c>
      <c r="M510">
        <v>500</v>
      </c>
      <c r="N510" s="12">
        <f>+gemini_code_1787702791259[[#This Row],[Cantidad]]*gemini_code_1787702791259[[#This Row],[Precio_Unitario_USD]]</f>
        <v>540</v>
      </c>
      <c r="O510" s="12">
        <f>+gemini_code_1787702791259[[#This Row],[Cantidad]]*gemini_code_1787702791259[[#This Row],[Costo_Unitario_USD]]</f>
        <v>300</v>
      </c>
      <c r="P510" s="12">
        <f>+gemini_code_1787702791259[[#This Row],[venta total]]-gemini_code_1787702791259[[#This Row],[Costo total]]</f>
        <v>240</v>
      </c>
      <c r="Q510" s="2">
        <f>gemini_code_1787702791259[[#This Row],[Ganancia bruta]]/gemini_code_1787702791259[[#This Row],[venta total]]</f>
        <v>0.44444444444444442</v>
      </c>
      <c r="R510" t="str">
        <f>IF(gemini_code_1787702791259[[#This Row],[Dias_Entrega]]&lt;=gemini_code_1787702791259[[#This Row],[Promesa_SLA_Dias]],"A tiempo","Fuera de SLA")</f>
        <v>A tiempo</v>
      </c>
    </row>
    <row r="511" spans="1:18" x14ac:dyDescent="0.25">
      <c r="A511" t="s">
        <v>83</v>
      </c>
      <c r="B511" s="1">
        <v>46244</v>
      </c>
      <c r="C511" t="s">
        <v>26</v>
      </c>
      <c r="D511" t="s">
        <v>27</v>
      </c>
      <c r="E511" t="s">
        <v>16</v>
      </c>
      <c r="F511" t="s">
        <v>23</v>
      </c>
      <c r="G511" t="s">
        <v>84</v>
      </c>
      <c r="H511">
        <v>6</v>
      </c>
      <c r="I511" s="12">
        <v>60</v>
      </c>
      <c r="J511" s="12">
        <v>28</v>
      </c>
      <c r="K511">
        <v>5</v>
      </c>
      <c r="L511">
        <v>3</v>
      </c>
      <c r="M511">
        <v>350</v>
      </c>
      <c r="N511" s="12">
        <f>+gemini_code_1787702791259[[#This Row],[Cantidad]]*gemini_code_1787702791259[[#This Row],[Precio_Unitario_USD]]</f>
        <v>360</v>
      </c>
      <c r="O511" s="12">
        <f>+gemini_code_1787702791259[[#This Row],[Cantidad]]*gemini_code_1787702791259[[#This Row],[Costo_Unitario_USD]]</f>
        <v>168</v>
      </c>
      <c r="P511" s="12">
        <f>+gemini_code_1787702791259[[#This Row],[venta total]]-gemini_code_1787702791259[[#This Row],[Costo total]]</f>
        <v>192</v>
      </c>
      <c r="Q511" s="2">
        <f>gemini_code_1787702791259[[#This Row],[Ganancia bruta]]/gemini_code_1787702791259[[#This Row],[venta total]]</f>
        <v>0.53333333333333333</v>
      </c>
      <c r="R511" t="str">
        <f>IF(gemini_code_1787702791259[[#This Row],[Dias_Entrega]]&lt;=gemini_code_1787702791259[[#This Row],[Promesa_SLA_Dias]],"A tiempo","Fuera de SLA")</f>
        <v>Fuera de SLA</v>
      </c>
    </row>
    <row r="512" spans="1:18" x14ac:dyDescent="0.25">
      <c r="A512" t="s">
        <v>13</v>
      </c>
      <c r="B512" s="1">
        <v>46235</v>
      </c>
      <c r="C512" t="s">
        <v>14</v>
      </c>
      <c r="D512" t="s">
        <v>15</v>
      </c>
      <c r="E512" t="s">
        <v>16</v>
      </c>
      <c r="F512" t="s">
        <v>17</v>
      </c>
      <c r="G512" t="s">
        <v>18</v>
      </c>
      <c r="H512">
        <v>2</v>
      </c>
      <c r="I512" s="12">
        <v>850</v>
      </c>
      <c r="J512" s="12">
        <v>600</v>
      </c>
      <c r="K512">
        <v>2</v>
      </c>
      <c r="L512">
        <v>3</v>
      </c>
      <c r="M512">
        <v>1500</v>
      </c>
      <c r="N512" s="12">
        <f>+gemini_code_1787702791259[[#This Row],[Cantidad]]*gemini_code_1787702791259[[#This Row],[Precio_Unitario_USD]]</f>
        <v>1700</v>
      </c>
      <c r="O512" s="12">
        <f>+gemini_code_1787702791259[[#This Row],[Cantidad]]*gemini_code_1787702791259[[#This Row],[Costo_Unitario_USD]]</f>
        <v>1200</v>
      </c>
      <c r="P512" s="12">
        <f>+gemini_code_1787702791259[[#This Row],[venta total]]-gemini_code_1787702791259[[#This Row],[Costo total]]</f>
        <v>500</v>
      </c>
      <c r="Q512" s="2">
        <f>gemini_code_1787702791259[[#This Row],[Ganancia bruta]]/gemini_code_1787702791259[[#This Row],[venta total]]</f>
        <v>0.29411764705882354</v>
      </c>
      <c r="R512" t="str">
        <f>IF(gemini_code_1787702791259[[#This Row],[Dias_Entrega]]&lt;=gemini_code_1787702791259[[#This Row],[Promesa_SLA_Dias]],"A tiempo","Fuera de SLA")</f>
        <v>A tiempo</v>
      </c>
    </row>
    <row r="513" spans="1:18" x14ac:dyDescent="0.25">
      <c r="A513" t="s">
        <v>19</v>
      </c>
      <c r="B513" s="1">
        <v>46235</v>
      </c>
      <c r="C513" t="s">
        <v>20</v>
      </c>
      <c r="D513" t="s">
        <v>21</v>
      </c>
      <c r="E513" t="s">
        <v>22</v>
      </c>
      <c r="F513" t="s">
        <v>23</v>
      </c>
      <c r="G513" t="s">
        <v>24</v>
      </c>
      <c r="H513">
        <v>5</v>
      </c>
      <c r="I513" s="12">
        <v>120</v>
      </c>
      <c r="J513" s="12">
        <v>70</v>
      </c>
      <c r="K513">
        <v>3</v>
      </c>
      <c r="L513">
        <v>3</v>
      </c>
      <c r="M513">
        <v>500</v>
      </c>
      <c r="N513" s="12">
        <f>+gemini_code_1787702791259[[#This Row],[Cantidad]]*gemini_code_1787702791259[[#This Row],[Precio_Unitario_USD]]</f>
        <v>600</v>
      </c>
      <c r="O513" s="12">
        <f>+gemini_code_1787702791259[[#This Row],[Cantidad]]*gemini_code_1787702791259[[#This Row],[Costo_Unitario_USD]]</f>
        <v>350</v>
      </c>
      <c r="P513" s="12">
        <f>+gemini_code_1787702791259[[#This Row],[venta total]]-gemini_code_1787702791259[[#This Row],[Costo total]]</f>
        <v>250</v>
      </c>
      <c r="Q513" s="2">
        <f>gemini_code_1787702791259[[#This Row],[Ganancia bruta]]/gemini_code_1787702791259[[#This Row],[venta total]]</f>
        <v>0.41666666666666669</v>
      </c>
      <c r="R513" t="str">
        <f>IF(gemini_code_1787702791259[[#This Row],[Dias_Entrega]]&lt;=gemini_code_1787702791259[[#This Row],[Promesa_SLA_Dias]],"A tiempo","Fuera de SLA")</f>
        <v>A tiempo</v>
      </c>
    </row>
    <row r="514" spans="1:18" x14ac:dyDescent="0.25">
      <c r="A514" t="s">
        <v>25</v>
      </c>
      <c r="B514" s="1">
        <v>46235</v>
      </c>
      <c r="C514" t="s">
        <v>26</v>
      </c>
      <c r="D514" t="s">
        <v>27</v>
      </c>
      <c r="E514" t="s">
        <v>16</v>
      </c>
      <c r="F514" t="s">
        <v>28</v>
      </c>
      <c r="G514" t="s">
        <v>29</v>
      </c>
      <c r="H514">
        <v>3</v>
      </c>
      <c r="I514" s="12">
        <v>90</v>
      </c>
      <c r="J514" s="12">
        <v>50</v>
      </c>
      <c r="K514">
        <v>6</v>
      </c>
      <c r="L514">
        <v>4</v>
      </c>
      <c r="M514">
        <v>300</v>
      </c>
      <c r="N514" s="12">
        <f>+gemini_code_1787702791259[[#This Row],[Cantidad]]*gemini_code_1787702791259[[#This Row],[Precio_Unitario_USD]]</f>
        <v>270</v>
      </c>
      <c r="O514" s="12">
        <f>+gemini_code_1787702791259[[#This Row],[Cantidad]]*gemini_code_1787702791259[[#This Row],[Costo_Unitario_USD]]</f>
        <v>150</v>
      </c>
      <c r="P514" s="12">
        <f>+gemini_code_1787702791259[[#This Row],[venta total]]-gemini_code_1787702791259[[#This Row],[Costo total]]</f>
        <v>120</v>
      </c>
      <c r="Q514" s="2">
        <f>gemini_code_1787702791259[[#This Row],[Ganancia bruta]]/gemini_code_1787702791259[[#This Row],[venta total]]</f>
        <v>0.44444444444444442</v>
      </c>
      <c r="R514" t="str">
        <f>IF(gemini_code_1787702791259[[#This Row],[Dias_Entrega]]&lt;=gemini_code_1787702791259[[#This Row],[Promesa_SLA_Dias]],"A tiempo","Fuera de SLA")</f>
        <v>Fuera de SLA</v>
      </c>
    </row>
    <row r="515" spans="1:18" x14ac:dyDescent="0.25">
      <c r="A515" t="s">
        <v>30</v>
      </c>
      <c r="B515" s="1">
        <v>46236</v>
      </c>
      <c r="C515" t="s">
        <v>14</v>
      </c>
      <c r="D515" t="s">
        <v>15</v>
      </c>
      <c r="E515" t="s">
        <v>22</v>
      </c>
      <c r="F515" t="s">
        <v>31</v>
      </c>
      <c r="G515" t="s">
        <v>32</v>
      </c>
      <c r="H515">
        <v>4</v>
      </c>
      <c r="I515" s="12">
        <v>110</v>
      </c>
      <c r="J515" s="12">
        <v>60</v>
      </c>
      <c r="K515">
        <v>1</v>
      </c>
      <c r="L515">
        <v>2</v>
      </c>
      <c r="M515">
        <v>400</v>
      </c>
      <c r="N515" s="12">
        <f>+gemini_code_1787702791259[[#This Row],[Cantidad]]*gemini_code_1787702791259[[#This Row],[Precio_Unitario_USD]]</f>
        <v>440</v>
      </c>
      <c r="O515" s="12">
        <f>+gemini_code_1787702791259[[#This Row],[Cantidad]]*gemini_code_1787702791259[[#This Row],[Costo_Unitario_USD]]</f>
        <v>240</v>
      </c>
      <c r="P515" s="12">
        <f>+gemini_code_1787702791259[[#This Row],[venta total]]-gemini_code_1787702791259[[#This Row],[Costo total]]</f>
        <v>200</v>
      </c>
      <c r="Q515" s="2">
        <f>gemini_code_1787702791259[[#This Row],[Ganancia bruta]]/gemini_code_1787702791259[[#This Row],[venta total]]</f>
        <v>0.45454545454545453</v>
      </c>
      <c r="R515" t="str">
        <f>IF(gemini_code_1787702791259[[#This Row],[Dias_Entrega]]&lt;=gemini_code_1787702791259[[#This Row],[Promesa_SLA_Dias]],"A tiempo","Fuera de SLA")</f>
        <v>A tiempo</v>
      </c>
    </row>
    <row r="516" spans="1:18" x14ac:dyDescent="0.25">
      <c r="A516" t="s">
        <v>33</v>
      </c>
      <c r="B516" s="1">
        <v>46236</v>
      </c>
      <c r="C516" t="s">
        <v>20</v>
      </c>
      <c r="D516" t="s">
        <v>21</v>
      </c>
      <c r="E516" t="s">
        <v>16</v>
      </c>
      <c r="F516" t="s">
        <v>17</v>
      </c>
      <c r="G516" t="s">
        <v>34</v>
      </c>
      <c r="H516">
        <v>3</v>
      </c>
      <c r="I516" s="12">
        <v>650</v>
      </c>
      <c r="J516" s="12">
        <v>450</v>
      </c>
      <c r="K516">
        <v>2</v>
      </c>
      <c r="L516">
        <v>3</v>
      </c>
      <c r="M516">
        <v>1800</v>
      </c>
      <c r="N516" s="12">
        <f>+gemini_code_1787702791259[[#This Row],[Cantidad]]*gemini_code_1787702791259[[#This Row],[Precio_Unitario_USD]]</f>
        <v>1950</v>
      </c>
      <c r="O516" s="12">
        <f>+gemini_code_1787702791259[[#This Row],[Cantidad]]*gemini_code_1787702791259[[#This Row],[Costo_Unitario_USD]]</f>
        <v>1350</v>
      </c>
      <c r="P516" s="12">
        <f>+gemini_code_1787702791259[[#This Row],[venta total]]-gemini_code_1787702791259[[#This Row],[Costo total]]</f>
        <v>600</v>
      </c>
      <c r="Q516" s="2">
        <f>gemini_code_1787702791259[[#This Row],[Ganancia bruta]]/gemini_code_1787702791259[[#This Row],[venta total]]</f>
        <v>0.30769230769230771</v>
      </c>
      <c r="R516" t="str">
        <f>IF(gemini_code_1787702791259[[#This Row],[Dias_Entrega]]&lt;=gemini_code_1787702791259[[#This Row],[Promesa_SLA_Dias]],"A tiempo","Fuera de SLA")</f>
        <v>A tiempo</v>
      </c>
    </row>
    <row r="517" spans="1:18" x14ac:dyDescent="0.25">
      <c r="A517" t="s">
        <v>35</v>
      </c>
      <c r="B517" s="1">
        <v>46236</v>
      </c>
      <c r="C517" t="s">
        <v>26</v>
      </c>
      <c r="D517" t="s">
        <v>27</v>
      </c>
      <c r="E517" t="s">
        <v>16</v>
      </c>
      <c r="F517" t="s">
        <v>23</v>
      </c>
      <c r="G517" t="s">
        <v>36</v>
      </c>
      <c r="H517">
        <v>8</v>
      </c>
      <c r="I517" s="12">
        <v>45</v>
      </c>
      <c r="J517" s="12">
        <v>20</v>
      </c>
      <c r="K517">
        <v>5</v>
      </c>
      <c r="L517">
        <v>3</v>
      </c>
      <c r="M517">
        <v>400</v>
      </c>
      <c r="N517" s="12">
        <f>+gemini_code_1787702791259[[#This Row],[Cantidad]]*gemini_code_1787702791259[[#This Row],[Precio_Unitario_USD]]</f>
        <v>360</v>
      </c>
      <c r="O517" s="12">
        <f>+gemini_code_1787702791259[[#This Row],[Cantidad]]*gemini_code_1787702791259[[#This Row],[Costo_Unitario_USD]]</f>
        <v>160</v>
      </c>
      <c r="P517" s="12">
        <f>+gemini_code_1787702791259[[#This Row],[venta total]]-gemini_code_1787702791259[[#This Row],[Costo total]]</f>
        <v>200</v>
      </c>
      <c r="Q517" s="2">
        <f>gemini_code_1787702791259[[#This Row],[Ganancia bruta]]/gemini_code_1787702791259[[#This Row],[venta total]]</f>
        <v>0.55555555555555558</v>
      </c>
      <c r="R517" t="str">
        <f>IF(gemini_code_1787702791259[[#This Row],[Dias_Entrega]]&lt;=gemini_code_1787702791259[[#This Row],[Promesa_SLA_Dias]],"A tiempo","Fuera de SLA")</f>
        <v>Fuera de SLA</v>
      </c>
    </row>
    <row r="518" spans="1:18" x14ac:dyDescent="0.25">
      <c r="A518" t="s">
        <v>37</v>
      </c>
      <c r="B518" s="1">
        <v>46237</v>
      </c>
      <c r="C518" t="s">
        <v>14</v>
      </c>
      <c r="D518" t="s">
        <v>15</v>
      </c>
      <c r="E518" t="s">
        <v>16</v>
      </c>
      <c r="F518" t="s">
        <v>28</v>
      </c>
      <c r="G518" t="s">
        <v>38</v>
      </c>
      <c r="H518">
        <v>2</v>
      </c>
      <c r="I518" s="12">
        <v>280</v>
      </c>
      <c r="J518" s="12">
        <v>180</v>
      </c>
      <c r="K518">
        <v>3</v>
      </c>
      <c r="L518">
        <v>3</v>
      </c>
      <c r="M518">
        <v>500</v>
      </c>
      <c r="N518" s="12">
        <f>+gemini_code_1787702791259[[#This Row],[Cantidad]]*gemini_code_1787702791259[[#This Row],[Precio_Unitario_USD]]</f>
        <v>560</v>
      </c>
      <c r="O518" s="12">
        <f>+gemini_code_1787702791259[[#This Row],[Cantidad]]*gemini_code_1787702791259[[#This Row],[Costo_Unitario_USD]]</f>
        <v>360</v>
      </c>
      <c r="P518" s="12">
        <f>+gemini_code_1787702791259[[#This Row],[venta total]]-gemini_code_1787702791259[[#This Row],[Costo total]]</f>
        <v>200</v>
      </c>
      <c r="Q518" s="2">
        <f>gemini_code_1787702791259[[#This Row],[Ganancia bruta]]/gemini_code_1787702791259[[#This Row],[venta total]]</f>
        <v>0.35714285714285715</v>
      </c>
      <c r="R518" t="str">
        <f>IF(gemini_code_1787702791259[[#This Row],[Dias_Entrega]]&lt;=gemini_code_1787702791259[[#This Row],[Promesa_SLA_Dias]],"A tiempo","Fuera de SLA")</f>
        <v>A tiempo</v>
      </c>
    </row>
    <row r="519" spans="1:18" x14ac:dyDescent="0.25">
      <c r="A519" t="s">
        <v>39</v>
      </c>
      <c r="B519" s="1">
        <v>46237</v>
      </c>
      <c r="C519" t="s">
        <v>20</v>
      </c>
      <c r="D519" t="s">
        <v>21</v>
      </c>
      <c r="E519" t="s">
        <v>22</v>
      </c>
      <c r="F519" t="s">
        <v>31</v>
      </c>
      <c r="G519" t="s">
        <v>40</v>
      </c>
      <c r="H519">
        <v>3</v>
      </c>
      <c r="I519" s="12">
        <v>150</v>
      </c>
      <c r="J519" s="12">
        <v>85</v>
      </c>
      <c r="K519">
        <v>2</v>
      </c>
      <c r="L519">
        <v>2</v>
      </c>
      <c r="M519">
        <v>400</v>
      </c>
      <c r="N519" s="12">
        <f>+gemini_code_1787702791259[[#This Row],[Cantidad]]*gemini_code_1787702791259[[#This Row],[Precio_Unitario_USD]]</f>
        <v>450</v>
      </c>
      <c r="O519" s="12">
        <f>+gemini_code_1787702791259[[#This Row],[Cantidad]]*gemini_code_1787702791259[[#This Row],[Costo_Unitario_USD]]</f>
        <v>255</v>
      </c>
      <c r="P519" s="12">
        <f>+gemini_code_1787702791259[[#This Row],[venta total]]-gemini_code_1787702791259[[#This Row],[Costo total]]</f>
        <v>195</v>
      </c>
      <c r="Q519" s="2">
        <f>gemini_code_1787702791259[[#This Row],[Ganancia bruta]]/gemini_code_1787702791259[[#This Row],[venta total]]</f>
        <v>0.43333333333333335</v>
      </c>
      <c r="R519" t="str">
        <f>IF(gemini_code_1787702791259[[#This Row],[Dias_Entrega]]&lt;=gemini_code_1787702791259[[#This Row],[Promesa_SLA_Dias]],"A tiempo","Fuera de SLA")</f>
        <v>A tiempo</v>
      </c>
    </row>
    <row r="520" spans="1:18" x14ac:dyDescent="0.25">
      <c r="A520" t="s">
        <v>41</v>
      </c>
      <c r="B520" s="1">
        <v>46237</v>
      </c>
      <c r="C520" t="s">
        <v>26</v>
      </c>
      <c r="D520" t="s">
        <v>27</v>
      </c>
      <c r="E520" t="s">
        <v>16</v>
      </c>
      <c r="F520" t="s">
        <v>17</v>
      </c>
      <c r="G520" t="s">
        <v>42</v>
      </c>
      <c r="H520">
        <v>2</v>
      </c>
      <c r="I520" s="12">
        <v>520</v>
      </c>
      <c r="J520" s="12">
        <v>380</v>
      </c>
      <c r="K520">
        <v>7</v>
      </c>
      <c r="L520">
        <v>4</v>
      </c>
      <c r="M520">
        <v>1000</v>
      </c>
      <c r="N520" s="12">
        <f>+gemini_code_1787702791259[[#This Row],[Cantidad]]*gemini_code_1787702791259[[#This Row],[Precio_Unitario_USD]]</f>
        <v>1040</v>
      </c>
      <c r="O520" s="12">
        <f>+gemini_code_1787702791259[[#This Row],[Cantidad]]*gemini_code_1787702791259[[#This Row],[Costo_Unitario_USD]]</f>
        <v>760</v>
      </c>
      <c r="P520" s="12">
        <f>+gemini_code_1787702791259[[#This Row],[venta total]]-gemini_code_1787702791259[[#This Row],[Costo total]]</f>
        <v>280</v>
      </c>
      <c r="Q520" s="2">
        <f>gemini_code_1787702791259[[#This Row],[Ganancia bruta]]/gemini_code_1787702791259[[#This Row],[venta total]]</f>
        <v>0.26923076923076922</v>
      </c>
      <c r="R520" t="str">
        <f>IF(gemini_code_1787702791259[[#This Row],[Dias_Entrega]]&lt;=gemini_code_1787702791259[[#This Row],[Promesa_SLA_Dias]],"A tiempo","Fuera de SLA")</f>
        <v>Fuera de SLA</v>
      </c>
    </row>
    <row r="521" spans="1:18" x14ac:dyDescent="0.25">
      <c r="A521" t="s">
        <v>43</v>
      </c>
      <c r="B521" s="1">
        <v>46238</v>
      </c>
      <c r="C521" t="s">
        <v>14</v>
      </c>
      <c r="D521" t="s">
        <v>15</v>
      </c>
      <c r="E521" t="s">
        <v>22</v>
      </c>
      <c r="F521" t="s">
        <v>23</v>
      </c>
      <c r="G521" t="s">
        <v>44</v>
      </c>
      <c r="H521">
        <v>6</v>
      </c>
      <c r="I521" s="12">
        <v>55</v>
      </c>
      <c r="J521" s="12">
        <v>25</v>
      </c>
      <c r="K521">
        <v>2</v>
      </c>
      <c r="L521">
        <v>3</v>
      </c>
      <c r="M521">
        <v>300</v>
      </c>
      <c r="N521" s="12">
        <f>+gemini_code_1787702791259[[#This Row],[Cantidad]]*gemini_code_1787702791259[[#This Row],[Precio_Unitario_USD]]</f>
        <v>330</v>
      </c>
      <c r="O521" s="12">
        <f>+gemini_code_1787702791259[[#This Row],[Cantidad]]*gemini_code_1787702791259[[#This Row],[Costo_Unitario_USD]]</f>
        <v>150</v>
      </c>
      <c r="P521" s="12">
        <f>+gemini_code_1787702791259[[#This Row],[venta total]]-gemini_code_1787702791259[[#This Row],[Costo total]]</f>
        <v>180</v>
      </c>
      <c r="Q521" s="2">
        <f>gemini_code_1787702791259[[#This Row],[Ganancia bruta]]/gemini_code_1787702791259[[#This Row],[venta total]]</f>
        <v>0.54545454545454541</v>
      </c>
      <c r="R521" t="str">
        <f>IF(gemini_code_1787702791259[[#This Row],[Dias_Entrega]]&lt;=gemini_code_1787702791259[[#This Row],[Promesa_SLA_Dias]],"A tiempo","Fuera de SLA")</f>
        <v>A tiempo</v>
      </c>
    </row>
    <row r="522" spans="1:18" x14ac:dyDescent="0.25">
      <c r="A522" t="s">
        <v>45</v>
      </c>
      <c r="B522" s="1">
        <v>46238</v>
      </c>
      <c r="C522" t="s">
        <v>20</v>
      </c>
      <c r="D522" t="s">
        <v>21</v>
      </c>
      <c r="E522" t="s">
        <v>16</v>
      </c>
      <c r="F522" t="s">
        <v>28</v>
      </c>
      <c r="G522" t="s">
        <v>46</v>
      </c>
      <c r="H522">
        <v>1</v>
      </c>
      <c r="I522" s="12">
        <v>450</v>
      </c>
      <c r="J522" s="12">
        <v>290</v>
      </c>
      <c r="K522">
        <v>4</v>
      </c>
      <c r="L522">
        <v>3</v>
      </c>
      <c r="M522">
        <v>400</v>
      </c>
      <c r="N522" s="12">
        <f>+gemini_code_1787702791259[[#This Row],[Cantidad]]*gemini_code_1787702791259[[#This Row],[Precio_Unitario_USD]]</f>
        <v>450</v>
      </c>
      <c r="O522" s="12">
        <f>+gemini_code_1787702791259[[#This Row],[Cantidad]]*gemini_code_1787702791259[[#This Row],[Costo_Unitario_USD]]</f>
        <v>290</v>
      </c>
      <c r="P522" s="12">
        <f>+gemini_code_1787702791259[[#This Row],[venta total]]-gemini_code_1787702791259[[#This Row],[Costo total]]</f>
        <v>160</v>
      </c>
      <c r="Q522" s="2">
        <f>gemini_code_1787702791259[[#This Row],[Ganancia bruta]]/gemini_code_1787702791259[[#This Row],[venta total]]</f>
        <v>0.35555555555555557</v>
      </c>
      <c r="R522" t="str">
        <f>IF(gemini_code_1787702791259[[#This Row],[Dias_Entrega]]&lt;=gemini_code_1787702791259[[#This Row],[Promesa_SLA_Dias]],"A tiempo","Fuera de SLA")</f>
        <v>Fuera de SLA</v>
      </c>
    </row>
    <row r="523" spans="1:18" x14ac:dyDescent="0.25">
      <c r="A523" t="s">
        <v>47</v>
      </c>
      <c r="B523" s="1">
        <v>46238</v>
      </c>
      <c r="C523" t="s">
        <v>26</v>
      </c>
      <c r="D523" t="s">
        <v>27</v>
      </c>
      <c r="E523" t="s">
        <v>22</v>
      </c>
      <c r="F523" t="s">
        <v>31</v>
      </c>
      <c r="G523" t="s">
        <v>48</v>
      </c>
      <c r="H523">
        <v>10</v>
      </c>
      <c r="I523" s="12">
        <v>35</v>
      </c>
      <c r="J523" s="12">
        <v>15</v>
      </c>
      <c r="K523">
        <v>4</v>
      </c>
      <c r="L523">
        <v>3</v>
      </c>
      <c r="M523">
        <v>300</v>
      </c>
      <c r="N523" s="12">
        <f>+gemini_code_1787702791259[[#This Row],[Cantidad]]*gemini_code_1787702791259[[#This Row],[Precio_Unitario_USD]]</f>
        <v>350</v>
      </c>
      <c r="O523" s="12">
        <f>+gemini_code_1787702791259[[#This Row],[Cantidad]]*gemini_code_1787702791259[[#This Row],[Costo_Unitario_USD]]</f>
        <v>150</v>
      </c>
      <c r="P523" s="12">
        <f>+gemini_code_1787702791259[[#This Row],[venta total]]-gemini_code_1787702791259[[#This Row],[Costo total]]</f>
        <v>200</v>
      </c>
      <c r="Q523" s="2">
        <f>gemini_code_1787702791259[[#This Row],[Ganancia bruta]]/gemini_code_1787702791259[[#This Row],[venta total]]</f>
        <v>0.5714285714285714</v>
      </c>
      <c r="R523" t="str">
        <f>IF(gemini_code_1787702791259[[#This Row],[Dias_Entrega]]&lt;=gemini_code_1787702791259[[#This Row],[Promesa_SLA_Dias]],"A tiempo","Fuera de SLA")</f>
        <v>Fuera de SLA</v>
      </c>
    </row>
    <row r="524" spans="1:18" x14ac:dyDescent="0.25">
      <c r="A524" t="s">
        <v>49</v>
      </c>
      <c r="B524" s="1">
        <v>46239</v>
      </c>
      <c r="C524" t="s">
        <v>14</v>
      </c>
      <c r="D524" t="s">
        <v>15</v>
      </c>
      <c r="E524" t="s">
        <v>16</v>
      </c>
      <c r="F524" t="s">
        <v>17</v>
      </c>
      <c r="G524" t="s">
        <v>50</v>
      </c>
      <c r="H524">
        <v>4</v>
      </c>
      <c r="I524" s="12">
        <v>220</v>
      </c>
      <c r="J524" s="12">
        <v>140</v>
      </c>
      <c r="K524">
        <v>2</v>
      </c>
      <c r="L524">
        <v>3</v>
      </c>
      <c r="M524">
        <v>800</v>
      </c>
      <c r="N524" s="12">
        <f>+gemini_code_1787702791259[[#This Row],[Cantidad]]*gemini_code_1787702791259[[#This Row],[Precio_Unitario_USD]]</f>
        <v>880</v>
      </c>
      <c r="O524" s="12">
        <f>+gemini_code_1787702791259[[#This Row],[Cantidad]]*gemini_code_1787702791259[[#This Row],[Costo_Unitario_USD]]</f>
        <v>560</v>
      </c>
      <c r="P524" s="12">
        <f>+gemini_code_1787702791259[[#This Row],[venta total]]-gemini_code_1787702791259[[#This Row],[Costo total]]</f>
        <v>320</v>
      </c>
      <c r="Q524" s="2">
        <f>gemini_code_1787702791259[[#This Row],[Ganancia bruta]]/gemini_code_1787702791259[[#This Row],[venta total]]</f>
        <v>0.36363636363636365</v>
      </c>
      <c r="R524" t="str">
        <f>IF(gemini_code_1787702791259[[#This Row],[Dias_Entrega]]&lt;=gemini_code_1787702791259[[#This Row],[Promesa_SLA_Dias]],"A tiempo","Fuera de SLA")</f>
        <v>A tiempo</v>
      </c>
    </row>
    <row r="525" spans="1:18" x14ac:dyDescent="0.25">
      <c r="A525" t="s">
        <v>51</v>
      </c>
      <c r="B525" s="1">
        <v>46239</v>
      </c>
      <c r="C525" t="s">
        <v>20</v>
      </c>
      <c r="D525" t="s">
        <v>21</v>
      </c>
      <c r="E525" t="s">
        <v>16</v>
      </c>
      <c r="F525" t="s">
        <v>23</v>
      </c>
      <c r="G525" t="s">
        <v>52</v>
      </c>
      <c r="H525">
        <v>5</v>
      </c>
      <c r="I525" s="12">
        <v>65</v>
      </c>
      <c r="J525" s="12">
        <v>30</v>
      </c>
      <c r="K525">
        <v>2</v>
      </c>
      <c r="L525">
        <v>3</v>
      </c>
      <c r="M525">
        <v>300</v>
      </c>
      <c r="N525" s="12">
        <f>+gemini_code_1787702791259[[#This Row],[Cantidad]]*gemini_code_1787702791259[[#This Row],[Precio_Unitario_USD]]</f>
        <v>325</v>
      </c>
      <c r="O525" s="12">
        <f>+gemini_code_1787702791259[[#This Row],[Cantidad]]*gemini_code_1787702791259[[#This Row],[Costo_Unitario_USD]]</f>
        <v>150</v>
      </c>
      <c r="P525" s="12">
        <f>+gemini_code_1787702791259[[#This Row],[venta total]]-gemini_code_1787702791259[[#This Row],[Costo total]]</f>
        <v>175</v>
      </c>
      <c r="Q525" s="2">
        <f>gemini_code_1787702791259[[#This Row],[Ganancia bruta]]/gemini_code_1787702791259[[#This Row],[venta total]]</f>
        <v>0.53846153846153844</v>
      </c>
      <c r="R525" t="str">
        <f>IF(gemini_code_1787702791259[[#This Row],[Dias_Entrega]]&lt;=gemini_code_1787702791259[[#This Row],[Promesa_SLA_Dias]],"A tiempo","Fuera de SLA")</f>
        <v>A tiempo</v>
      </c>
    </row>
    <row r="526" spans="1:18" x14ac:dyDescent="0.25">
      <c r="A526" t="s">
        <v>53</v>
      </c>
      <c r="B526" s="1">
        <v>46239</v>
      </c>
      <c r="C526" t="s">
        <v>26</v>
      </c>
      <c r="D526" t="s">
        <v>27</v>
      </c>
      <c r="E526" t="s">
        <v>16</v>
      </c>
      <c r="F526" t="s">
        <v>28</v>
      </c>
      <c r="G526" t="s">
        <v>54</v>
      </c>
      <c r="H526">
        <v>2</v>
      </c>
      <c r="I526" s="12">
        <v>180</v>
      </c>
      <c r="J526" s="12">
        <v>110</v>
      </c>
      <c r="K526">
        <v>6</v>
      </c>
      <c r="L526">
        <v>3</v>
      </c>
      <c r="M526">
        <v>350</v>
      </c>
      <c r="N526" s="12">
        <f>+gemini_code_1787702791259[[#This Row],[Cantidad]]*gemini_code_1787702791259[[#This Row],[Precio_Unitario_USD]]</f>
        <v>360</v>
      </c>
      <c r="O526" s="12">
        <f>+gemini_code_1787702791259[[#This Row],[Cantidad]]*gemini_code_1787702791259[[#This Row],[Costo_Unitario_USD]]</f>
        <v>220</v>
      </c>
      <c r="P526" s="12">
        <f>+gemini_code_1787702791259[[#This Row],[venta total]]-gemini_code_1787702791259[[#This Row],[Costo total]]</f>
        <v>140</v>
      </c>
      <c r="Q526" s="2">
        <f>gemini_code_1787702791259[[#This Row],[Ganancia bruta]]/gemini_code_1787702791259[[#This Row],[venta total]]</f>
        <v>0.3888888888888889</v>
      </c>
      <c r="R526" t="str">
        <f>IF(gemini_code_1787702791259[[#This Row],[Dias_Entrega]]&lt;=gemini_code_1787702791259[[#This Row],[Promesa_SLA_Dias]],"A tiempo","Fuera de SLA")</f>
        <v>Fuera de SLA</v>
      </c>
    </row>
    <row r="527" spans="1:18" x14ac:dyDescent="0.25">
      <c r="A527" t="s">
        <v>55</v>
      </c>
      <c r="B527" s="1">
        <v>46240</v>
      </c>
      <c r="C527" t="s">
        <v>14</v>
      </c>
      <c r="D527" t="s">
        <v>15</v>
      </c>
      <c r="E527" t="s">
        <v>22</v>
      </c>
      <c r="F527" t="s">
        <v>31</v>
      </c>
      <c r="G527" t="s">
        <v>56</v>
      </c>
      <c r="H527">
        <v>6</v>
      </c>
      <c r="I527" s="12">
        <v>85</v>
      </c>
      <c r="J527" s="12">
        <v>45</v>
      </c>
      <c r="K527">
        <v>1</v>
      </c>
      <c r="L527">
        <v>2</v>
      </c>
      <c r="M527">
        <v>500</v>
      </c>
      <c r="N527" s="12">
        <f>+gemini_code_1787702791259[[#This Row],[Cantidad]]*gemini_code_1787702791259[[#This Row],[Precio_Unitario_USD]]</f>
        <v>510</v>
      </c>
      <c r="O527" s="12">
        <f>+gemini_code_1787702791259[[#This Row],[Cantidad]]*gemini_code_1787702791259[[#This Row],[Costo_Unitario_USD]]</f>
        <v>270</v>
      </c>
      <c r="P527" s="12">
        <f>+gemini_code_1787702791259[[#This Row],[venta total]]-gemini_code_1787702791259[[#This Row],[Costo total]]</f>
        <v>240</v>
      </c>
      <c r="Q527" s="2">
        <f>gemini_code_1787702791259[[#This Row],[Ganancia bruta]]/gemini_code_1787702791259[[#This Row],[venta total]]</f>
        <v>0.47058823529411764</v>
      </c>
      <c r="R527" t="str">
        <f>IF(gemini_code_1787702791259[[#This Row],[Dias_Entrega]]&lt;=gemini_code_1787702791259[[#This Row],[Promesa_SLA_Dias]],"A tiempo","Fuera de SLA")</f>
        <v>A tiempo</v>
      </c>
    </row>
    <row r="528" spans="1:18" x14ac:dyDescent="0.25">
      <c r="A528" t="s">
        <v>57</v>
      </c>
      <c r="B528" s="1">
        <v>46240</v>
      </c>
      <c r="C528" t="s">
        <v>20</v>
      </c>
      <c r="D528" t="s">
        <v>21</v>
      </c>
      <c r="E528" t="s">
        <v>16</v>
      </c>
      <c r="F528" t="s">
        <v>17</v>
      </c>
      <c r="G528" t="s">
        <v>58</v>
      </c>
      <c r="H528">
        <v>12</v>
      </c>
      <c r="I528" s="12">
        <v>75</v>
      </c>
      <c r="J528" s="12">
        <v>35</v>
      </c>
      <c r="K528">
        <v>1</v>
      </c>
      <c r="L528">
        <v>2</v>
      </c>
      <c r="M528">
        <v>800</v>
      </c>
      <c r="N528" s="12">
        <f>+gemini_code_1787702791259[[#This Row],[Cantidad]]*gemini_code_1787702791259[[#This Row],[Precio_Unitario_USD]]</f>
        <v>900</v>
      </c>
      <c r="O528" s="12">
        <f>+gemini_code_1787702791259[[#This Row],[Cantidad]]*gemini_code_1787702791259[[#This Row],[Costo_Unitario_USD]]</f>
        <v>420</v>
      </c>
      <c r="P528" s="12">
        <f>+gemini_code_1787702791259[[#This Row],[venta total]]-gemini_code_1787702791259[[#This Row],[Costo total]]</f>
        <v>480</v>
      </c>
      <c r="Q528" s="2">
        <f>gemini_code_1787702791259[[#This Row],[Ganancia bruta]]/gemini_code_1787702791259[[#This Row],[venta total]]</f>
        <v>0.53333333333333333</v>
      </c>
      <c r="R528" t="str">
        <f>IF(gemini_code_1787702791259[[#This Row],[Dias_Entrega]]&lt;=gemini_code_1787702791259[[#This Row],[Promesa_SLA_Dias]],"A tiempo","Fuera de SLA")</f>
        <v>A tiempo</v>
      </c>
    </row>
    <row r="529" spans="1:18" x14ac:dyDescent="0.25">
      <c r="A529" t="s">
        <v>59</v>
      </c>
      <c r="B529" s="1">
        <v>46240</v>
      </c>
      <c r="C529" t="s">
        <v>26</v>
      </c>
      <c r="D529" t="s">
        <v>27</v>
      </c>
      <c r="E529" t="s">
        <v>22</v>
      </c>
      <c r="F529" t="s">
        <v>23</v>
      </c>
      <c r="G529" t="s">
        <v>60</v>
      </c>
      <c r="H529">
        <v>4</v>
      </c>
      <c r="I529" s="12">
        <v>110</v>
      </c>
      <c r="J529" s="12">
        <v>55</v>
      </c>
      <c r="K529">
        <v>5</v>
      </c>
      <c r="L529">
        <v>3</v>
      </c>
      <c r="M529">
        <v>400</v>
      </c>
      <c r="N529" s="12">
        <f>+gemini_code_1787702791259[[#This Row],[Cantidad]]*gemini_code_1787702791259[[#This Row],[Precio_Unitario_USD]]</f>
        <v>440</v>
      </c>
      <c r="O529" s="12">
        <f>+gemini_code_1787702791259[[#This Row],[Cantidad]]*gemini_code_1787702791259[[#This Row],[Costo_Unitario_USD]]</f>
        <v>220</v>
      </c>
      <c r="P529" s="12">
        <f>+gemini_code_1787702791259[[#This Row],[venta total]]-gemini_code_1787702791259[[#This Row],[Costo total]]</f>
        <v>220</v>
      </c>
      <c r="Q529" s="2">
        <f>gemini_code_1787702791259[[#This Row],[Ganancia bruta]]/gemini_code_1787702791259[[#This Row],[venta total]]</f>
        <v>0.5</v>
      </c>
      <c r="R529" t="str">
        <f>IF(gemini_code_1787702791259[[#This Row],[Dias_Entrega]]&lt;=gemini_code_1787702791259[[#This Row],[Promesa_SLA_Dias]],"A tiempo","Fuera de SLA")</f>
        <v>Fuera de SLA</v>
      </c>
    </row>
    <row r="530" spans="1:18" x14ac:dyDescent="0.25">
      <c r="A530" t="s">
        <v>61</v>
      </c>
      <c r="B530" s="1">
        <v>46241</v>
      </c>
      <c r="C530" t="s">
        <v>14</v>
      </c>
      <c r="D530" t="s">
        <v>15</v>
      </c>
      <c r="E530" t="s">
        <v>16</v>
      </c>
      <c r="F530" t="s">
        <v>28</v>
      </c>
      <c r="G530" t="s">
        <v>62</v>
      </c>
      <c r="H530">
        <v>15</v>
      </c>
      <c r="I530" s="12">
        <v>25</v>
      </c>
      <c r="J530" s="12">
        <v>10</v>
      </c>
      <c r="K530">
        <v>2</v>
      </c>
      <c r="L530">
        <v>3</v>
      </c>
      <c r="M530">
        <v>300</v>
      </c>
      <c r="N530" s="12">
        <f>+gemini_code_1787702791259[[#This Row],[Cantidad]]*gemini_code_1787702791259[[#This Row],[Precio_Unitario_USD]]</f>
        <v>375</v>
      </c>
      <c r="O530" s="12">
        <f>+gemini_code_1787702791259[[#This Row],[Cantidad]]*gemini_code_1787702791259[[#This Row],[Costo_Unitario_USD]]</f>
        <v>150</v>
      </c>
      <c r="P530" s="12">
        <f>+gemini_code_1787702791259[[#This Row],[venta total]]-gemini_code_1787702791259[[#This Row],[Costo total]]</f>
        <v>225</v>
      </c>
      <c r="Q530" s="2">
        <f>gemini_code_1787702791259[[#This Row],[Ganancia bruta]]/gemini_code_1787702791259[[#This Row],[venta total]]</f>
        <v>0.6</v>
      </c>
      <c r="R530" t="str">
        <f>IF(gemini_code_1787702791259[[#This Row],[Dias_Entrega]]&lt;=gemini_code_1787702791259[[#This Row],[Promesa_SLA_Dias]],"A tiempo","Fuera de SLA")</f>
        <v>A tiempo</v>
      </c>
    </row>
    <row r="531" spans="1:18" x14ac:dyDescent="0.25">
      <c r="A531" t="s">
        <v>63</v>
      </c>
      <c r="B531" s="1">
        <v>46241</v>
      </c>
      <c r="C531" t="s">
        <v>20</v>
      </c>
      <c r="D531" t="s">
        <v>21</v>
      </c>
      <c r="E531" t="s">
        <v>22</v>
      </c>
      <c r="F531" t="s">
        <v>31</v>
      </c>
      <c r="G531" t="s">
        <v>64</v>
      </c>
      <c r="H531">
        <v>5</v>
      </c>
      <c r="I531" s="12">
        <v>130</v>
      </c>
      <c r="J531" s="12">
        <v>70</v>
      </c>
      <c r="K531">
        <v>3</v>
      </c>
      <c r="L531">
        <v>3</v>
      </c>
      <c r="M531">
        <v>600</v>
      </c>
      <c r="N531" s="12">
        <f>+gemini_code_1787702791259[[#This Row],[Cantidad]]*gemini_code_1787702791259[[#This Row],[Precio_Unitario_USD]]</f>
        <v>650</v>
      </c>
      <c r="O531" s="12">
        <f>+gemini_code_1787702791259[[#This Row],[Cantidad]]*gemini_code_1787702791259[[#This Row],[Costo_Unitario_USD]]</f>
        <v>350</v>
      </c>
      <c r="P531" s="12">
        <f>+gemini_code_1787702791259[[#This Row],[venta total]]-gemini_code_1787702791259[[#This Row],[Costo total]]</f>
        <v>300</v>
      </c>
      <c r="Q531" s="2">
        <f>gemini_code_1787702791259[[#This Row],[Ganancia bruta]]/gemini_code_1787702791259[[#This Row],[venta total]]</f>
        <v>0.46153846153846156</v>
      </c>
      <c r="R531" t="str">
        <f>IF(gemini_code_1787702791259[[#This Row],[Dias_Entrega]]&lt;=gemini_code_1787702791259[[#This Row],[Promesa_SLA_Dias]],"A tiempo","Fuera de SLA")</f>
        <v>A tiempo</v>
      </c>
    </row>
    <row r="532" spans="1:18" x14ac:dyDescent="0.25">
      <c r="A532" t="s">
        <v>65</v>
      </c>
      <c r="B532" s="1">
        <v>46241</v>
      </c>
      <c r="C532" t="s">
        <v>26</v>
      </c>
      <c r="D532" t="s">
        <v>27</v>
      </c>
      <c r="E532" t="s">
        <v>16</v>
      </c>
      <c r="F532" t="s">
        <v>17</v>
      </c>
      <c r="G532" t="s">
        <v>66</v>
      </c>
      <c r="H532">
        <v>2</v>
      </c>
      <c r="I532" s="12">
        <v>500</v>
      </c>
      <c r="J532" s="12">
        <v>380</v>
      </c>
      <c r="K532">
        <v>6</v>
      </c>
      <c r="L532">
        <v>4</v>
      </c>
      <c r="M532">
        <v>900</v>
      </c>
      <c r="N532" s="12">
        <f>+gemini_code_1787702791259[[#This Row],[Cantidad]]*gemini_code_1787702791259[[#This Row],[Precio_Unitario_USD]]</f>
        <v>1000</v>
      </c>
      <c r="O532" s="12">
        <f>+gemini_code_1787702791259[[#This Row],[Cantidad]]*gemini_code_1787702791259[[#This Row],[Costo_Unitario_USD]]</f>
        <v>760</v>
      </c>
      <c r="P532" s="12">
        <f>+gemini_code_1787702791259[[#This Row],[venta total]]-gemini_code_1787702791259[[#This Row],[Costo total]]</f>
        <v>240</v>
      </c>
      <c r="Q532" s="2">
        <f>gemini_code_1787702791259[[#This Row],[Ganancia bruta]]/gemini_code_1787702791259[[#This Row],[venta total]]</f>
        <v>0.24</v>
      </c>
      <c r="R532" t="str">
        <f>IF(gemini_code_1787702791259[[#This Row],[Dias_Entrega]]&lt;=gemini_code_1787702791259[[#This Row],[Promesa_SLA_Dias]],"A tiempo","Fuera de SLA")</f>
        <v>Fuera de SLA</v>
      </c>
    </row>
    <row r="533" spans="1:18" x14ac:dyDescent="0.25">
      <c r="A533" t="s">
        <v>67</v>
      </c>
      <c r="B533" s="1">
        <v>46242</v>
      </c>
      <c r="C533" t="s">
        <v>14</v>
      </c>
      <c r="D533" t="s">
        <v>15</v>
      </c>
      <c r="E533" t="s">
        <v>16</v>
      </c>
      <c r="F533" t="s">
        <v>23</v>
      </c>
      <c r="G533" t="s">
        <v>68</v>
      </c>
      <c r="H533">
        <v>3</v>
      </c>
      <c r="I533" s="12">
        <v>95</v>
      </c>
      <c r="J533" s="12">
        <v>45</v>
      </c>
      <c r="K533">
        <v>2</v>
      </c>
      <c r="L533">
        <v>3</v>
      </c>
      <c r="M533">
        <v>300</v>
      </c>
      <c r="N533" s="12">
        <f>+gemini_code_1787702791259[[#This Row],[Cantidad]]*gemini_code_1787702791259[[#This Row],[Precio_Unitario_USD]]</f>
        <v>285</v>
      </c>
      <c r="O533" s="12">
        <f>+gemini_code_1787702791259[[#This Row],[Cantidad]]*gemini_code_1787702791259[[#This Row],[Costo_Unitario_USD]]</f>
        <v>135</v>
      </c>
      <c r="P533" s="12">
        <f>+gemini_code_1787702791259[[#This Row],[venta total]]-gemini_code_1787702791259[[#This Row],[Costo total]]</f>
        <v>150</v>
      </c>
      <c r="Q533" s="2">
        <f>gemini_code_1787702791259[[#This Row],[Ganancia bruta]]/gemini_code_1787702791259[[#This Row],[venta total]]</f>
        <v>0.52631578947368418</v>
      </c>
      <c r="R533" t="str">
        <f>IF(gemini_code_1787702791259[[#This Row],[Dias_Entrega]]&lt;=gemini_code_1787702791259[[#This Row],[Promesa_SLA_Dias]],"A tiempo","Fuera de SLA")</f>
        <v>A tiempo</v>
      </c>
    </row>
    <row r="534" spans="1:18" x14ac:dyDescent="0.25">
      <c r="A534" t="s">
        <v>69</v>
      </c>
      <c r="B534" s="1">
        <v>46242</v>
      </c>
      <c r="C534" t="s">
        <v>20</v>
      </c>
      <c r="D534" t="s">
        <v>21</v>
      </c>
      <c r="E534" t="s">
        <v>16</v>
      </c>
      <c r="F534" t="s">
        <v>28</v>
      </c>
      <c r="G534" t="s">
        <v>70</v>
      </c>
      <c r="H534">
        <v>4</v>
      </c>
      <c r="I534" s="12">
        <v>160</v>
      </c>
      <c r="J534" s="12">
        <v>95</v>
      </c>
      <c r="K534">
        <v>2</v>
      </c>
      <c r="L534">
        <v>3</v>
      </c>
      <c r="M534">
        <v>600</v>
      </c>
      <c r="N534" s="12">
        <f>+gemini_code_1787702791259[[#This Row],[Cantidad]]*gemini_code_1787702791259[[#This Row],[Precio_Unitario_USD]]</f>
        <v>640</v>
      </c>
      <c r="O534" s="12">
        <f>+gemini_code_1787702791259[[#This Row],[Cantidad]]*gemini_code_1787702791259[[#This Row],[Costo_Unitario_USD]]</f>
        <v>380</v>
      </c>
      <c r="P534" s="12">
        <f>+gemini_code_1787702791259[[#This Row],[venta total]]-gemini_code_1787702791259[[#This Row],[Costo total]]</f>
        <v>260</v>
      </c>
      <c r="Q534" s="2">
        <f>gemini_code_1787702791259[[#This Row],[Ganancia bruta]]/gemini_code_1787702791259[[#This Row],[venta total]]</f>
        <v>0.40625</v>
      </c>
      <c r="R534" t="str">
        <f>IF(gemini_code_1787702791259[[#This Row],[Dias_Entrega]]&lt;=gemini_code_1787702791259[[#This Row],[Promesa_SLA_Dias]],"A tiempo","Fuera de SLA")</f>
        <v>A tiempo</v>
      </c>
    </row>
    <row r="535" spans="1:18" x14ac:dyDescent="0.25">
      <c r="A535" t="s">
        <v>71</v>
      </c>
      <c r="B535" s="1">
        <v>46242</v>
      </c>
      <c r="C535" t="s">
        <v>26</v>
      </c>
      <c r="D535" t="s">
        <v>27</v>
      </c>
      <c r="E535" t="s">
        <v>22</v>
      </c>
      <c r="F535" t="s">
        <v>31</v>
      </c>
      <c r="G535" t="s">
        <v>72</v>
      </c>
      <c r="H535">
        <v>7</v>
      </c>
      <c r="I535" s="12">
        <v>90</v>
      </c>
      <c r="J535" s="12">
        <v>45</v>
      </c>
      <c r="K535">
        <v>4</v>
      </c>
      <c r="L535">
        <v>3</v>
      </c>
      <c r="M535">
        <v>600</v>
      </c>
      <c r="N535" s="12">
        <f>+gemini_code_1787702791259[[#This Row],[Cantidad]]*gemini_code_1787702791259[[#This Row],[Precio_Unitario_USD]]</f>
        <v>630</v>
      </c>
      <c r="O535" s="12">
        <f>+gemini_code_1787702791259[[#This Row],[Cantidad]]*gemini_code_1787702791259[[#This Row],[Costo_Unitario_USD]]</f>
        <v>315</v>
      </c>
      <c r="P535" s="12">
        <f>+gemini_code_1787702791259[[#This Row],[venta total]]-gemini_code_1787702791259[[#This Row],[Costo total]]</f>
        <v>315</v>
      </c>
      <c r="Q535" s="2">
        <f>gemini_code_1787702791259[[#This Row],[Ganancia bruta]]/gemini_code_1787702791259[[#This Row],[venta total]]</f>
        <v>0.5</v>
      </c>
      <c r="R535" t="str">
        <f>IF(gemini_code_1787702791259[[#This Row],[Dias_Entrega]]&lt;=gemini_code_1787702791259[[#This Row],[Promesa_SLA_Dias]],"A tiempo","Fuera de SLA")</f>
        <v>Fuera de SLA</v>
      </c>
    </row>
    <row r="536" spans="1:18" x14ac:dyDescent="0.25">
      <c r="A536" t="s">
        <v>73</v>
      </c>
      <c r="B536" s="1">
        <v>46243</v>
      </c>
      <c r="C536" t="s">
        <v>14</v>
      </c>
      <c r="D536" t="s">
        <v>15</v>
      </c>
      <c r="E536" t="s">
        <v>22</v>
      </c>
      <c r="F536" t="s">
        <v>17</v>
      </c>
      <c r="G536" t="s">
        <v>74</v>
      </c>
      <c r="H536">
        <v>3</v>
      </c>
      <c r="I536" s="12">
        <v>310</v>
      </c>
      <c r="J536" s="12">
        <v>210</v>
      </c>
      <c r="K536">
        <v>2</v>
      </c>
      <c r="L536">
        <v>3</v>
      </c>
      <c r="M536">
        <v>900</v>
      </c>
      <c r="N536" s="12">
        <f>+gemini_code_1787702791259[[#This Row],[Cantidad]]*gemini_code_1787702791259[[#This Row],[Precio_Unitario_USD]]</f>
        <v>930</v>
      </c>
      <c r="O536" s="12">
        <f>+gemini_code_1787702791259[[#This Row],[Cantidad]]*gemini_code_1787702791259[[#This Row],[Costo_Unitario_USD]]</f>
        <v>630</v>
      </c>
      <c r="P536" s="12">
        <f>+gemini_code_1787702791259[[#This Row],[venta total]]-gemini_code_1787702791259[[#This Row],[Costo total]]</f>
        <v>300</v>
      </c>
      <c r="Q536" s="2">
        <f>gemini_code_1787702791259[[#This Row],[Ganancia bruta]]/gemini_code_1787702791259[[#This Row],[venta total]]</f>
        <v>0.32258064516129031</v>
      </c>
      <c r="R536" t="str">
        <f>IF(gemini_code_1787702791259[[#This Row],[Dias_Entrega]]&lt;=gemini_code_1787702791259[[#This Row],[Promesa_SLA_Dias]],"A tiempo","Fuera de SLA")</f>
        <v>A tiempo</v>
      </c>
    </row>
    <row r="537" spans="1:18" x14ac:dyDescent="0.25">
      <c r="A537" t="s">
        <v>75</v>
      </c>
      <c r="B537" s="1">
        <v>46243</v>
      </c>
      <c r="C537" t="s">
        <v>20</v>
      </c>
      <c r="D537" t="s">
        <v>21</v>
      </c>
      <c r="E537" t="s">
        <v>16</v>
      </c>
      <c r="F537" t="s">
        <v>23</v>
      </c>
      <c r="G537" t="s">
        <v>76</v>
      </c>
      <c r="H537">
        <v>8</v>
      </c>
      <c r="I537" s="12">
        <v>50</v>
      </c>
      <c r="J537" s="12">
        <v>22</v>
      </c>
      <c r="K537">
        <v>2</v>
      </c>
      <c r="L537">
        <v>3</v>
      </c>
      <c r="M537">
        <v>400</v>
      </c>
      <c r="N537" s="12">
        <f>+gemini_code_1787702791259[[#This Row],[Cantidad]]*gemini_code_1787702791259[[#This Row],[Precio_Unitario_USD]]</f>
        <v>400</v>
      </c>
      <c r="O537" s="12">
        <f>+gemini_code_1787702791259[[#This Row],[Cantidad]]*gemini_code_1787702791259[[#This Row],[Costo_Unitario_USD]]</f>
        <v>176</v>
      </c>
      <c r="P537" s="12">
        <f>+gemini_code_1787702791259[[#This Row],[venta total]]-gemini_code_1787702791259[[#This Row],[Costo total]]</f>
        <v>224</v>
      </c>
      <c r="Q537" s="2">
        <f>gemini_code_1787702791259[[#This Row],[Ganancia bruta]]/gemini_code_1787702791259[[#This Row],[venta total]]</f>
        <v>0.56000000000000005</v>
      </c>
      <c r="R537" t="str">
        <f>IF(gemini_code_1787702791259[[#This Row],[Dias_Entrega]]&lt;=gemini_code_1787702791259[[#This Row],[Promesa_SLA_Dias]],"A tiempo","Fuera de SLA")</f>
        <v>A tiempo</v>
      </c>
    </row>
    <row r="538" spans="1:18" x14ac:dyDescent="0.25">
      <c r="A538" t="s">
        <v>77</v>
      </c>
      <c r="B538" s="1">
        <v>46243</v>
      </c>
      <c r="C538" t="s">
        <v>26</v>
      </c>
      <c r="D538" t="s">
        <v>27</v>
      </c>
      <c r="E538" t="s">
        <v>16</v>
      </c>
      <c r="F538" t="s">
        <v>28</v>
      </c>
      <c r="G538" t="s">
        <v>78</v>
      </c>
      <c r="H538">
        <v>1</v>
      </c>
      <c r="I538" s="12">
        <v>750</v>
      </c>
      <c r="J538" s="12">
        <v>480</v>
      </c>
      <c r="K538">
        <v>8</v>
      </c>
      <c r="L538">
        <v>4</v>
      </c>
      <c r="M538">
        <v>700</v>
      </c>
      <c r="N538" s="12">
        <f>+gemini_code_1787702791259[[#This Row],[Cantidad]]*gemini_code_1787702791259[[#This Row],[Precio_Unitario_USD]]</f>
        <v>750</v>
      </c>
      <c r="O538" s="12">
        <f>+gemini_code_1787702791259[[#This Row],[Cantidad]]*gemini_code_1787702791259[[#This Row],[Costo_Unitario_USD]]</f>
        <v>480</v>
      </c>
      <c r="P538" s="12">
        <f>+gemini_code_1787702791259[[#This Row],[venta total]]-gemini_code_1787702791259[[#This Row],[Costo total]]</f>
        <v>270</v>
      </c>
      <c r="Q538" s="2">
        <f>gemini_code_1787702791259[[#This Row],[Ganancia bruta]]/gemini_code_1787702791259[[#This Row],[venta total]]</f>
        <v>0.36</v>
      </c>
      <c r="R538" t="str">
        <f>IF(gemini_code_1787702791259[[#This Row],[Dias_Entrega]]&lt;=gemini_code_1787702791259[[#This Row],[Promesa_SLA_Dias]],"A tiempo","Fuera de SLA")</f>
        <v>Fuera de SLA</v>
      </c>
    </row>
    <row r="539" spans="1:18" x14ac:dyDescent="0.25">
      <c r="A539" t="s">
        <v>79</v>
      </c>
      <c r="B539" s="1">
        <v>46244</v>
      </c>
      <c r="C539" t="s">
        <v>14</v>
      </c>
      <c r="D539" t="s">
        <v>15</v>
      </c>
      <c r="E539" t="s">
        <v>16</v>
      </c>
      <c r="F539" t="s">
        <v>31</v>
      </c>
      <c r="G539" t="s">
        <v>80</v>
      </c>
      <c r="H539">
        <v>4</v>
      </c>
      <c r="I539" s="12">
        <v>140</v>
      </c>
      <c r="J539" s="12">
        <v>75</v>
      </c>
      <c r="K539">
        <v>3</v>
      </c>
      <c r="L539">
        <v>3</v>
      </c>
      <c r="M539">
        <v>500</v>
      </c>
      <c r="N539" s="12">
        <f>+gemini_code_1787702791259[[#This Row],[Cantidad]]*gemini_code_1787702791259[[#This Row],[Precio_Unitario_USD]]</f>
        <v>560</v>
      </c>
      <c r="O539" s="12">
        <f>+gemini_code_1787702791259[[#This Row],[Cantidad]]*gemini_code_1787702791259[[#This Row],[Costo_Unitario_USD]]</f>
        <v>300</v>
      </c>
      <c r="P539" s="12">
        <f>+gemini_code_1787702791259[[#This Row],[venta total]]-gemini_code_1787702791259[[#This Row],[Costo total]]</f>
        <v>260</v>
      </c>
      <c r="Q539" s="2">
        <f>gemini_code_1787702791259[[#This Row],[Ganancia bruta]]/gemini_code_1787702791259[[#This Row],[venta total]]</f>
        <v>0.4642857142857143</v>
      </c>
      <c r="R539" t="str">
        <f>IF(gemini_code_1787702791259[[#This Row],[Dias_Entrega]]&lt;=gemini_code_1787702791259[[#This Row],[Promesa_SLA_Dias]],"A tiempo","Fuera de SLA")</f>
        <v>A tiempo</v>
      </c>
    </row>
    <row r="540" spans="1:18" x14ac:dyDescent="0.25">
      <c r="A540" t="s">
        <v>81</v>
      </c>
      <c r="B540" s="1">
        <v>46244</v>
      </c>
      <c r="C540" t="s">
        <v>20</v>
      </c>
      <c r="D540" t="s">
        <v>21</v>
      </c>
      <c r="E540" t="s">
        <v>22</v>
      </c>
      <c r="F540" t="s">
        <v>17</v>
      </c>
      <c r="G540" t="s">
        <v>82</v>
      </c>
      <c r="H540">
        <v>6</v>
      </c>
      <c r="I540" s="12">
        <v>90</v>
      </c>
      <c r="J540" s="12">
        <v>50</v>
      </c>
      <c r="K540">
        <v>1</v>
      </c>
      <c r="L540">
        <v>2</v>
      </c>
      <c r="M540">
        <v>500</v>
      </c>
      <c r="N540" s="12">
        <f>+gemini_code_1787702791259[[#This Row],[Cantidad]]*gemini_code_1787702791259[[#This Row],[Precio_Unitario_USD]]</f>
        <v>540</v>
      </c>
      <c r="O540" s="12">
        <f>+gemini_code_1787702791259[[#This Row],[Cantidad]]*gemini_code_1787702791259[[#This Row],[Costo_Unitario_USD]]</f>
        <v>300</v>
      </c>
      <c r="P540" s="12">
        <f>+gemini_code_1787702791259[[#This Row],[venta total]]-gemini_code_1787702791259[[#This Row],[Costo total]]</f>
        <v>240</v>
      </c>
      <c r="Q540" s="2">
        <f>gemini_code_1787702791259[[#This Row],[Ganancia bruta]]/gemini_code_1787702791259[[#This Row],[venta total]]</f>
        <v>0.44444444444444442</v>
      </c>
      <c r="R540" t="str">
        <f>IF(gemini_code_1787702791259[[#This Row],[Dias_Entrega]]&lt;=gemini_code_1787702791259[[#This Row],[Promesa_SLA_Dias]],"A tiempo","Fuera de SLA")</f>
        <v>A tiempo</v>
      </c>
    </row>
    <row r="541" spans="1:18" x14ac:dyDescent="0.25">
      <c r="A541" t="s">
        <v>83</v>
      </c>
      <c r="B541" s="1">
        <v>46244</v>
      </c>
      <c r="C541" t="s">
        <v>26</v>
      </c>
      <c r="D541" t="s">
        <v>27</v>
      </c>
      <c r="E541" t="s">
        <v>16</v>
      </c>
      <c r="F541" t="s">
        <v>23</v>
      </c>
      <c r="G541" t="s">
        <v>84</v>
      </c>
      <c r="H541">
        <v>6</v>
      </c>
      <c r="I541" s="12">
        <v>60</v>
      </c>
      <c r="J541" s="12">
        <v>28</v>
      </c>
      <c r="K541">
        <v>5</v>
      </c>
      <c r="L541">
        <v>3</v>
      </c>
      <c r="M541">
        <v>350</v>
      </c>
      <c r="N541" s="12">
        <f>+gemini_code_1787702791259[[#This Row],[Cantidad]]*gemini_code_1787702791259[[#This Row],[Precio_Unitario_USD]]</f>
        <v>360</v>
      </c>
      <c r="O541" s="12">
        <f>+gemini_code_1787702791259[[#This Row],[Cantidad]]*gemini_code_1787702791259[[#This Row],[Costo_Unitario_USD]]</f>
        <v>168</v>
      </c>
      <c r="P541" s="12">
        <f>+gemini_code_1787702791259[[#This Row],[venta total]]-gemini_code_1787702791259[[#This Row],[Costo total]]</f>
        <v>192</v>
      </c>
      <c r="Q541" s="2">
        <f>gemini_code_1787702791259[[#This Row],[Ganancia bruta]]/gemini_code_1787702791259[[#This Row],[venta total]]</f>
        <v>0.53333333333333333</v>
      </c>
      <c r="R541" t="str">
        <f>IF(gemini_code_1787702791259[[#This Row],[Dias_Entrega]]&lt;=gemini_code_1787702791259[[#This Row],[Promesa_SLA_Dias]],"A tiempo","Fuera de SLA")</f>
        <v>Fuera de SLA</v>
      </c>
    </row>
    <row r="542" spans="1:18" x14ac:dyDescent="0.25">
      <c r="A542" t="s">
        <v>13</v>
      </c>
      <c r="B542" s="1">
        <v>46235</v>
      </c>
      <c r="C542" t="s">
        <v>14</v>
      </c>
      <c r="D542" t="s">
        <v>15</v>
      </c>
      <c r="E542" t="s">
        <v>16</v>
      </c>
      <c r="F542" t="s">
        <v>17</v>
      </c>
      <c r="G542" t="s">
        <v>18</v>
      </c>
      <c r="H542">
        <v>2</v>
      </c>
      <c r="I542" s="12">
        <v>850</v>
      </c>
      <c r="J542" s="12">
        <v>600</v>
      </c>
      <c r="K542">
        <v>2</v>
      </c>
      <c r="L542">
        <v>3</v>
      </c>
      <c r="M542">
        <v>1500</v>
      </c>
      <c r="N542" s="12">
        <f>+gemini_code_1787702791259[[#This Row],[Cantidad]]*gemini_code_1787702791259[[#This Row],[Precio_Unitario_USD]]</f>
        <v>1700</v>
      </c>
      <c r="O542" s="12">
        <f>+gemini_code_1787702791259[[#This Row],[Cantidad]]*gemini_code_1787702791259[[#This Row],[Costo_Unitario_USD]]</f>
        <v>1200</v>
      </c>
      <c r="P542" s="12">
        <f>+gemini_code_1787702791259[[#This Row],[venta total]]-gemini_code_1787702791259[[#This Row],[Costo total]]</f>
        <v>500</v>
      </c>
      <c r="Q542" s="2">
        <f>gemini_code_1787702791259[[#This Row],[Ganancia bruta]]/gemini_code_1787702791259[[#This Row],[venta total]]</f>
        <v>0.29411764705882354</v>
      </c>
      <c r="R542" t="str">
        <f>IF(gemini_code_1787702791259[[#This Row],[Dias_Entrega]]&lt;=gemini_code_1787702791259[[#This Row],[Promesa_SLA_Dias]],"A tiempo","Fuera de SLA")</f>
        <v>A tiempo</v>
      </c>
    </row>
    <row r="543" spans="1:18" x14ac:dyDescent="0.25">
      <c r="A543" t="s">
        <v>19</v>
      </c>
      <c r="B543" s="1">
        <v>46235</v>
      </c>
      <c r="C543" t="s">
        <v>20</v>
      </c>
      <c r="D543" t="s">
        <v>21</v>
      </c>
      <c r="E543" t="s">
        <v>22</v>
      </c>
      <c r="F543" t="s">
        <v>23</v>
      </c>
      <c r="G543" t="s">
        <v>24</v>
      </c>
      <c r="H543">
        <v>5</v>
      </c>
      <c r="I543" s="12">
        <v>120</v>
      </c>
      <c r="J543" s="12">
        <v>70</v>
      </c>
      <c r="K543">
        <v>3</v>
      </c>
      <c r="L543">
        <v>3</v>
      </c>
      <c r="M543">
        <v>500</v>
      </c>
      <c r="N543" s="12">
        <f>+gemini_code_1787702791259[[#This Row],[Cantidad]]*gemini_code_1787702791259[[#This Row],[Precio_Unitario_USD]]</f>
        <v>600</v>
      </c>
      <c r="O543" s="12">
        <f>+gemini_code_1787702791259[[#This Row],[Cantidad]]*gemini_code_1787702791259[[#This Row],[Costo_Unitario_USD]]</f>
        <v>350</v>
      </c>
      <c r="P543" s="12">
        <f>+gemini_code_1787702791259[[#This Row],[venta total]]-gemini_code_1787702791259[[#This Row],[Costo total]]</f>
        <v>250</v>
      </c>
      <c r="Q543" s="2">
        <f>gemini_code_1787702791259[[#This Row],[Ganancia bruta]]/gemini_code_1787702791259[[#This Row],[venta total]]</f>
        <v>0.41666666666666669</v>
      </c>
      <c r="R543" t="str">
        <f>IF(gemini_code_1787702791259[[#This Row],[Dias_Entrega]]&lt;=gemini_code_1787702791259[[#This Row],[Promesa_SLA_Dias]],"A tiempo","Fuera de SLA")</f>
        <v>A tiempo</v>
      </c>
    </row>
    <row r="544" spans="1:18" x14ac:dyDescent="0.25">
      <c r="A544" t="s">
        <v>25</v>
      </c>
      <c r="B544" s="1">
        <v>46235</v>
      </c>
      <c r="C544" t="s">
        <v>26</v>
      </c>
      <c r="D544" t="s">
        <v>27</v>
      </c>
      <c r="E544" t="s">
        <v>16</v>
      </c>
      <c r="F544" t="s">
        <v>28</v>
      </c>
      <c r="G544" t="s">
        <v>29</v>
      </c>
      <c r="H544">
        <v>3</v>
      </c>
      <c r="I544" s="12">
        <v>90</v>
      </c>
      <c r="J544" s="12">
        <v>50</v>
      </c>
      <c r="K544">
        <v>6</v>
      </c>
      <c r="L544">
        <v>4</v>
      </c>
      <c r="M544">
        <v>300</v>
      </c>
      <c r="N544" s="12">
        <f>+gemini_code_1787702791259[[#This Row],[Cantidad]]*gemini_code_1787702791259[[#This Row],[Precio_Unitario_USD]]</f>
        <v>270</v>
      </c>
      <c r="O544" s="12">
        <f>+gemini_code_1787702791259[[#This Row],[Cantidad]]*gemini_code_1787702791259[[#This Row],[Costo_Unitario_USD]]</f>
        <v>150</v>
      </c>
      <c r="P544" s="12">
        <f>+gemini_code_1787702791259[[#This Row],[venta total]]-gemini_code_1787702791259[[#This Row],[Costo total]]</f>
        <v>120</v>
      </c>
      <c r="Q544" s="2">
        <f>gemini_code_1787702791259[[#This Row],[Ganancia bruta]]/gemini_code_1787702791259[[#This Row],[venta total]]</f>
        <v>0.44444444444444442</v>
      </c>
      <c r="R544" t="str">
        <f>IF(gemini_code_1787702791259[[#This Row],[Dias_Entrega]]&lt;=gemini_code_1787702791259[[#This Row],[Promesa_SLA_Dias]],"A tiempo","Fuera de SLA")</f>
        <v>Fuera de SLA</v>
      </c>
    </row>
    <row r="545" spans="1:18" x14ac:dyDescent="0.25">
      <c r="A545" t="s">
        <v>30</v>
      </c>
      <c r="B545" s="1">
        <v>46236</v>
      </c>
      <c r="C545" t="s">
        <v>14</v>
      </c>
      <c r="D545" t="s">
        <v>15</v>
      </c>
      <c r="E545" t="s">
        <v>22</v>
      </c>
      <c r="F545" t="s">
        <v>31</v>
      </c>
      <c r="G545" t="s">
        <v>32</v>
      </c>
      <c r="H545">
        <v>4</v>
      </c>
      <c r="I545" s="12">
        <v>110</v>
      </c>
      <c r="J545" s="12">
        <v>60</v>
      </c>
      <c r="K545">
        <v>1</v>
      </c>
      <c r="L545">
        <v>2</v>
      </c>
      <c r="M545">
        <v>400</v>
      </c>
      <c r="N545" s="12">
        <f>+gemini_code_1787702791259[[#This Row],[Cantidad]]*gemini_code_1787702791259[[#This Row],[Precio_Unitario_USD]]</f>
        <v>440</v>
      </c>
      <c r="O545" s="12">
        <f>+gemini_code_1787702791259[[#This Row],[Cantidad]]*gemini_code_1787702791259[[#This Row],[Costo_Unitario_USD]]</f>
        <v>240</v>
      </c>
      <c r="P545" s="12">
        <f>+gemini_code_1787702791259[[#This Row],[venta total]]-gemini_code_1787702791259[[#This Row],[Costo total]]</f>
        <v>200</v>
      </c>
      <c r="Q545" s="2">
        <f>gemini_code_1787702791259[[#This Row],[Ganancia bruta]]/gemini_code_1787702791259[[#This Row],[venta total]]</f>
        <v>0.45454545454545453</v>
      </c>
      <c r="R545" t="str">
        <f>IF(gemini_code_1787702791259[[#This Row],[Dias_Entrega]]&lt;=gemini_code_1787702791259[[#This Row],[Promesa_SLA_Dias]],"A tiempo","Fuera de SLA")</f>
        <v>A tiempo</v>
      </c>
    </row>
    <row r="546" spans="1:18" x14ac:dyDescent="0.25">
      <c r="A546" t="s">
        <v>33</v>
      </c>
      <c r="B546" s="1">
        <v>46236</v>
      </c>
      <c r="C546" t="s">
        <v>20</v>
      </c>
      <c r="D546" t="s">
        <v>21</v>
      </c>
      <c r="E546" t="s">
        <v>16</v>
      </c>
      <c r="F546" t="s">
        <v>17</v>
      </c>
      <c r="G546" t="s">
        <v>34</v>
      </c>
      <c r="H546">
        <v>3</v>
      </c>
      <c r="I546" s="12">
        <v>650</v>
      </c>
      <c r="J546" s="12">
        <v>450</v>
      </c>
      <c r="K546">
        <v>2</v>
      </c>
      <c r="L546">
        <v>3</v>
      </c>
      <c r="M546">
        <v>1800</v>
      </c>
      <c r="N546" s="12">
        <f>+gemini_code_1787702791259[[#This Row],[Cantidad]]*gemini_code_1787702791259[[#This Row],[Precio_Unitario_USD]]</f>
        <v>1950</v>
      </c>
      <c r="O546" s="12">
        <f>+gemini_code_1787702791259[[#This Row],[Cantidad]]*gemini_code_1787702791259[[#This Row],[Costo_Unitario_USD]]</f>
        <v>1350</v>
      </c>
      <c r="P546" s="12">
        <f>+gemini_code_1787702791259[[#This Row],[venta total]]-gemini_code_1787702791259[[#This Row],[Costo total]]</f>
        <v>600</v>
      </c>
      <c r="Q546" s="2">
        <f>gemini_code_1787702791259[[#This Row],[Ganancia bruta]]/gemini_code_1787702791259[[#This Row],[venta total]]</f>
        <v>0.30769230769230771</v>
      </c>
      <c r="R546" t="str">
        <f>IF(gemini_code_1787702791259[[#This Row],[Dias_Entrega]]&lt;=gemini_code_1787702791259[[#This Row],[Promesa_SLA_Dias]],"A tiempo","Fuera de SLA")</f>
        <v>A tiempo</v>
      </c>
    </row>
    <row r="547" spans="1:18" x14ac:dyDescent="0.25">
      <c r="A547" t="s">
        <v>35</v>
      </c>
      <c r="B547" s="1">
        <v>46236</v>
      </c>
      <c r="C547" t="s">
        <v>26</v>
      </c>
      <c r="D547" t="s">
        <v>27</v>
      </c>
      <c r="E547" t="s">
        <v>16</v>
      </c>
      <c r="F547" t="s">
        <v>23</v>
      </c>
      <c r="G547" t="s">
        <v>36</v>
      </c>
      <c r="H547">
        <v>8</v>
      </c>
      <c r="I547" s="12">
        <v>45</v>
      </c>
      <c r="J547" s="12">
        <v>20</v>
      </c>
      <c r="K547">
        <v>5</v>
      </c>
      <c r="L547">
        <v>3</v>
      </c>
      <c r="M547">
        <v>400</v>
      </c>
      <c r="N547" s="12">
        <f>+gemini_code_1787702791259[[#This Row],[Cantidad]]*gemini_code_1787702791259[[#This Row],[Precio_Unitario_USD]]</f>
        <v>360</v>
      </c>
      <c r="O547" s="12">
        <f>+gemini_code_1787702791259[[#This Row],[Cantidad]]*gemini_code_1787702791259[[#This Row],[Costo_Unitario_USD]]</f>
        <v>160</v>
      </c>
      <c r="P547" s="12">
        <f>+gemini_code_1787702791259[[#This Row],[venta total]]-gemini_code_1787702791259[[#This Row],[Costo total]]</f>
        <v>200</v>
      </c>
      <c r="Q547" s="2">
        <f>gemini_code_1787702791259[[#This Row],[Ganancia bruta]]/gemini_code_1787702791259[[#This Row],[venta total]]</f>
        <v>0.55555555555555558</v>
      </c>
      <c r="R547" t="str">
        <f>IF(gemini_code_1787702791259[[#This Row],[Dias_Entrega]]&lt;=gemini_code_1787702791259[[#This Row],[Promesa_SLA_Dias]],"A tiempo","Fuera de SLA")</f>
        <v>Fuera de SLA</v>
      </c>
    </row>
    <row r="548" spans="1:18" x14ac:dyDescent="0.25">
      <c r="A548" t="s">
        <v>37</v>
      </c>
      <c r="B548" s="1">
        <v>46237</v>
      </c>
      <c r="C548" t="s">
        <v>14</v>
      </c>
      <c r="D548" t="s">
        <v>15</v>
      </c>
      <c r="E548" t="s">
        <v>16</v>
      </c>
      <c r="F548" t="s">
        <v>28</v>
      </c>
      <c r="G548" t="s">
        <v>38</v>
      </c>
      <c r="H548">
        <v>2</v>
      </c>
      <c r="I548" s="12">
        <v>280</v>
      </c>
      <c r="J548" s="12">
        <v>180</v>
      </c>
      <c r="K548">
        <v>3</v>
      </c>
      <c r="L548">
        <v>3</v>
      </c>
      <c r="M548">
        <v>500</v>
      </c>
      <c r="N548" s="12">
        <f>+gemini_code_1787702791259[[#This Row],[Cantidad]]*gemini_code_1787702791259[[#This Row],[Precio_Unitario_USD]]</f>
        <v>560</v>
      </c>
      <c r="O548" s="12">
        <f>+gemini_code_1787702791259[[#This Row],[Cantidad]]*gemini_code_1787702791259[[#This Row],[Costo_Unitario_USD]]</f>
        <v>360</v>
      </c>
      <c r="P548" s="12">
        <f>+gemini_code_1787702791259[[#This Row],[venta total]]-gemini_code_1787702791259[[#This Row],[Costo total]]</f>
        <v>200</v>
      </c>
      <c r="Q548" s="2">
        <f>gemini_code_1787702791259[[#This Row],[Ganancia bruta]]/gemini_code_1787702791259[[#This Row],[venta total]]</f>
        <v>0.35714285714285715</v>
      </c>
      <c r="R548" t="str">
        <f>IF(gemini_code_1787702791259[[#This Row],[Dias_Entrega]]&lt;=gemini_code_1787702791259[[#This Row],[Promesa_SLA_Dias]],"A tiempo","Fuera de SLA")</f>
        <v>A tiempo</v>
      </c>
    </row>
    <row r="549" spans="1:18" x14ac:dyDescent="0.25">
      <c r="A549" t="s">
        <v>39</v>
      </c>
      <c r="B549" s="1">
        <v>46237</v>
      </c>
      <c r="C549" t="s">
        <v>20</v>
      </c>
      <c r="D549" t="s">
        <v>21</v>
      </c>
      <c r="E549" t="s">
        <v>22</v>
      </c>
      <c r="F549" t="s">
        <v>31</v>
      </c>
      <c r="G549" t="s">
        <v>40</v>
      </c>
      <c r="H549">
        <v>3</v>
      </c>
      <c r="I549" s="12">
        <v>150</v>
      </c>
      <c r="J549" s="12">
        <v>85</v>
      </c>
      <c r="K549">
        <v>2</v>
      </c>
      <c r="L549">
        <v>2</v>
      </c>
      <c r="M549">
        <v>400</v>
      </c>
      <c r="N549" s="12">
        <f>+gemini_code_1787702791259[[#This Row],[Cantidad]]*gemini_code_1787702791259[[#This Row],[Precio_Unitario_USD]]</f>
        <v>450</v>
      </c>
      <c r="O549" s="12">
        <f>+gemini_code_1787702791259[[#This Row],[Cantidad]]*gemini_code_1787702791259[[#This Row],[Costo_Unitario_USD]]</f>
        <v>255</v>
      </c>
      <c r="P549" s="12">
        <f>+gemini_code_1787702791259[[#This Row],[venta total]]-gemini_code_1787702791259[[#This Row],[Costo total]]</f>
        <v>195</v>
      </c>
      <c r="Q549" s="2">
        <f>gemini_code_1787702791259[[#This Row],[Ganancia bruta]]/gemini_code_1787702791259[[#This Row],[venta total]]</f>
        <v>0.43333333333333335</v>
      </c>
      <c r="R549" t="str">
        <f>IF(gemini_code_1787702791259[[#This Row],[Dias_Entrega]]&lt;=gemini_code_1787702791259[[#This Row],[Promesa_SLA_Dias]],"A tiempo","Fuera de SLA")</f>
        <v>A tiempo</v>
      </c>
    </row>
    <row r="550" spans="1:18" x14ac:dyDescent="0.25">
      <c r="A550" t="s">
        <v>41</v>
      </c>
      <c r="B550" s="1">
        <v>46237</v>
      </c>
      <c r="C550" t="s">
        <v>26</v>
      </c>
      <c r="D550" t="s">
        <v>27</v>
      </c>
      <c r="E550" t="s">
        <v>16</v>
      </c>
      <c r="F550" t="s">
        <v>17</v>
      </c>
      <c r="G550" t="s">
        <v>42</v>
      </c>
      <c r="H550">
        <v>2</v>
      </c>
      <c r="I550" s="12">
        <v>520</v>
      </c>
      <c r="J550" s="12">
        <v>380</v>
      </c>
      <c r="K550">
        <v>7</v>
      </c>
      <c r="L550">
        <v>4</v>
      </c>
      <c r="M550">
        <v>1000</v>
      </c>
      <c r="N550" s="12">
        <f>+gemini_code_1787702791259[[#This Row],[Cantidad]]*gemini_code_1787702791259[[#This Row],[Precio_Unitario_USD]]</f>
        <v>1040</v>
      </c>
      <c r="O550" s="12">
        <f>+gemini_code_1787702791259[[#This Row],[Cantidad]]*gemini_code_1787702791259[[#This Row],[Costo_Unitario_USD]]</f>
        <v>760</v>
      </c>
      <c r="P550" s="12">
        <f>+gemini_code_1787702791259[[#This Row],[venta total]]-gemini_code_1787702791259[[#This Row],[Costo total]]</f>
        <v>280</v>
      </c>
      <c r="Q550" s="2">
        <f>gemini_code_1787702791259[[#This Row],[Ganancia bruta]]/gemini_code_1787702791259[[#This Row],[venta total]]</f>
        <v>0.26923076923076922</v>
      </c>
      <c r="R550" t="str">
        <f>IF(gemini_code_1787702791259[[#This Row],[Dias_Entrega]]&lt;=gemini_code_1787702791259[[#This Row],[Promesa_SLA_Dias]],"A tiempo","Fuera de SLA")</f>
        <v>Fuera de SLA</v>
      </c>
    </row>
    <row r="551" spans="1:18" x14ac:dyDescent="0.25">
      <c r="A551" t="s">
        <v>43</v>
      </c>
      <c r="B551" s="1">
        <v>46238</v>
      </c>
      <c r="C551" t="s">
        <v>14</v>
      </c>
      <c r="D551" t="s">
        <v>15</v>
      </c>
      <c r="E551" t="s">
        <v>22</v>
      </c>
      <c r="F551" t="s">
        <v>23</v>
      </c>
      <c r="G551" t="s">
        <v>44</v>
      </c>
      <c r="H551">
        <v>6</v>
      </c>
      <c r="I551" s="12">
        <v>55</v>
      </c>
      <c r="J551" s="12">
        <v>25</v>
      </c>
      <c r="K551">
        <v>2</v>
      </c>
      <c r="L551">
        <v>3</v>
      </c>
      <c r="M551">
        <v>300</v>
      </c>
      <c r="N551" s="12">
        <f>+gemini_code_1787702791259[[#This Row],[Cantidad]]*gemini_code_1787702791259[[#This Row],[Precio_Unitario_USD]]</f>
        <v>330</v>
      </c>
      <c r="O551" s="12">
        <f>+gemini_code_1787702791259[[#This Row],[Cantidad]]*gemini_code_1787702791259[[#This Row],[Costo_Unitario_USD]]</f>
        <v>150</v>
      </c>
      <c r="P551" s="12">
        <f>+gemini_code_1787702791259[[#This Row],[venta total]]-gemini_code_1787702791259[[#This Row],[Costo total]]</f>
        <v>180</v>
      </c>
      <c r="Q551" s="2">
        <f>gemini_code_1787702791259[[#This Row],[Ganancia bruta]]/gemini_code_1787702791259[[#This Row],[venta total]]</f>
        <v>0.54545454545454541</v>
      </c>
      <c r="R551" t="str">
        <f>IF(gemini_code_1787702791259[[#This Row],[Dias_Entrega]]&lt;=gemini_code_1787702791259[[#This Row],[Promesa_SLA_Dias]],"A tiempo","Fuera de SLA")</f>
        <v>A tiempo</v>
      </c>
    </row>
    <row r="552" spans="1:18" x14ac:dyDescent="0.25">
      <c r="A552" t="s">
        <v>45</v>
      </c>
      <c r="B552" s="1">
        <v>46238</v>
      </c>
      <c r="C552" t="s">
        <v>20</v>
      </c>
      <c r="D552" t="s">
        <v>21</v>
      </c>
      <c r="E552" t="s">
        <v>16</v>
      </c>
      <c r="F552" t="s">
        <v>28</v>
      </c>
      <c r="G552" t="s">
        <v>46</v>
      </c>
      <c r="H552">
        <v>1</v>
      </c>
      <c r="I552" s="12">
        <v>450</v>
      </c>
      <c r="J552" s="12">
        <v>290</v>
      </c>
      <c r="K552">
        <v>4</v>
      </c>
      <c r="L552">
        <v>3</v>
      </c>
      <c r="M552">
        <v>400</v>
      </c>
      <c r="N552" s="12">
        <f>+gemini_code_1787702791259[[#This Row],[Cantidad]]*gemini_code_1787702791259[[#This Row],[Precio_Unitario_USD]]</f>
        <v>450</v>
      </c>
      <c r="O552" s="12">
        <f>+gemini_code_1787702791259[[#This Row],[Cantidad]]*gemini_code_1787702791259[[#This Row],[Costo_Unitario_USD]]</f>
        <v>290</v>
      </c>
      <c r="P552" s="12">
        <f>+gemini_code_1787702791259[[#This Row],[venta total]]-gemini_code_1787702791259[[#This Row],[Costo total]]</f>
        <v>160</v>
      </c>
      <c r="Q552" s="2">
        <f>gemini_code_1787702791259[[#This Row],[Ganancia bruta]]/gemini_code_1787702791259[[#This Row],[venta total]]</f>
        <v>0.35555555555555557</v>
      </c>
      <c r="R552" t="str">
        <f>IF(gemini_code_1787702791259[[#This Row],[Dias_Entrega]]&lt;=gemini_code_1787702791259[[#This Row],[Promesa_SLA_Dias]],"A tiempo","Fuera de SLA")</f>
        <v>Fuera de SLA</v>
      </c>
    </row>
    <row r="553" spans="1:18" x14ac:dyDescent="0.25">
      <c r="A553" t="s">
        <v>47</v>
      </c>
      <c r="B553" s="1">
        <v>46238</v>
      </c>
      <c r="C553" t="s">
        <v>26</v>
      </c>
      <c r="D553" t="s">
        <v>27</v>
      </c>
      <c r="E553" t="s">
        <v>22</v>
      </c>
      <c r="F553" t="s">
        <v>31</v>
      </c>
      <c r="G553" t="s">
        <v>48</v>
      </c>
      <c r="H553">
        <v>10</v>
      </c>
      <c r="I553" s="12">
        <v>35</v>
      </c>
      <c r="J553" s="12">
        <v>15</v>
      </c>
      <c r="K553">
        <v>4</v>
      </c>
      <c r="L553">
        <v>3</v>
      </c>
      <c r="M553">
        <v>300</v>
      </c>
      <c r="N553" s="12">
        <f>+gemini_code_1787702791259[[#This Row],[Cantidad]]*gemini_code_1787702791259[[#This Row],[Precio_Unitario_USD]]</f>
        <v>350</v>
      </c>
      <c r="O553" s="12">
        <f>+gemini_code_1787702791259[[#This Row],[Cantidad]]*gemini_code_1787702791259[[#This Row],[Costo_Unitario_USD]]</f>
        <v>150</v>
      </c>
      <c r="P553" s="12">
        <f>+gemini_code_1787702791259[[#This Row],[venta total]]-gemini_code_1787702791259[[#This Row],[Costo total]]</f>
        <v>200</v>
      </c>
      <c r="Q553" s="2">
        <f>gemini_code_1787702791259[[#This Row],[Ganancia bruta]]/gemini_code_1787702791259[[#This Row],[venta total]]</f>
        <v>0.5714285714285714</v>
      </c>
      <c r="R553" t="str">
        <f>IF(gemini_code_1787702791259[[#This Row],[Dias_Entrega]]&lt;=gemini_code_1787702791259[[#This Row],[Promesa_SLA_Dias]],"A tiempo","Fuera de SLA")</f>
        <v>Fuera de SLA</v>
      </c>
    </row>
    <row r="554" spans="1:18" x14ac:dyDescent="0.25">
      <c r="A554" t="s">
        <v>49</v>
      </c>
      <c r="B554" s="1">
        <v>46239</v>
      </c>
      <c r="C554" t="s">
        <v>14</v>
      </c>
      <c r="D554" t="s">
        <v>15</v>
      </c>
      <c r="E554" t="s">
        <v>16</v>
      </c>
      <c r="F554" t="s">
        <v>17</v>
      </c>
      <c r="G554" t="s">
        <v>50</v>
      </c>
      <c r="H554">
        <v>4</v>
      </c>
      <c r="I554" s="12">
        <v>220</v>
      </c>
      <c r="J554" s="12">
        <v>140</v>
      </c>
      <c r="K554">
        <v>2</v>
      </c>
      <c r="L554">
        <v>3</v>
      </c>
      <c r="M554">
        <v>800</v>
      </c>
      <c r="N554" s="12">
        <f>+gemini_code_1787702791259[[#This Row],[Cantidad]]*gemini_code_1787702791259[[#This Row],[Precio_Unitario_USD]]</f>
        <v>880</v>
      </c>
      <c r="O554" s="12">
        <f>+gemini_code_1787702791259[[#This Row],[Cantidad]]*gemini_code_1787702791259[[#This Row],[Costo_Unitario_USD]]</f>
        <v>560</v>
      </c>
      <c r="P554" s="12">
        <f>+gemini_code_1787702791259[[#This Row],[venta total]]-gemini_code_1787702791259[[#This Row],[Costo total]]</f>
        <v>320</v>
      </c>
      <c r="Q554" s="2">
        <f>gemini_code_1787702791259[[#This Row],[Ganancia bruta]]/gemini_code_1787702791259[[#This Row],[venta total]]</f>
        <v>0.36363636363636365</v>
      </c>
      <c r="R554" t="str">
        <f>IF(gemini_code_1787702791259[[#This Row],[Dias_Entrega]]&lt;=gemini_code_1787702791259[[#This Row],[Promesa_SLA_Dias]],"A tiempo","Fuera de SLA")</f>
        <v>A tiempo</v>
      </c>
    </row>
    <row r="555" spans="1:18" x14ac:dyDescent="0.25">
      <c r="A555" t="s">
        <v>51</v>
      </c>
      <c r="B555" s="1">
        <v>46239</v>
      </c>
      <c r="C555" t="s">
        <v>20</v>
      </c>
      <c r="D555" t="s">
        <v>21</v>
      </c>
      <c r="E555" t="s">
        <v>16</v>
      </c>
      <c r="F555" t="s">
        <v>23</v>
      </c>
      <c r="G555" t="s">
        <v>52</v>
      </c>
      <c r="H555">
        <v>5</v>
      </c>
      <c r="I555" s="12">
        <v>65</v>
      </c>
      <c r="J555" s="12">
        <v>30</v>
      </c>
      <c r="K555">
        <v>2</v>
      </c>
      <c r="L555">
        <v>3</v>
      </c>
      <c r="M555">
        <v>300</v>
      </c>
      <c r="N555" s="12">
        <f>+gemini_code_1787702791259[[#This Row],[Cantidad]]*gemini_code_1787702791259[[#This Row],[Precio_Unitario_USD]]</f>
        <v>325</v>
      </c>
      <c r="O555" s="12">
        <f>+gemini_code_1787702791259[[#This Row],[Cantidad]]*gemini_code_1787702791259[[#This Row],[Costo_Unitario_USD]]</f>
        <v>150</v>
      </c>
      <c r="P555" s="12">
        <f>+gemini_code_1787702791259[[#This Row],[venta total]]-gemini_code_1787702791259[[#This Row],[Costo total]]</f>
        <v>175</v>
      </c>
      <c r="Q555" s="2">
        <f>gemini_code_1787702791259[[#This Row],[Ganancia bruta]]/gemini_code_1787702791259[[#This Row],[venta total]]</f>
        <v>0.53846153846153844</v>
      </c>
      <c r="R555" t="str">
        <f>IF(gemini_code_1787702791259[[#This Row],[Dias_Entrega]]&lt;=gemini_code_1787702791259[[#This Row],[Promesa_SLA_Dias]],"A tiempo","Fuera de SLA")</f>
        <v>A tiempo</v>
      </c>
    </row>
    <row r="556" spans="1:18" x14ac:dyDescent="0.25">
      <c r="A556" t="s">
        <v>53</v>
      </c>
      <c r="B556" s="1">
        <v>46239</v>
      </c>
      <c r="C556" t="s">
        <v>26</v>
      </c>
      <c r="D556" t="s">
        <v>27</v>
      </c>
      <c r="E556" t="s">
        <v>16</v>
      </c>
      <c r="F556" t="s">
        <v>28</v>
      </c>
      <c r="G556" t="s">
        <v>54</v>
      </c>
      <c r="H556">
        <v>2</v>
      </c>
      <c r="I556" s="12">
        <v>180</v>
      </c>
      <c r="J556" s="12">
        <v>110</v>
      </c>
      <c r="K556">
        <v>6</v>
      </c>
      <c r="L556">
        <v>3</v>
      </c>
      <c r="M556">
        <v>350</v>
      </c>
      <c r="N556" s="12">
        <f>+gemini_code_1787702791259[[#This Row],[Cantidad]]*gemini_code_1787702791259[[#This Row],[Precio_Unitario_USD]]</f>
        <v>360</v>
      </c>
      <c r="O556" s="12">
        <f>+gemini_code_1787702791259[[#This Row],[Cantidad]]*gemini_code_1787702791259[[#This Row],[Costo_Unitario_USD]]</f>
        <v>220</v>
      </c>
      <c r="P556" s="12">
        <f>+gemini_code_1787702791259[[#This Row],[venta total]]-gemini_code_1787702791259[[#This Row],[Costo total]]</f>
        <v>140</v>
      </c>
      <c r="Q556" s="2">
        <f>gemini_code_1787702791259[[#This Row],[Ganancia bruta]]/gemini_code_1787702791259[[#This Row],[venta total]]</f>
        <v>0.3888888888888889</v>
      </c>
      <c r="R556" t="str">
        <f>IF(gemini_code_1787702791259[[#This Row],[Dias_Entrega]]&lt;=gemini_code_1787702791259[[#This Row],[Promesa_SLA_Dias]],"A tiempo","Fuera de SLA")</f>
        <v>Fuera de SLA</v>
      </c>
    </row>
    <row r="557" spans="1:18" x14ac:dyDescent="0.25">
      <c r="A557" t="s">
        <v>55</v>
      </c>
      <c r="B557" s="1">
        <v>46240</v>
      </c>
      <c r="C557" t="s">
        <v>14</v>
      </c>
      <c r="D557" t="s">
        <v>15</v>
      </c>
      <c r="E557" t="s">
        <v>22</v>
      </c>
      <c r="F557" t="s">
        <v>31</v>
      </c>
      <c r="G557" t="s">
        <v>56</v>
      </c>
      <c r="H557">
        <v>6</v>
      </c>
      <c r="I557" s="12">
        <v>85</v>
      </c>
      <c r="J557" s="12">
        <v>45</v>
      </c>
      <c r="K557">
        <v>1</v>
      </c>
      <c r="L557">
        <v>2</v>
      </c>
      <c r="M557">
        <v>500</v>
      </c>
      <c r="N557" s="12">
        <f>+gemini_code_1787702791259[[#This Row],[Cantidad]]*gemini_code_1787702791259[[#This Row],[Precio_Unitario_USD]]</f>
        <v>510</v>
      </c>
      <c r="O557" s="12">
        <f>+gemini_code_1787702791259[[#This Row],[Cantidad]]*gemini_code_1787702791259[[#This Row],[Costo_Unitario_USD]]</f>
        <v>270</v>
      </c>
      <c r="P557" s="12">
        <f>+gemini_code_1787702791259[[#This Row],[venta total]]-gemini_code_1787702791259[[#This Row],[Costo total]]</f>
        <v>240</v>
      </c>
      <c r="Q557" s="2">
        <f>gemini_code_1787702791259[[#This Row],[Ganancia bruta]]/gemini_code_1787702791259[[#This Row],[venta total]]</f>
        <v>0.47058823529411764</v>
      </c>
      <c r="R557" t="str">
        <f>IF(gemini_code_1787702791259[[#This Row],[Dias_Entrega]]&lt;=gemini_code_1787702791259[[#This Row],[Promesa_SLA_Dias]],"A tiempo","Fuera de SLA")</f>
        <v>A tiempo</v>
      </c>
    </row>
    <row r="558" spans="1:18" x14ac:dyDescent="0.25">
      <c r="A558" t="s">
        <v>57</v>
      </c>
      <c r="B558" s="1">
        <v>46240</v>
      </c>
      <c r="C558" t="s">
        <v>20</v>
      </c>
      <c r="D558" t="s">
        <v>21</v>
      </c>
      <c r="E558" t="s">
        <v>16</v>
      </c>
      <c r="F558" t="s">
        <v>17</v>
      </c>
      <c r="G558" t="s">
        <v>58</v>
      </c>
      <c r="H558">
        <v>12</v>
      </c>
      <c r="I558" s="12">
        <v>75</v>
      </c>
      <c r="J558" s="12">
        <v>35</v>
      </c>
      <c r="K558">
        <v>1</v>
      </c>
      <c r="L558">
        <v>2</v>
      </c>
      <c r="M558">
        <v>800</v>
      </c>
      <c r="N558" s="12">
        <f>+gemini_code_1787702791259[[#This Row],[Cantidad]]*gemini_code_1787702791259[[#This Row],[Precio_Unitario_USD]]</f>
        <v>900</v>
      </c>
      <c r="O558" s="12">
        <f>+gemini_code_1787702791259[[#This Row],[Cantidad]]*gemini_code_1787702791259[[#This Row],[Costo_Unitario_USD]]</f>
        <v>420</v>
      </c>
      <c r="P558" s="12">
        <f>+gemini_code_1787702791259[[#This Row],[venta total]]-gemini_code_1787702791259[[#This Row],[Costo total]]</f>
        <v>480</v>
      </c>
      <c r="Q558" s="2">
        <f>gemini_code_1787702791259[[#This Row],[Ganancia bruta]]/gemini_code_1787702791259[[#This Row],[venta total]]</f>
        <v>0.53333333333333333</v>
      </c>
      <c r="R558" t="str">
        <f>IF(gemini_code_1787702791259[[#This Row],[Dias_Entrega]]&lt;=gemini_code_1787702791259[[#This Row],[Promesa_SLA_Dias]],"A tiempo","Fuera de SLA")</f>
        <v>A tiempo</v>
      </c>
    </row>
    <row r="559" spans="1:18" x14ac:dyDescent="0.25">
      <c r="A559" t="s">
        <v>59</v>
      </c>
      <c r="B559" s="1">
        <v>46240</v>
      </c>
      <c r="C559" t="s">
        <v>26</v>
      </c>
      <c r="D559" t="s">
        <v>27</v>
      </c>
      <c r="E559" t="s">
        <v>22</v>
      </c>
      <c r="F559" t="s">
        <v>23</v>
      </c>
      <c r="G559" t="s">
        <v>60</v>
      </c>
      <c r="H559">
        <v>4</v>
      </c>
      <c r="I559" s="12">
        <v>110</v>
      </c>
      <c r="J559" s="12">
        <v>55</v>
      </c>
      <c r="K559">
        <v>5</v>
      </c>
      <c r="L559">
        <v>3</v>
      </c>
      <c r="M559">
        <v>400</v>
      </c>
      <c r="N559" s="12">
        <f>+gemini_code_1787702791259[[#This Row],[Cantidad]]*gemini_code_1787702791259[[#This Row],[Precio_Unitario_USD]]</f>
        <v>440</v>
      </c>
      <c r="O559" s="12">
        <f>+gemini_code_1787702791259[[#This Row],[Cantidad]]*gemini_code_1787702791259[[#This Row],[Costo_Unitario_USD]]</f>
        <v>220</v>
      </c>
      <c r="P559" s="12">
        <f>+gemini_code_1787702791259[[#This Row],[venta total]]-gemini_code_1787702791259[[#This Row],[Costo total]]</f>
        <v>220</v>
      </c>
      <c r="Q559" s="2">
        <f>gemini_code_1787702791259[[#This Row],[Ganancia bruta]]/gemini_code_1787702791259[[#This Row],[venta total]]</f>
        <v>0.5</v>
      </c>
      <c r="R559" t="str">
        <f>IF(gemini_code_1787702791259[[#This Row],[Dias_Entrega]]&lt;=gemini_code_1787702791259[[#This Row],[Promesa_SLA_Dias]],"A tiempo","Fuera de SLA")</f>
        <v>Fuera de SLA</v>
      </c>
    </row>
    <row r="560" spans="1:18" x14ac:dyDescent="0.25">
      <c r="A560" t="s">
        <v>61</v>
      </c>
      <c r="B560" s="1">
        <v>46241</v>
      </c>
      <c r="C560" t="s">
        <v>14</v>
      </c>
      <c r="D560" t="s">
        <v>15</v>
      </c>
      <c r="E560" t="s">
        <v>16</v>
      </c>
      <c r="F560" t="s">
        <v>28</v>
      </c>
      <c r="G560" t="s">
        <v>62</v>
      </c>
      <c r="H560">
        <v>15</v>
      </c>
      <c r="I560" s="12">
        <v>25</v>
      </c>
      <c r="J560" s="12">
        <v>10</v>
      </c>
      <c r="K560">
        <v>2</v>
      </c>
      <c r="L560">
        <v>3</v>
      </c>
      <c r="M560">
        <v>300</v>
      </c>
      <c r="N560" s="12">
        <f>+gemini_code_1787702791259[[#This Row],[Cantidad]]*gemini_code_1787702791259[[#This Row],[Precio_Unitario_USD]]</f>
        <v>375</v>
      </c>
      <c r="O560" s="12">
        <f>+gemini_code_1787702791259[[#This Row],[Cantidad]]*gemini_code_1787702791259[[#This Row],[Costo_Unitario_USD]]</f>
        <v>150</v>
      </c>
      <c r="P560" s="12">
        <f>+gemini_code_1787702791259[[#This Row],[venta total]]-gemini_code_1787702791259[[#This Row],[Costo total]]</f>
        <v>225</v>
      </c>
      <c r="Q560" s="2">
        <f>gemini_code_1787702791259[[#This Row],[Ganancia bruta]]/gemini_code_1787702791259[[#This Row],[venta total]]</f>
        <v>0.6</v>
      </c>
      <c r="R560" t="str">
        <f>IF(gemini_code_1787702791259[[#This Row],[Dias_Entrega]]&lt;=gemini_code_1787702791259[[#This Row],[Promesa_SLA_Dias]],"A tiempo","Fuera de SLA")</f>
        <v>A tiempo</v>
      </c>
    </row>
    <row r="561" spans="1:18" x14ac:dyDescent="0.25">
      <c r="A561" t="s">
        <v>63</v>
      </c>
      <c r="B561" s="1">
        <v>46241</v>
      </c>
      <c r="C561" t="s">
        <v>20</v>
      </c>
      <c r="D561" t="s">
        <v>21</v>
      </c>
      <c r="E561" t="s">
        <v>22</v>
      </c>
      <c r="F561" t="s">
        <v>31</v>
      </c>
      <c r="G561" t="s">
        <v>64</v>
      </c>
      <c r="H561">
        <v>5</v>
      </c>
      <c r="I561" s="12">
        <v>130</v>
      </c>
      <c r="J561" s="12">
        <v>70</v>
      </c>
      <c r="K561">
        <v>3</v>
      </c>
      <c r="L561">
        <v>3</v>
      </c>
      <c r="M561">
        <v>600</v>
      </c>
      <c r="N561" s="12">
        <f>+gemini_code_1787702791259[[#This Row],[Cantidad]]*gemini_code_1787702791259[[#This Row],[Precio_Unitario_USD]]</f>
        <v>650</v>
      </c>
      <c r="O561" s="12">
        <f>+gemini_code_1787702791259[[#This Row],[Cantidad]]*gemini_code_1787702791259[[#This Row],[Costo_Unitario_USD]]</f>
        <v>350</v>
      </c>
      <c r="P561" s="12">
        <f>+gemini_code_1787702791259[[#This Row],[venta total]]-gemini_code_1787702791259[[#This Row],[Costo total]]</f>
        <v>300</v>
      </c>
      <c r="Q561" s="2">
        <f>gemini_code_1787702791259[[#This Row],[Ganancia bruta]]/gemini_code_1787702791259[[#This Row],[venta total]]</f>
        <v>0.46153846153846156</v>
      </c>
      <c r="R561" t="str">
        <f>IF(gemini_code_1787702791259[[#This Row],[Dias_Entrega]]&lt;=gemini_code_1787702791259[[#This Row],[Promesa_SLA_Dias]],"A tiempo","Fuera de SLA")</f>
        <v>A tiempo</v>
      </c>
    </row>
    <row r="562" spans="1:18" x14ac:dyDescent="0.25">
      <c r="A562" t="s">
        <v>65</v>
      </c>
      <c r="B562" s="1">
        <v>46241</v>
      </c>
      <c r="C562" t="s">
        <v>26</v>
      </c>
      <c r="D562" t="s">
        <v>27</v>
      </c>
      <c r="E562" t="s">
        <v>16</v>
      </c>
      <c r="F562" t="s">
        <v>17</v>
      </c>
      <c r="G562" t="s">
        <v>66</v>
      </c>
      <c r="H562">
        <v>2</v>
      </c>
      <c r="I562" s="12">
        <v>500</v>
      </c>
      <c r="J562" s="12">
        <v>380</v>
      </c>
      <c r="K562">
        <v>6</v>
      </c>
      <c r="L562">
        <v>4</v>
      </c>
      <c r="M562">
        <v>900</v>
      </c>
      <c r="N562" s="12">
        <f>+gemini_code_1787702791259[[#This Row],[Cantidad]]*gemini_code_1787702791259[[#This Row],[Precio_Unitario_USD]]</f>
        <v>1000</v>
      </c>
      <c r="O562" s="12">
        <f>+gemini_code_1787702791259[[#This Row],[Cantidad]]*gemini_code_1787702791259[[#This Row],[Costo_Unitario_USD]]</f>
        <v>760</v>
      </c>
      <c r="P562" s="12">
        <f>+gemini_code_1787702791259[[#This Row],[venta total]]-gemini_code_1787702791259[[#This Row],[Costo total]]</f>
        <v>240</v>
      </c>
      <c r="Q562" s="2">
        <f>gemini_code_1787702791259[[#This Row],[Ganancia bruta]]/gemini_code_1787702791259[[#This Row],[venta total]]</f>
        <v>0.24</v>
      </c>
      <c r="R562" t="str">
        <f>IF(gemini_code_1787702791259[[#This Row],[Dias_Entrega]]&lt;=gemini_code_1787702791259[[#This Row],[Promesa_SLA_Dias]],"A tiempo","Fuera de SLA")</f>
        <v>Fuera de SLA</v>
      </c>
    </row>
    <row r="563" spans="1:18" x14ac:dyDescent="0.25">
      <c r="A563" t="s">
        <v>67</v>
      </c>
      <c r="B563" s="1">
        <v>46242</v>
      </c>
      <c r="C563" t="s">
        <v>14</v>
      </c>
      <c r="D563" t="s">
        <v>15</v>
      </c>
      <c r="E563" t="s">
        <v>16</v>
      </c>
      <c r="F563" t="s">
        <v>23</v>
      </c>
      <c r="G563" t="s">
        <v>68</v>
      </c>
      <c r="H563">
        <v>3</v>
      </c>
      <c r="I563" s="12">
        <v>95</v>
      </c>
      <c r="J563" s="12">
        <v>45</v>
      </c>
      <c r="K563">
        <v>2</v>
      </c>
      <c r="L563">
        <v>3</v>
      </c>
      <c r="M563">
        <v>300</v>
      </c>
      <c r="N563" s="12">
        <f>+gemini_code_1787702791259[[#This Row],[Cantidad]]*gemini_code_1787702791259[[#This Row],[Precio_Unitario_USD]]</f>
        <v>285</v>
      </c>
      <c r="O563" s="12">
        <f>+gemini_code_1787702791259[[#This Row],[Cantidad]]*gemini_code_1787702791259[[#This Row],[Costo_Unitario_USD]]</f>
        <v>135</v>
      </c>
      <c r="P563" s="12">
        <f>+gemini_code_1787702791259[[#This Row],[venta total]]-gemini_code_1787702791259[[#This Row],[Costo total]]</f>
        <v>150</v>
      </c>
      <c r="Q563" s="2">
        <f>gemini_code_1787702791259[[#This Row],[Ganancia bruta]]/gemini_code_1787702791259[[#This Row],[venta total]]</f>
        <v>0.52631578947368418</v>
      </c>
      <c r="R563" t="str">
        <f>IF(gemini_code_1787702791259[[#This Row],[Dias_Entrega]]&lt;=gemini_code_1787702791259[[#This Row],[Promesa_SLA_Dias]],"A tiempo","Fuera de SLA")</f>
        <v>A tiempo</v>
      </c>
    </row>
    <row r="564" spans="1:18" x14ac:dyDescent="0.25">
      <c r="A564" t="s">
        <v>69</v>
      </c>
      <c r="B564" s="1">
        <v>46242</v>
      </c>
      <c r="C564" t="s">
        <v>20</v>
      </c>
      <c r="D564" t="s">
        <v>21</v>
      </c>
      <c r="E564" t="s">
        <v>16</v>
      </c>
      <c r="F564" t="s">
        <v>28</v>
      </c>
      <c r="G564" t="s">
        <v>70</v>
      </c>
      <c r="H564">
        <v>4</v>
      </c>
      <c r="I564" s="12">
        <v>160</v>
      </c>
      <c r="J564" s="12">
        <v>95</v>
      </c>
      <c r="K564">
        <v>2</v>
      </c>
      <c r="L564">
        <v>3</v>
      </c>
      <c r="M564">
        <v>600</v>
      </c>
      <c r="N564" s="12">
        <f>+gemini_code_1787702791259[[#This Row],[Cantidad]]*gemini_code_1787702791259[[#This Row],[Precio_Unitario_USD]]</f>
        <v>640</v>
      </c>
      <c r="O564" s="12">
        <f>+gemini_code_1787702791259[[#This Row],[Cantidad]]*gemini_code_1787702791259[[#This Row],[Costo_Unitario_USD]]</f>
        <v>380</v>
      </c>
      <c r="P564" s="12">
        <f>+gemini_code_1787702791259[[#This Row],[venta total]]-gemini_code_1787702791259[[#This Row],[Costo total]]</f>
        <v>260</v>
      </c>
      <c r="Q564" s="2">
        <f>gemini_code_1787702791259[[#This Row],[Ganancia bruta]]/gemini_code_1787702791259[[#This Row],[venta total]]</f>
        <v>0.40625</v>
      </c>
      <c r="R564" t="str">
        <f>IF(gemini_code_1787702791259[[#This Row],[Dias_Entrega]]&lt;=gemini_code_1787702791259[[#This Row],[Promesa_SLA_Dias]],"A tiempo","Fuera de SLA")</f>
        <v>A tiempo</v>
      </c>
    </row>
    <row r="565" spans="1:18" x14ac:dyDescent="0.25">
      <c r="A565" t="s">
        <v>71</v>
      </c>
      <c r="B565" s="1">
        <v>46242</v>
      </c>
      <c r="C565" t="s">
        <v>26</v>
      </c>
      <c r="D565" t="s">
        <v>27</v>
      </c>
      <c r="E565" t="s">
        <v>22</v>
      </c>
      <c r="F565" t="s">
        <v>31</v>
      </c>
      <c r="G565" t="s">
        <v>72</v>
      </c>
      <c r="H565">
        <v>7</v>
      </c>
      <c r="I565" s="12">
        <v>90</v>
      </c>
      <c r="J565" s="12">
        <v>45</v>
      </c>
      <c r="K565">
        <v>4</v>
      </c>
      <c r="L565">
        <v>3</v>
      </c>
      <c r="M565">
        <v>600</v>
      </c>
      <c r="N565" s="12">
        <f>+gemini_code_1787702791259[[#This Row],[Cantidad]]*gemini_code_1787702791259[[#This Row],[Precio_Unitario_USD]]</f>
        <v>630</v>
      </c>
      <c r="O565" s="12">
        <f>+gemini_code_1787702791259[[#This Row],[Cantidad]]*gemini_code_1787702791259[[#This Row],[Costo_Unitario_USD]]</f>
        <v>315</v>
      </c>
      <c r="P565" s="12">
        <f>+gemini_code_1787702791259[[#This Row],[venta total]]-gemini_code_1787702791259[[#This Row],[Costo total]]</f>
        <v>315</v>
      </c>
      <c r="Q565" s="2">
        <f>gemini_code_1787702791259[[#This Row],[Ganancia bruta]]/gemini_code_1787702791259[[#This Row],[venta total]]</f>
        <v>0.5</v>
      </c>
      <c r="R565" t="str">
        <f>IF(gemini_code_1787702791259[[#This Row],[Dias_Entrega]]&lt;=gemini_code_1787702791259[[#This Row],[Promesa_SLA_Dias]],"A tiempo","Fuera de SLA")</f>
        <v>Fuera de SLA</v>
      </c>
    </row>
    <row r="566" spans="1:18" x14ac:dyDescent="0.25">
      <c r="A566" t="s">
        <v>73</v>
      </c>
      <c r="B566" s="1">
        <v>46243</v>
      </c>
      <c r="C566" t="s">
        <v>14</v>
      </c>
      <c r="D566" t="s">
        <v>15</v>
      </c>
      <c r="E566" t="s">
        <v>22</v>
      </c>
      <c r="F566" t="s">
        <v>17</v>
      </c>
      <c r="G566" t="s">
        <v>74</v>
      </c>
      <c r="H566">
        <v>3</v>
      </c>
      <c r="I566" s="12">
        <v>310</v>
      </c>
      <c r="J566" s="12">
        <v>210</v>
      </c>
      <c r="K566">
        <v>2</v>
      </c>
      <c r="L566">
        <v>3</v>
      </c>
      <c r="M566">
        <v>900</v>
      </c>
      <c r="N566" s="12">
        <f>+gemini_code_1787702791259[[#This Row],[Cantidad]]*gemini_code_1787702791259[[#This Row],[Precio_Unitario_USD]]</f>
        <v>930</v>
      </c>
      <c r="O566" s="12">
        <f>+gemini_code_1787702791259[[#This Row],[Cantidad]]*gemini_code_1787702791259[[#This Row],[Costo_Unitario_USD]]</f>
        <v>630</v>
      </c>
      <c r="P566" s="12">
        <f>+gemini_code_1787702791259[[#This Row],[venta total]]-gemini_code_1787702791259[[#This Row],[Costo total]]</f>
        <v>300</v>
      </c>
      <c r="Q566" s="2">
        <f>gemini_code_1787702791259[[#This Row],[Ganancia bruta]]/gemini_code_1787702791259[[#This Row],[venta total]]</f>
        <v>0.32258064516129031</v>
      </c>
      <c r="R566" t="str">
        <f>IF(gemini_code_1787702791259[[#This Row],[Dias_Entrega]]&lt;=gemini_code_1787702791259[[#This Row],[Promesa_SLA_Dias]],"A tiempo","Fuera de SLA")</f>
        <v>A tiempo</v>
      </c>
    </row>
    <row r="567" spans="1:18" x14ac:dyDescent="0.25">
      <c r="A567" t="s">
        <v>75</v>
      </c>
      <c r="B567" s="1">
        <v>46243</v>
      </c>
      <c r="C567" t="s">
        <v>20</v>
      </c>
      <c r="D567" t="s">
        <v>21</v>
      </c>
      <c r="E567" t="s">
        <v>16</v>
      </c>
      <c r="F567" t="s">
        <v>23</v>
      </c>
      <c r="G567" t="s">
        <v>76</v>
      </c>
      <c r="H567">
        <v>8</v>
      </c>
      <c r="I567" s="12">
        <v>50</v>
      </c>
      <c r="J567" s="12">
        <v>22</v>
      </c>
      <c r="K567">
        <v>2</v>
      </c>
      <c r="L567">
        <v>3</v>
      </c>
      <c r="M567">
        <v>400</v>
      </c>
      <c r="N567" s="12">
        <f>+gemini_code_1787702791259[[#This Row],[Cantidad]]*gemini_code_1787702791259[[#This Row],[Precio_Unitario_USD]]</f>
        <v>400</v>
      </c>
      <c r="O567" s="12">
        <f>+gemini_code_1787702791259[[#This Row],[Cantidad]]*gemini_code_1787702791259[[#This Row],[Costo_Unitario_USD]]</f>
        <v>176</v>
      </c>
      <c r="P567" s="12">
        <f>+gemini_code_1787702791259[[#This Row],[venta total]]-gemini_code_1787702791259[[#This Row],[Costo total]]</f>
        <v>224</v>
      </c>
      <c r="Q567" s="2">
        <f>gemini_code_1787702791259[[#This Row],[Ganancia bruta]]/gemini_code_1787702791259[[#This Row],[venta total]]</f>
        <v>0.56000000000000005</v>
      </c>
      <c r="R567" t="str">
        <f>IF(gemini_code_1787702791259[[#This Row],[Dias_Entrega]]&lt;=gemini_code_1787702791259[[#This Row],[Promesa_SLA_Dias]],"A tiempo","Fuera de SLA")</f>
        <v>A tiempo</v>
      </c>
    </row>
    <row r="568" spans="1:18" x14ac:dyDescent="0.25">
      <c r="A568" t="s">
        <v>77</v>
      </c>
      <c r="B568" s="1">
        <v>46243</v>
      </c>
      <c r="C568" t="s">
        <v>26</v>
      </c>
      <c r="D568" t="s">
        <v>27</v>
      </c>
      <c r="E568" t="s">
        <v>16</v>
      </c>
      <c r="F568" t="s">
        <v>28</v>
      </c>
      <c r="G568" t="s">
        <v>78</v>
      </c>
      <c r="H568">
        <v>1</v>
      </c>
      <c r="I568" s="12">
        <v>750</v>
      </c>
      <c r="J568" s="12">
        <v>480</v>
      </c>
      <c r="K568">
        <v>8</v>
      </c>
      <c r="L568">
        <v>4</v>
      </c>
      <c r="M568">
        <v>700</v>
      </c>
      <c r="N568" s="12">
        <f>+gemini_code_1787702791259[[#This Row],[Cantidad]]*gemini_code_1787702791259[[#This Row],[Precio_Unitario_USD]]</f>
        <v>750</v>
      </c>
      <c r="O568" s="12">
        <f>+gemini_code_1787702791259[[#This Row],[Cantidad]]*gemini_code_1787702791259[[#This Row],[Costo_Unitario_USD]]</f>
        <v>480</v>
      </c>
      <c r="P568" s="12">
        <f>+gemini_code_1787702791259[[#This Row],[venta total]]-gemini_code_1787702791259[[#This Row],[Costo total]]</f>
        <v>270</v>
      </c>
      <c r="Q568" s="2">
        <f>gemini_code_1787702791259[[#This Row],[Ganancia bruta]]/gemini_code_1787702791259[[#This Row],[venta total]]</f>
        <v>0.36</v>
      </c>
      <c r="R568" t="str">
        <f>IF(gemini_code_1787702791259[[#This Row],[Dias_Entrega]]&lt;=gemini_code_1787702791259[[#This Row],[Promesa_SLA_Dias]],"A tiempo","Fuera de SLA")</f>
        <v>Fuera de SLA</v>
      </c>
    </row>
    <row r="569" spans="1:18" x14ac:dyDescent="0.25">
      <c r="A569" t="s">
        <v>79</v>
      </c>
      <c r="B569" s="1">
        <v>46244</v>
      </c>
      <c r="C569" t="s">
        <v>14</v>
      </c>
      <c r="D569" t="s">
        <v>15</v>
      </c>
      <c r="E569" t="s">
        <v>16</v>
      </c>
      <c r="F569" t="s">
        <v>31</v>
      </c>
      <c r="G569" t="s">
        <v>80</v>
      </c>
      <c r="H569">
        <v>4</v>
      </c>
      <c r="I569" s="12">
        <v>140</v>
      </c>
      <c r="J569" s="12">
        <v>75</v>
      </c>
      <c r="K569">
        <v>3</v>
      </c>
      <c r="L569">
        <v>3</v>
      </c>
      <c r="M569">
        <v>500</v>
      </c>
      <c r="N569" s="12">
        <f>+gemini_code_1787702791259[[#This Row],[Cantidad]]*gemini_code_1787702791259[[#This Row],[Precio_Unitario_USD]]</f>
        <v>560</v>
      </c>
      <c r="O569" s="12">
        <f>+gemini_code_1787702791259[[#This Row],[Cantidad]]*gemini_code_1787702791259[[#This Row],[Costo_Unitario_USD]]</f>
        <v>300</v>
      </c>
      <c r="P569" s="12">
        <f>+gemini_code_1787702791259[[#This Row],[venta total]]-gemini_code_1787702791259[[#This Row],[Costo total]]</f>
        <v>260</v>
      </c>
      <c r="Q569" s="2">
        <f>gemini_code_1787702791259[[#This Row],[Ganancia bruta]]/gemini_code_1787702791259[[#This Row],[venta total]]</f>
        <v>0.4642857142857143</v>
      </c>
      <c r="R569" t="str">
        <f>IF(gemini_code_1787702791259[[#This Row],[Dias_Entrega]]&lt;=gemini_code_1787702791259[[#This Row],[Promesa_SLA_Dias]],"A tiempo","Fuera de SLA")</f>
        <v>A tiempo</v>
      </c>
    </row>
    <row r="570" spans="1:18" x14ac:dyDescent="0.25">
      <c r="A570" t="s">
        <v>81</v>
      </c>
      <c r="B570" s="1">
        <v>46244</v>
      </c>
      <c r="C570" t="s">
        <v>20</v>
      </c>
      <c r="D570" t="s">
        <v>21</v>
      </c>
      <c r="E570" t="s">
        <v>22</v>
      </c>
      <c r="F570" t="s">
        <v>17</v>
      </c>
      <c r="G570" t="s">
        <v>82</v>
      </c>
      <c r="H570">
        <v>6</v>
      </c>
      <c r="I570" s="12">
        <v>90</v>
      </c>
      <c r="J570" s="12">
        <v>50</v>
      </c>
      <c r="K570">
        <v>1</v>
      </c>
      <c r="L570">
        <v>2</v>
      </c>
      <c r="M570">
        <v>500</v>
      </c>
      <c r="N570" s="12">
        <f>+gemini_code_1787702791259[[#This Row],[Cantidad]]*gemini_code_1787702791259[[#This Row],[Precio_Unitario_USD]]</f>
        <v>540</v>
      </c>
      <c r="O570" s="12">
        <f>+gemini_code_1787702791259[[#This Row],[Cantidad]]*gemini_code_1787702791259[[#This Row],[Costo_Unitario_USD]]</f>
        <v>300</v>
      </c>
      <c r="P570" s="12">
        <f>+gemini_code_1787702791259[[#This Row],[venta total]]-gemini_code_1787702791259[[#This Row],[Costo total]]</f>
        <v>240</v>
      </c>
      <c r="Q570" s="2">
        <f>gemini_code_1787702791259[[#This Row],[Ganancia bruta]]/gemini_code_1787702791259[[#This Row],[venta total]]</f>
        <v>0.44444444444444442</v>
      </c>
      <c r="R570" t="str">
        <f>IF(gemini_code_1787702791259[[#This Row],[Dias_Entrega]]&lt;=gemini_code_1787702791259[[#This Row],[Promesa_SLA_Dias]],"A tiempo","Fuera de SLA")</f>
        <v>A tiempo</v>
      </c>
    </row>
    <row r="571" spans="1:18" x14ac:dyDescent="0.25">
      <c r="A571" t="s">
        <v>83</v>
      </c>
      <c r="B571" s="1">
        <v>46244</v>
      </c>
      <c r="C571" t="s">
        <v>26</v>
      </c>
      <c r="D571" t="s">
        <v>27</v>
      </c>
      <c r="E571" t="s">
        <v>16</v>
      </c>
      <c r="F571" t="s">
        <v>23</v>
      </c>
      <c r="G571" t="s">
        <v>84</v>
      </c>
      <c r="H571">
        <v>6</v>
      </c>
      <c r="I571" s="12">
        <v>60</v>
      </c>
      <c r="J571" s="12">
        <v>28</v>
      </c>
      <c r="K571">
        <v>5</v>
      </c>
      <c r="L571">
        <v>3</v>
      </c>
      <c r="M571">
        <v>350</v>
      </c>
      <c r="N571" s="12">
        <f>+gemini_code_1787702791259[[#This Row],[Cantidad]]*gemini_code_1787702791259[[#This Row],[Precio_Unitario_USD]]</f>
        <v>360</v>
      </c>
      <c r="O571" s="12">
        <f>+gemini_code_1787702791259[[#This Row],[Cantidad]]*gemini_code_1787702791259[[#This Row],[Costo_Unitario_USD]]</f>
        <v>168</v>
      </c>
      <c r="P571" s="12">
        <f>+gemini_code_1787702791259[[#This Row],[venta total]]-gemini_code_1787702791259[[#This Row],[Costo total]]</f>
        <v>192</v>
      </c>
      <c r="Q571" s="2">
        <f>gemini_code_1787702791259[[#This Row],[Ganancia bruta]]/gemini_code_1787702791259[[#This Row],[venta total]]</f>
        <v>0.53333333333333333</v>
      </c>
      <c r="R571" t="str">
        <f>IF(gemini_code_1787702791259[[#This Row],[Dias_Entrega]]&lt;=gemini_code_1787702791259[[#This Row],[Promesa_SLA_Dias]],"A tiempo","Fuera de SLA")</f>
        <v>Fuera de SLA</v>
      </c>
    </row>
    <row r="572" spans="1:18" x14ac:dyDescent="0.25">
      <c r="A572" t="s">
        <v>13</v>
      </c>
      <c r="B572" s="1">
        <v>46235</v>
      </c>
      <c r="C572" t="s">
        <v>14</v>
      </c>
      <c r="D572" t="s">
        <v>15</v>
      </c>
      <c r="E572" t="s">
        <v>16</v>
      </c>
      <c r="F572" t="s">
        <v>17</v>
      </c>
      <c r="G572" t="s">
        <v>18</v>
      </c>
      <c r="H572">
        <v>2</v>
      </c>
      <c r="I572" s="12">
        <v>850</v>
      </c>
      <c r="J572" s="12">
        <v>600</v>
      </c>
      <c r="K572">
        <v>2</v>
      </c>
      <c r="L572">
        <v>3</v>
      </c>
      <c r="M572">
        <v>1500</v>
      </c>
      <c r="N572" s="12">
        <f>+gemini_code_1787702791259[[#This Row],[Cantidad]]*gemini_code_1787702791259[[#This Row],[Precio_Unitario_USD]]</f>
        <v>1700</v>
      </c>
      <c r="O572" s="12">
        <f>+gemini_code_1787702791259[[#This Row],[Cantidad]]*gemini_code_1787702791259[[#This Row],[Costo_Unitario_USD]]</f>
        <v>1200</v>
      </c>
      <c r="P572" s="12">
        <f>+gemini_code_1787702791259[[#This Row],[venta total]]-gemini_code_1787702791259[[#This Row],[Costo total]]</f>
        <v>500</v>
      </c>
      <c r="Q572" s="2">
        <f>gemini_code_1787702791259[[#This Row],[Ganancia bruta]]/gemini_code_1787702791259[[#This Row],[venta total]]</f>
        <v>0.29411764705882354</v>
      </c>
      <c r="R572" t="str">
        <f>IF(gemini_code_1787702791259[[#This Row],[Dias_Entrega]]&lt;=gemini_code_1787702791259[[#This Row],[Promesa_SLA_Dias]],"A tiempo","Fuera de SLA")</f>
        <v>A tiempo</v>
      </c>
    </row>
    <row r="573" spans="1:18" x14ac:dyDescent="0.25">
      <c r="A573" t="s">
        <v>19</v>
      </c>
      <c r="B573" s="1">
        <v>46235</v>
      </c>
      <c r="C573" t="s">
        <v>20</v>
      </c>
      <c r="D573" t="s">
        <v>21</v>
      </c>
      <c r="E573" t="s">
        <v>22</v>
      </c>
      <c r="F573" t="s">
        <v>23</v>
      </c>
      <c r="G573" t="s">
        <v>24</v>
      </c>
      <c r="H573">
        <v>5</v>
      </c>
      <c r="I573" s="12">
        <v>120</v>
      </c>
      <c r="J573" s="12">
        <v>70</v>
      </c>
      <c r="K573">
        <v>3</v>
      </c>
      <c r="L573">
        <v>3</v>
      </c>
      <c r="M573">
        <v>500</v>
      </c>
      <c r="N573" s="12">
        <f>+gemini_code_1787702791259[[#This Row],[Cantidad]]*gemini_code_1787702791259[[#This Row],[Precio_Unitario_USD]]</f>
        <v>600</v>
      </c>
      <c r="O573" s="12">
        <f>+gemini_code_1787702791259[[#This Row],[Cantidad]]*gemini_code_1787702791259[[#This Row],[Costo_Unitario_USD]]</f>
        <v>350</v>
      </c>
      <c r="P573" s="12">
        <f>+gemini_code_1787702791259[[#This Row],[venta total]]-gemini_code_1787702791259[[#This Row],[Costo total]]</f>
        <v>250</v>
      </c>
      <c r="Q573" s="2">
        <f>gemini_code_1787702791259[[#This Row],[Ganancia bruta]]/gemini_code_1787702791259[[#This Row],[venta total]]</f>
        <v>0.41666666666666669</v>
      </c>
      <c r="R573" t="str">
        <f>IF(gemini_code_1787702791259[[#This Row],[Dias_Entrega]]&lt;=gemini_code_1787702791259[[#This Row],[Promesa_SLA_Dias]],"A tiempo","Fuera de SLA")</f>
        <v>A tiempo</v>
      </c>
    </row>
    <row r="574" spans="1:18" x14ac:dyDescent="0.25">
      <c r="A574" t="s">
        <v>25</v>
      </c>
      <c r="B574" s="1">
        <v>46235</v>
      </c>
      <c r="C574" t="s">
        <v>26</v>
      </c>
      <c r="D574" t="s">
        <v>27</v>
      </c>
      <c r="E574" t="s">
        <v>16</v>
      </c>
      <c r="F574" t="s">
        <v>28</v>
      </c>
      <c r="G574" t="s">
        <v>29</v>
      </c>
      <c r="H574">
        <v>3</v>
      </c>
      <c r="I574" s="12">
        <v>90</v>
      </c>
      <c r="J574" s="12">
        <v>50</v>
      </c>
      <c r="K574">
        <v>6</v>
      </c>
      <c r="L574">
        <v>4</v>
      </c>
      <c r="M574">
        <v>300</v>
      </c>
      <c r="N574" s="12">
        <f>+gemini_code_1787702791259[[#This Row],[Cantidad]]*gemini_code_1787702791259[[#This Row],[Precio_Unitario_USD]]</f>
        <v>270</v>
      </c>
      <c r="O574" s="12">
        <f>+gemini_code_1787702791259[[#This Row],[Cantidad]]*gemini_code_1787702791259[[#This Row],[Costo_Unitario_USD]]</f>
        <v>150</v>
      </c>
      <c r="P574" s="12">
        <f>+gemini_code_1787702791259[[#This Row],[venta total]]-gemini_code_1787702791259[[#This Row],[Costo total]]</f>
        <v>120</v>
      </c>
      <c r="Q574" s="2">
        <f>gemini_code_1787702791259[[#This Row],[Ganancia bruta]]/gemini_code_1787702791259[[#This Row],[venta total]]</f>
        <v>0.44444444444444442</v>
      </c>
      <c r="R574" t="str">
        <f>IF(gemini_code_1787702791259[[#This Row],[Dias_Entrega]]&lt;=gemini_code_1787702791259[[#This Row],[Promesa_SLA_Dias]],"A tiempo","Fuera de SLA")</f>
        <v>Fuera de SLA</v>
      </c>
    </row>
    <row r="575" spans="1:18" x14ac:dyDescent="0.25">
      <c r="A575" t="s">
        <v>30</v>
      </c>
      <c r="B575" s="1">
        <v>46236</v>
      </c>
      <c r="C575" t="s">
        <v>14</v>
      </c>
      <c r="D575" t="s">
        <v>15</v>
      </c>
      <c r="E575" t="s">
        <v>22</v>
      </c>
      <c r="F575" t="s">
        <v>31</v>
      </c>
      <c r="G575" t="s">
        <v>32</v>
      </c>
      <c r="H575">
        <v>4</v>
      </c>
      <c r="I575" s="12">
        <v>110</v>
      </c>
      <c r="J575" s="12">
        <v>60</v>
      </c>
      <c r="K575">
        <v>1</v>
      </c>
      <c r="L575">
        <v>2</v>
      </c>
      <c r="M575">
        <v>400</v>
      </c>
      <c r="N575" s="12">
        <f>+gemini_code_1787702791259[[#This Row],[Cantidad]]*gemini_code_1787702791259[[#This Row],[Precio_Unitario_USD]]</f>
        <v>440</v>
      </c>
      <c r="O575" s="12">
        <f>+gemini_code_1787702791259[[#This Row],[Cantidad]]*gemini_code_1787702791259[[#This Row],[Costo_Unitario_USD]]</f>
        <v>240</v>
      </c>
      <c r="P575" s="12">
        <f>+gemini_code_1787702791259[[#This Row],[venta total]]-gemini_code_1787702791259[[#This Row],[Costo total]]</f>
        <v>200</v>
      </c>
      <c r="Q575" s="2">
        <f>gemini_code_1787702791259[[#This Row],[Ganancia bruta]]/gemini_code_1787702791259[[#This Row],[venta total]]</f>
        <v>0.45454545454545453</v>
      </c>
      <c r="R575" t="str">
        <f>IF(gemini_code_1787702791259[[#This Row],[Dias_Entrega]]&lt;=gemini_code_1787702791259[[#This Row],[Promesa_SLA_Dias]],"A tiempo","Fuera de SLA")</f>
        <v>A tiempo</v>
      </c>
    </row>
    <row r="576" spans="1:18" x14ac:dyDescent="0.25">
      <c r="A576" t="s">
        <v>33</v>
      </c>
      <c r="B576" s="1">
        <v>46236</v>
      </c>
      <c r="C576" t="s">
        <v>20</v>
      </c>
      <c r="D576" t="s">
        <v>21</v>
      </c>
      <c r="E576" t="s">
        <v>16</v>
      </c>
      <c r="F576" t="s">
        <v>17</v>
      </c>
      <c r="G576" t="s">
        <v>34</v>
      </c>
      <c r="H576">
        <v>3</v>
      </c>
      <c r="I576" s="12">
        <v>650</v>
      </c>
      <c r="J576" s="12">
        <v>450</v>
      </c>
      <c r="K576">
        <v>2</v>
      </c>
      <c r="L576">
        <v>3</v>
      </c>
      <c r="M576">
        <v>1800</v>
      </c>
      <c r="N576" s="12">
        <f>+gemini_code_1787702791259[[#This Row],[Cantidad]]*gemini_code_1787702791259[[#This Row],[Precio_Unitario_USD]]</f>
        <v>1950</v>
      </c>
      <c r="O576" s="12">
        <f>+gemini_code_1787702791259[[#This Row],[Cantidad]]*gemini_code_1787702791259[[#This Row],[Costo_Unitario_USD]]</f>
        <v>1350</v>
      </c>
      <c r="P576" s="12">
        <f>+gemini_code_1787702791259[[#This Row],[venta total]]-gemini_code_1787702791259[[#This Row],[Costo total]]</f>
        <v>600</v>
      </c>
      <c r="Q576" s="2">
        <f>gemini_code_1787702791259[[#This Row],[Ganancia bruta]]/gemini_code_1787702791259[[#This Row],[venta total]]</f>
        <v>0.30769230769230771</v>
      </c>
      <c r="R576" t="str">
        <f>IF(gemini_code_1787702791259[[#This Row],[Dias_Entrega]]&lt;=gemini_code_1787702791259[[#This Row],[Promesa_SLA_Dias]],"A tiempo","Fuera de SLA")</f>
        <v>A tiempo</v>
      </c>
    </row>
    <row r="577" spans="1:18" x14ac:dyDescent="0.25">
      <c r="A577" t="s">
        <v>35</v>
      </c>
      <c r="B577" s="1">
        <v>46236</v>
      </c>
      <c r="C577" t="s">
        <v>26</v>
      </c>
      <c r="D577" t="s">
        <v>27</v>
      </c>
      <c r="E577" t="s">
        <v>16</v>
      </c>
      <c r="F577" t="s">
        <v>23</v>
      </c>
      <c r="G577" t="s">
        <v>36</v>
      </c>
      <c r="H577">
        <v>8</v>
      </c>
      <c r="I577" s="12">
        <v>45</v>
      </c>
      <c r="J577" s="12">
        <v>20</v>
      </c>
      <c r="K577">
        <v>5</v>
      </c>
      <c r="L577">
        <v>3</v>
      </c>
      <c r="M577">
        <v>400</v>
      </c>
      <c r="N577" s="12">
        <f>+gemini_code_1787702791259[[#This Row],[Cantidad]]*gemini_code_1787702791259[[#This Row],[Precio_Unitario_USD]]</f>
        <v>360</v>
      </c>
      <c r="O577" s="12">
        <f>+gemini_code_1787702791259[[#This Row],[Cantidad]]*gemini_code_1787702791259[[#This Row],[Costo_Unitario_USD]]</f>
        <v>160</v>
      </c>
      <c r="P577" s="12">
        <f>+gemini_code_1787702791259[[#This Row],[venta total]]-gemini_code_1787702791259[[#This Row],[Costo total]]</f>
        <v>200</v>
      </c>
      <c r="Q577" s="2">
        <f>gemini_code_1787702791259[[#This Row],[Ganancia bruta]]/gemini_code_1787702791259[[#This Row],[venta total]]</f>
        <v>0.55555555555555558</v>
      </c>
      <c r="R577" t="str">
        <f>IF(gemini_code_1787702791259[[#This Row],[Dias_Entrega]]&lt;=gemini_code_1787702791259[[#This Row],[Promesa_SLA_Dias]],"A tiempo","Fuera de SLA")</f>
        <v>Fuera de SLA</v>
      </c>
    </row>
    <row r="578" spans="1:18" x14ac:dyDescent="0.25">
      <c r="A578" t="s">
        <v>37</v>
      </c>
      <c r="B578" s="1">
        <v>46237</v>
      </c>
      <c r="C578" t="s">
        <v>14</v>
      </c>
      <c r="D578" t="s">
        <v>15</v>
      </c>
      <c r="E578" t="s">
        <v>16</v>
      </c>
      <c r="F578" t="s">
        <v>28</v>
      </c>
      <c r="G578" t="s">
        <v>38</v>
      </c>
      <c r="H578">
        <v>2</v>
      </c>
      <c r="I578" s="12">
        <v>280</v>
      </c>
      <c r="J578" s="12">
        <v>180</v>
      </c>
      <c r="K578">
        <v>3</v>
      </c>
      <c r="L578">
        <v>3</v>
      </c>
      <c r="M578">
        <v>500</v>
      </c>
      <c r="N578" s="12">
        <f>+gemini_code_1787702791259[[#This Row],[Cantidad]]*gemini_code_1787702791259[[#This Row],[Precio_Unitario_USD]]</f>
        <v>560</v>
      </c>
      <c r="O578" s="12">
        <f>+gemini_code_1787702791259[[#This Row],[Cantidad]]*gemini_code_1787702791259[[#This Row],[Costo_Unitario_USD]]</f>
        <v>360</v>
      </c>
      <c r="P578" s="12">
        <f>+gemini_code_1787702791259[[#This Row],[venta total]]-gemini_code_1787702791259[[#This Row],[Costo total]]</f>
        <v>200</v>
      </c>
      <c r="Q578" s="2">
        <f>gemini_code_1787702791259[[#This Row],[Ganancia bruta]]/gemini_code_1787702791259[[#This Row],[venta total]]</f>
        <v>0.35714285714285715</v>
      </c>
      <c r="R578" t="str">
        <f>IF(gemini_code_1787702791259[[#This Row],[Dias_Entrega]]&lt;=gemini_code_1787702791259[[#This Row],[Promesa_SLA_Dias]],"A tiempo","Fuera de SLA")</f>
        <v>A tiempo</v>
      </c>
    </row>
    <row r="579" spans="1:18" x14ac:dyDescent="0.25">
      <c r="A579" t="s">
        <v>39</v>
      </c>
      <c r="B579" s="1">
        <v>46237</v>
      </c>
      <c r="C579" t="s">
        <v>20</v>
      </c>
      <c r="D579" t="s">
        <v>21</v>
      </c>
      <c r="E579" t="s">
        <v>22</v>
      </c>
      <c r="F579" t="s">
        <v>31</v>
      </c>
      <c r="G579" t="s">
        <v>40</v>
      </c>
      <c r="H579">
        <v>3</v>
      </c>
      <c r="I579" s="12">
        <v>150</v>
      </c>
      <c r="J579" s="12">
        <v>85</v>
      </c>
      <c r="K579">
        <v>2</v>
      </c>
      <c r="L579">
        <v>2</v>
      </c>
      <c r="M579">
        <v>400</v>
      </c>
      <c r="N579" s="12">
        <f>+gemini_code_1787702791259[[#This Row],[Cantidad]]*gemini_code_1787702791259[[#This Row],[Precio_Unitario_USD]]</f>
        <v>450</v>
      </c>
      <c r="O579" s="12">
        <f>+gemini_code_1787702791259[[#This Row],[Cantidad]]*gemini_code_1787702791259[[#This Row],[Costo_Unitario_USD]]</f>
        <v>255</v>
      </c>
      <c r="P579" s="12">
        <f>+gemini_code_1787702791259[[#This Row],[venta total]]-gemini_code_1787702791259[[#This Row],[Costo total]]</f>
        <v>195</v>
      </c>
      <c r="Q579" s="2">
        <f>gemini_code_1787702791259[[#This Row],[Ganancia bruta]]/gemini_code_1787702791259[[#This Row],[venta total]]</f>
        <v>0.43333333333333335</v>
      </c>
      <c r="R579" t="str">
        <f>IF(gemini_code_1787702791259[[#This Row],[Dias_Entrega]]&lt;=gemini_code_1787702791259[[#This Row],[Promesa_SLA_Dias]],"A tiempo","Fuera de SLA")</f>
        <v>A tiempo</v>
      </c>
    </row>
    <row r="580" spans="1:18" x14ac:dyDescent="0.25">
      <c r="A580" t="s">
        <v>41</v>
      </c>
      <c r="B580" s="1">
        <v>46237</v>
      </c>
      <c r="C580" t="s">
        <v>26</v>
      </c>
      <c r="D580" t="s">
        <v>27</v>
      </c>
      <c r="E580" t="s">
        <v>16</v>
      </c>
      <c r="F580" t="s">
        <v>17</v>
      </c>
      <c r="G580" t="s">
        <v>42</v>
      </c>
      <c r="H580">
        <v>2</v>
      </c>
      <c r="I580" s="12">
        <v>520</v>
      </c>
      <c r="J580" s="12">
        <v>380</v>
      </c>
      <c r="K580">
        <v>7</v>
      </c>
      <c r="L580">
        <v>4</v>
      </c>
      <c r="M580">
        <v>1000</v>
      </c>
      <c r="N580" s="12">
        <f>+gemini_code_1787702791259[[#This Row],[Cantidad]]*gemini_code_1787702791259[[#This Row],[Precio_Unitario_USD]]</f>
        <v>1040</v>
      </c>
      <c r="O580" s="12">
        <f>+gemini_code_1787702791259[[#This Row],[Cantidad]]*gemini_code_1787702791259[[#This Row],[Costo_Unitario_USD]]</f>
        <v>760</v>
      </c>
      <c r="P580" s="12">
        <f>+gemini_code_1787702791259[[#This Row],[venta total]]-gemini_code_1787702791259[[#This Row],[Costo total]]</f>
        <v>280</v>
      </c>
      <c r="Q580" s="2">
        <f>gemini_code_1787702791259[[#This Row],[Ganancia bruta]]/gemini_code_1787702791259[[#This Row],[venta total]]</f>
        <v>0.26923076923076922</v>
      </c>
      <c r="R580" t="str">
        <f>IF(gemini_code_1787702791259[[#This Row],[Dias_Entrega]]&lt;=gemini_code_1787702791259[[#This Row],[Promesa_SLA_Dias]],"A tiempo","Fuera de SLA")</f>
        <v>Fuera de SLA</v>
      </c>
    </row>
    <row r="581" spans="1:18" x14ac:dyDescent="0.25">
      <c r="A581" t="s">
        <v>43</v>
      </c>
      <c r="B581" s="1">
        <v>46238</v>
      </c>
      <c r="C581" t="s">
        <v>14</v>
      </c>
      <c r="D581" t="s">
        <v>15</v>
      </c>
      <c r="E581" t="s">
        <v>22</v>
      </c>
      <c r="F581" t="s">
        <v>23</v>
      </c>
      <c r="G581" t="s">
        <v>44</v>
      </c>
      <c r="H581">
        <v>6</v>
      </c>
      <c r="I581" s="12">
        <v>55</v>
      </c>
      <c r="J581" s="12">
        <v>25</v>
      </c>
      <c r="K581">
        <v>2</v>
      </c>
      <c r="L581">
        <v>3</v>
      </c>
      <c r="M581">
        <v>300</v>
      </c>
      <c r="N581" s="12">
        <f>+gemini_code_1787702791259[[#This Row],[Cantidad]]*gemini_code_1787702791259[[#This Row],[Precio_Unitario_USD]]</f>
        <v>330</v>
      </c>
      <c r="O581" s="12">
        <f>+gemini_code_1787702791259[[#This Row],[Cantidad]]*gemini_code_1787702791259[[#This Row],[Costo_Unitario_USD]]</f>
        <v>150</v>
      </c>
      <c r="P581" s="12">
        <f>+gemini_code_1787702791259[[#This Row],[venta total]]-gemini_code_1787702791259[[#This Row],[Costo total]]</f>
        <v>180</v>
      </c>
      <c r="Q581" s="2">
        <f>gemini_code_1787702791259[[#This Row],[Ganancia bruta]]/gemini_code_1787702791259[[#This Row],[venta total]]</f>
        <v>0.54545454545454541</v>
      </c>
      <c r="R581" t="str">
        <f>IF(gemini_code_1787702791259[[#This Row],[Dias_Entrega]]&lt;=gemini_code_1787702791259[[#This Row],[Promesa_SLA_Dias]],"A tiempo","Fuera de SLA")</f>
        <v>A tiempo</v>
      </c>
    </row>
    <row r="582" spans="1:18" x14ac:dyDescent="0.25">
      <c r="A582" t="s">
        <v>45</v>
      </c>
      <c r="B582" s="1">
        <v>46238</v>
      </c>
      <c r="C582" t="s">
        <v>20</v>
      </c>
      <c r="D582" t="s">
        <v>21</v>
      </c>
      <c r="E582" t="s">
        <v>16</v>
      </c>
      <c r="F582" t="s">
        <v>28</v>
      </c>
      <c r="G582" t="s">
        <v>46</v>
      </c>
      <c r="H582">
        <v>1</v>
      </c>
      <c r="I582" s="12">
        <v>450</v>
      </c>
      <c r="J582" s="12">
        <v>290</v>
      </c>
      <c r="K582">
        <v>4</v>
      </c>
      <c r="L582">
        <v>3</v>
      </c>
      <c r="M582">
        <v>400</v>
      </c>
      <c r="N582" s="12">
        <f>+gemini_code_1787702791259[[#This Row],[Cantidad]]*gemini_code_1787702791259[[#This Row],[Precio_Unitario_USD]]</f>
        <v>450</v>
      </c>
      <c r="O582" s="12">
        <f>+gemini_code_1787702791259[[#This Row],[Cantidad]]*gemini_code_1787702791259[[#This Row],[Costo_Unitario_USD]]</f>
        <v>290</v>
      </c>
      <c r="P582" s="12">
        <f>+gemini_code_1787702791259[[#This Row],[venta total]]-gemini_code_1787702791259[[#This Row],[Costo total]]</f>
        <v>160</v>
      </c>
      <c r="Q582" s="2">
        <f>gemini_code_1787702791259[[#This Row],[Ganancia bruta]]/gemini_code_1787702791259[[#This Row],[venta total]]</f>
        <v>0.35555555555555557</v>
      </c>
      <c r="R582" t="str">
        <f>IF(gemini_code_1787702791259[[#This Row],[Dias_Entrega]]&lt;=gemini_code_1787702791259[[#This Row],[Promesa_SLA_Dias]],"A tiempo","Fuera de SLA")</f>
        <v>Fuera de SLA</v>
      </c>
    </row>
    <row r="583" spans="1:18" x14ac:dyDescent="0.25">
      <c r="A583" t="s">
        <v>47</v>
      </c>
      <c r="B583" s="1">
        <v>46238</v>
      </c>
      <c r="C583" t="s">
        <v>26</v>
      </c>
      <c r="D583" t="s">
        <v>27</v>
      </c>
      <c r="E583" t="s">
        <v>22</v>
      </c>
      <c r="F583" t="s">
        <v>31</v>
      </c>
      <c r="G583" t="s">
        <v>48</v>
      </c>
      <c r="H583">
        <v>10</v>
      </c>
      <c r="I583" s="12">
        <v>35</v>
      </c>
      <c r="J583" s="12">
        <v>15</v>
      </c>
      <c r="K583">
        <v>4</v>
      </c>
      <c r="L583">
        <v>3</v>
      </c>
      <c r="M583">
        <v>300</v>
      </c>
      <c r="N583" s="12">
        <f>+gemini_code_1787702791259[[#This Row],[Cantidad]]*gemini_code_1787702791259[[#This Row],[Precio_Unitario_USD]]</f>
        <v>350</v>
      </c>
      <c r="O583" s="12">
        <f>+gemini_code_1787702791259[[#This Row],[Cantidad]]*gemini_code_1787702791259[[#This Row],[Costo_Unitario_USD]]</f>
        <v>150</v>
      </c>
      <c r="P583" s="12">
        <f>+gemini_code_1787702791259[[#This Row],[venta total]]-gemini_code_1787702791259[[#This Row],[Costo total]]</f>
        <v>200</v>
      </c>
      <c r="Q583" s="2">
        <f>gemini_code_1787702791259[[#This Row],[Ganancia bruta]]/gemini_code_1787702791259[[#This Row],[venta total]]</f>
        <v>0.5714285714285714</v>
      </c>
      <c r="R583" t="str">
        <f>IF(gemini_code_1787702791259[[#This Row],[Dias_Entrega]]&lt;=gemini_code_1787702791259[[#This Row],[Promesa_SLA_Dias]],"A tiempo","Fuera de SLA")</f>
        <v>Fuera de SLA</v>
      </c>
    </row>
    <row r="584" spans="1:18" x14ac:dyDescent="0.25">
      <c r="A584" t="s">
        <v>49</v>
      </c>
      <c r="B584" s="1">
        <v>46239</v>
      </c>
      <c r="C584" t="s">
        <v>14</v>
      </c>
      <c r="D584" t="s">
        <v>15</v>
      </c>
      <c r="E584" t="s">
        <v>16</v>
      </c>
      <c r="F584" t="s">
        <v>17</v>
      </c>
      <c r="G584" t="s">
        <v>50</v>
      </c>
      <c r="H584">
        <v>4</v>
      </c>
      <c r="I584" s="12">
        <v>220</v>
      </c>
      <c r="J584" s="12">
        <v>140</v>
      </c>
      <c r="K584">
        <v>2</v>
      </c>
      <c r="L584">
        <v>3</v>
      </c>
      <c r="M584">
        <v>800</v>
      </c>
      <c r="N584" s="12">
        <f>+gemini_code_1787702791259[[#This Row],[Cantidad]]*gemini_code_1787702791259[[#This Row],[Precio_Unitario_USD]]</f>
        <v>880</v>
      </c>
      <c r="O584" s="12">
        <f>+gemini_code_1787702791259[[#This Row],[Cantidad]]*gemini_code_1787702791259[[#This Row],[Costo_Unitario_USD]]</f>
        <v>560</v>
      </c>
      <c r="P584" s="12">
        <f>+gemini_code_1787702791259[[#This Row],[venta total]]-gemini_code_1787702791259[[#This Row],[Costo total]]</f>
        <v>320</v>
      </c>
      <c r="Q584" s="2">
        <f>gemini_code_1787702791259[[#This Row],[Ganancia bruta]]/gemini_code_1787702791259[[#This Row],[venta total]]</f>
        <v>0.36363636363636365</v>
      </c>
      <c r="R584" t="str">
        <f>IF(gemini_code_1787702791259[[#This Row],[Dias_Entrega]]&lt;=gemini_code_1787702791259[[#This Row],[Promesa_SLA_Dias]],"A tiempo","Fuera de SLA")</f>
        <v>A tiempo</v>
      </c>
    </row>
    <row r="585" spans="1:18" x14ac:dyDescent="0.25">
      <c r="A585" t="s">
        <v>51</v>
      </c>
      <c r="B585" s="1">
        <v>46239</v>
      </c>
      <c r="C585" t="s">
        <v>20</v>
      </c>
      <c r="D585" t="s">
        <v>21</v>
      </c>
      <c r="E585" t="s">
        <v>16</v>
      </c>
      <c r="F585" t="s">
        <v>23</v>
      </c>
      <c r="G585" t="s">
        <v>52</v>
      </c>
      <c r="H585">
        <v>5</v>
      </c>
      <c r="I585" s="12">
        <v>65</v>
      </c>
      <c r="J585" s="12">
        <v>30</v>
      </c>
      <c r="K585">
        <v>2</v>
      </c>
      <c r="L585">
        <v>3</v>
      </c>
      <c r="M585">
        <v>300</v>
      </c>
      <c r="N585" s="12">
        <f>+gemini_code_1787702791259[[#This Row],[Cantidad]]*gemini_code_1787702791259[[#This Row],[Precio_Unitario_USD]]</f>
        <v>325</v>
      </c>
      <c r="O585" s="12">
        <f>+gemini_code_1787702791259[[#This Row],[Cantidad]]*gemini_code_1787702791259[[#This Row],[Costo_Unitario_USD]]</f>
        <v>150</v>
      </c>
      <c r="P585" s="12">
        <f>+gemini_code_1787702791259[[#This Row],[venta total]]-gemini_code_1787702791259[[#This Row],[Costo total]]</f>
        <v>175</v>
      </c>
      <c r="Q585" s="2">
        <f>gemini_code_1787702791259[[#This Row],[Ganancia bruta]]/gemini_code_1787702791259[[#This Row],[venta total]]</f>
        <v>0.53846153846153844</v>
      </c>
      <c r="R585" t="str">
        <f>IF(gemini_code_1787702791259[[#This Row],[Dias_Entrega]]&lt;=gemini_code_1787702791259[[#This Row],[Promesa_SLA_Dias]],"A tiempo","Fuera de SLA")</f>
        <v>A tiempo</v>
      </c>
    </row>
    <row r="586" spans="1:18" x14ac:dyDescent="0.25">
      <c r="A586" t="s">
        <v>53</v>
      </c>
      <c r="B586" s="1">
        <v>46239</v>
      </c>
      <c r="C586" t="s">
        <v>26</v>
      </c>
      <c r="D586" t="s">
        <v>27</v>
      </c>
      <c r="E586" t="s">
        <v>16</v>
      </c>
      <c r="F586" t="s">
        <v>28</v>
      </c>
      <c r="G586" t="s">
        <v>54</v>
      </c>
      <c r="H586">
        <v>2</v>
      </c>
      <c r="I586" s="12">
        <v>180</v>
      </c>
      <c r="J586" s="12">
        <v>110</v>
      </c>
      <c r="K586">
        <v>6</v>
      </c>
      <c r="L586">
        <v>3</v>
      </c>
      <c r="M586">
        <v>350</v>
      </c>
      <c r="N586" s="12">
        <f>+gemini_code_1787702791259[[#This Row],[Cantidad]]*gemini_code_1787702791259[[#This Row],[Precio_Unitario_USD]]</f>
        <v>360</v>
      </c>
      <c r="O586" s="12">
        <f>+gemini_code_1787702791259[[#This Row],[Cantidad]]*gemini_code_1787702791259[[#This Row],[Costo_Unitario_USD]]</f>
        <v>220</v>
      </c>
      <c r="P586" s="12">
        <f>+gemini_code_1787702791259[[#This Row],[venta total]]-gemini_code_1787702791259[[#This Row],[Costo total]]</f>
        <v>140</v>
      </c>
      <c r="Q586" s="2">
        <f>gemini_code_1787702791259[[#This Row],[Ganancia bruta]]/gemini_code_1787702791259[[#This Row],[venta total]]</f>
        <v>0.3888888888888889</v>
      </c>
      <c r="R586" t="str">
        <f>IF(gemini_code_1787702791259[[#This Row],[Dias_Entrega]]&lt;=gemini_code_1787702791259[[#This Row],[Promesa_SLA_Dias]],"A tiempo","Fuera de SLA")</f>
        <v>Fuera de SLA</v>
      </c>
    </row>
    <row r="587" spans="1:18" x14ac:dyDescent="0.25">
      <c r="A587" t="s">
        <v>55</v>
      </c>
      <c r="B587" s="1">
        <v>46240</v>
      </c>
      <c r="C587" t="s">
        <v>14</v>
      </c>
      <c r="D587" t="s">
        <v>15</v>
      </c>
      <c r="E587" t="s">
        <v>22</v>
      </c>
      <c r="F587" t="s">
        <v>31</v>
      </c>
      <c r="G587" t="s">
        <v>56</v>
      </c>
      <c r="H587">
        <v>6</v>
      </c>
      <c r="I587" s="12">
        <v>85</v>
      </c>
      <c r="J587" s="12">
        <v>45</v>
      </c>
      <c r="K587">
        <v>1</v>
      </c>
      <c r="L587">
        <v>2</v>
      </c>
      <c r="M587">
        <v>500</v>
      </c>
      <c r="N587" s="12">
        <f>+gemini_code_1787702791259[[#This Row],[Cantidad]]*gemini_code_1787702791259[[#This Row],[Precio_Unitario_USD]]</f>
        <v>510</v>
      </c>
      <c r="O587" s="12">
        <f>+gemini_code_1787702791259[[#This Row],[Cantidad]]*gemini_code_1787702791259[[#This Row],[Costo_Unitario_USD]]</f>
        <v>270</v>
      </c>
      <c r="P587" s="12">
        <f>+gemini_code_1787702791259[[#This Row],[venta total]]-gemini_code_1787702791259[[#This Row],[Costo total]]</f>
        <v>240</v>
      </c>
      <c r="Q587" s="2">
        <f>gemini_code_1787702791259[[#This Row],[Ganancia bruta]]/gemini_code_1787702791259[[#This Row],[venta total]]</f>
        <v>0.47058823529411764</v>
      </c>
      <c r="R587" t="str">
        <f>IF(gemini_code_1787702791259[[#This Row],[Dias_Entrega]]&lt;=gemini_code_1787702791259[[#This Row],[Promesa_SLA_Dias]],"A tiempo","Fuera de SLA")</f>
        <v>A tiempo</v>
      </c>
    </row>
    <row r="588" spans="1:18" x14ac:dyDescent="0.25">
      <c r="A588" t="s">
        <v>57</v>
      </c>
      <c r="B588" s="1">
        <v>46240</v>
      </c>
      <c r="C588" t="s">
        <v>20</v>
      </c>
      <c r="D588" t="s">
        <v>21</v>
      </c>
      <c r="E588" t="s">
        <v>16</v>
      </c>
      <c r="F588" t="s">
        <v>17</v>
      </c>
      <c r="G588" t="s">
        <v>58</v>
      </c>
      <c r="H588">
        <v>12</v>
      </c>
      <c r="I588" s="12">
        <v>75</v>
      </c>
      <c r="J588" s="12">
        <v>35</v>
      </c>
      <c r="K588">
        <v>1</v>
      </c>
      <c r="L588">
        <v>2</v>
      </c>
      <c r="M588">
        <v>800</v>
      </c>
      <c r="N588" s="12">
        <f>+gemini_code_1787702791259[[#This Row],[Cantidad]]*gemini_code_1787702791259[[#This Row],[Precio_Unitario_USD]]</f>
        <v>900</v>
      </c>
      <c r="O588" s="12">
        <f>+gemini_code_1787702791259[[#This Row],[Cantidad]]*gemini_code_1787702791259[[#This Row],[Costo_Unitario_USD]]</f>
        <v>420</v>
      </c>
      <c r="P588" s="12">
        <f>+gemini_code_1787702791259[[#This Row],[venta total]]-gemini_code_1787702791259[[#This Row],[Costo total]]</f>
        <v>480</v>
      </c>
      <c r="Q588" s="2">
        <f>gemini_code_1787702791259[[#This Row],[Ganancia bruta]]/gemini_code_1787702791259[[#This Row],[venta total]]</f>
        <v>0.53333333333333333</v>
      </c>
      <c r="R588" t="str">
        <f>IF(gemini_code_1787702791259[[#This Row],[Dias_Entrega]]&lt;=gemini_code_1787702791259[[#This Row],[Promesa_SLA_Dias]],"A tiempo","Fuera de SLA")</f>
        <v>A tiempo</v>
      </c>
    </row>
    <row r="589" spans="1:18" x14ac:dyDescent="0.25">
      <c r="A589" t="s">
        <v>59</v>
      </c>
      <c r="B589" s="1">
        <v>46240</v>
      </c>
      <c r="C589" t="s">
        <v>26</v>
      </c>
      <c r="D589" t="s">
        <v>27</v>
      </c>
      <c r="E589" t="s">
        <v>22</v>
      </c>
      <c r="F589" t="s">
        <v>23</v>
      </c>
      <c r="G589" t="s">
        <v>60</v>
      </c>
      <c r="H589">
        <v>4</v>
      </c>
      <c r="I589" s="12">
        <v>110</v>
      </c>
      <c r="J589" s="12">
        <v>55</v>
      </c>
      <c r="K589">
        <v>5</v>
      </c>
      <c r="L589">
        <v>3</v>
      </c>
      <c r="M589">
        <v>400</v>
      </c>
      <c r="N589" s="12">
        <f>+gemini_code_1787702791259[[#This Row],[Cantidad]]*gemini_code_1787702791259[[#This Row],[Precio_Unitario_USD]]</f>
        <v>440</v>
      </c>
      <c r="O589" s="12">
        <f>+gemini_code_1787702791259[[#This Row],[Cantidad]]*gemini_code_1787702791259[[#This Row],[Costo_Unitario_USD]]</f>
        <v>220</v>
      </c>
      <c r="P589" s="12">
        <f>+gemini_code_1787702791259[[#This Row],[venta total]]-gemini_code_1787702791259[[#This Row],[Costo total]]</f>
        <v>220</v>
      </c>
      <c r="Q589" s="2">
        <f>gemini_code_1787702791259[[#This Row],[Ganancia bruta]]/gemini_code_1787702791259[[#This Row],[venta total]]</f>
        <v>0.5</v>
      </c>
      <c r="R589" t="str">
        <f>IF(gemini_code_1787702791259[[#This Row],[Dias_Entrega]]&lt;=gemini_code_1787702791259[[#This Row],[Promesa_SLA_Dias]],"A tiempo","Fuera de SLA")</f>
        <v>Fuera de SLA</v>
      </c>
    </row>
    <row r="590" spans="1:18" x14ac:dyDescent="0.25">
      <c r="A590" t="s">
        <v>61</v>
      </c>
      <c r="B590" s="1">
        <v>46241</v>
      </c>
      <c r="C590" t="s">
        <v>14</v>
      </c>
      <c r="D590" t="s">
        <v>15</v>
      </c>
      <c r="E590" t="s">
        <v>16</v>
      </c>
      <c r="F590" t="s">
        <v>28</v>
      </c>
      <c r="G590" t="s">
        <v>62</v>
      </c>
      <c r="H590">
        <v>15</v>
      </c>
      <c r="I590" s="12">
        <v>25</v>
      </c>
      <c r="J590" s="12">
        <v>10</v>
      </c>
      <c r="K590">
        <v>2</v>
      </c>
      <c r="L590">
        <v>3</v>
      </c>
      <c r="M590">
        <v>300</v>
      </c>
      <c r="N590" s="12">
        <f>+gemini_code_1787702791259[[#This Row],[Cantidad]]*gemini_code_1787702791259[[#This Row],[Precio_Unitario_USD]]</f>
        <v>375</v>
      </c>
      <c r="O590" s="12">
        <f>+gemini_code_1787702791259[[#This Row],[Cantidad]]*gemini_code_1787702791259[[#This Row],[Costo_Unitario_USD]]</f>
        <v>150</v>
      </c>
      <c r="P590" s="12">
        <f>+gemini_code_1787702791259[[#This Row],[venta total]]-gemini_code_1787702791259[[#This Row],[Costo total]]</f>
        <v>225</v>
      </c>
      <c r="Q590" s="2">
        <f>gemini_code_1787702791259[[#This Row],[Ganancia bruta]]/gemini_code_1787702791259[[#This Row],[venta total]]</f>
        <v>0.6</v>
      </c>
      <c r="R590" t="str">
        <f>IF(gemini_code_1787702791259[[#This Row],[Dias_Entrega]]&lt;=gemini_code_1787702791259[[#This Row],[Promesa_SLA_Dias]],"A tiempo","Fuera de SLA")</f>
        <v>A tiempo</v>
      </c>
    </row>
    <row r="591" spans="1:18" x14ac:dyDescent="0.25">
      <c r="A591" t="s">
        <v>63</v>
      </c>
      <c r="B591" s="1">
        <v>46241</v>
      </c>
      <c r="C591" t="s">
        <v>20</v>
      </c>
      <c r="D591" t="s">
        <v>21</v>
      </c>
      <c r="E591" t="s">
        <v>22</v>
      </c>
      <c r="F591" t="s">
        <v>31</v>
      </c>
      <c r="G591" t="s">
        <v>64</v>
      </c>
      <c r="H591">
        <v>5</v>
      </c>
      <c r="I591" s="12">
        <v>130</v>
      </c>
      <c r="J591" s="12">
        <v>70</v>
      </c>
      <c r="K591">
        <v>3</v>
      </c>
      <c r="L591">
        <v>3</v>
      </c>
      <c r="M591">
        <v>600</v>
      </c>
      <c r="N591" s="12">
        <f>+gemini_code_1787702791259[[#This Row],[Cantidad]]*gemini_code_1787702791259[[#This Row],[Precio_Unitario_USD]]</f>
        <v>650</v>
      </c>
      <c r="O591" s="12">
        <f>+gemini_code_1787702791259[[#This Row],[Cantidad]]*gemini_code_1787702791259[[#This Row],[Costo_Unitario_USD]]</f>
        <v>350</v>
      </c>
      <c r="P591" s="12">
        <f>+gemini_code_1787702791259[[#This Row],[venta total]]-gemini_code_1787702791259[[#This Row],[Costo total]]</f>
        <v>300</v>
      </c>
      <c r="Q591" s="2">
        <f>gemini_code_1787702791259[[#This Row],[Ganancia bruta]]/gemini_code_1787702791259[[#This Row],[venta total]]</f>
        <v>0.46153846153846156</v>
      </c>
      <c r="R591" t="str">
        <f>IF(gemini_code_1787702791259[[#This Row],[Dias_Entrega]]&lt;=gemini_code_1787702791259[[#This Row],[Promesa_SLA_Dias]],"A tiempo","Fuera de SLA")</f>
        <v>A tiempo</v>
      </c>
    </row>
    <row r="592" spans="1:18" x14ac:dyDescent="0.25">
      <c r="A592" t="s">
        <v>65</v>
      </c>
      <c r="B592" s="1">
        <v>46241</v>
      </c>
      <c r="C592" t="s">
        <v>26</v>
      </c>
      <c r="D592" t="s">
        <v>27</v>
      </c>
      <c r="E592" t="s">
        <v>16</v>
      </c>
      <c r="F592" t="s">
        <v>17</v>
      </c>
      <c r="G592" t="s">
        <v>66</v>
      </c>
      <c r="H592">
        <v>2</v>
      </c>
      <c r="I592" s="12">
        <v>500</v>
      </c>
      <c r="J592" s="12">
        <v>380</v>
      </c>
      <c r="K592">
        <v>6</v>
      </c>
      <c r="L592">
        <v>4</v>
      </c>
      <c r="M592">
        <v>900</v>
      </c>
      <c r="N592" s="12">
        <f>+gemini_code_1787702791259[[#This Row],[Cantidad]]*gemini_code_1787702791259[[#This Row],[Precio_Unitario_USD]]</f>
        <v>1000</v>
      </c>
      <c r="O592" s="12">
        <f>+gemini_code_1787702791259[[#This Row],[Cantidad]]*gemini_code_1787702791259[[#This Row],[Costo_Unitario_USD]]</f>
        <v>760</v>
      </c>
      <c r="P592" s="12">
        <f>+gemini_code_1787702791259[[#This Row],[venta total]]-gemini_code_1787702791259[[#This Row],[Costo total]]</f>
        <v>240</v>
      </c>
      <c r="Q592" s="2">
        <f>gemini_code_1787702791259[[#This Row],[Ganancia bruta]]/gemini_code_1787702791259[[#This Row],[venta total]]</f>
        <v>0.24</v>
      </c>
      <c r="R592" t="str">
        <f>IF(gemini_code_1787702791259[[#This Row],[Dias_Entrega]]&lt;=gemini_code_1787702791259[[#This Row],[Promesa_SLA_Dias]],"A tiempo","Fuera de SLA")</f>
        <v>Fuera de SLA</v>
      </c>
    </row>
    <row r="593" spans="1:18" x14ac:dyDescent="0.25">
      <c r="A593" t="s">
        <v>67</v>
      </c>
      <c r="B593" s="1">
        <v>46242</v>
      </c>
      <c r="C593" t="s">
        <v>14</v>
      </c>
      <c r="D593" t="s">
        <v>15</v>
      </c>
      <c r="E593" t="s">
        <v>16</v>
      </c>
      <c r="F593" t="s">
        <v>23</v>
      </c>
      <c r="G593" t="s">
        <v>68</v>
      </c>
      <c r="H593">
        <v>3</v>
      </c>
      <c r="I593" s="12">
        <v>95</v>
      </c>
      <c r="J593" s="12">
        <v>45</v>
      </c>
      <c r="K593">
        <v>2</v>
      </c>
      <c r="L593">
        <v>3</v>
      </c>
      <c r="M593">
        <v>300</v>
      </c>
      <c r="N593" s="12">
        <f>+gemini_code_1787702791259[[#This Row],[Cantidad]]*gemini_code_1787702791259[[#This Row],[Precio_Unitario_USD]]</f>
        <v>285</v>
      </c>
      <c r="O593" s="12">
        <f>+gemini_code_1787702791259[[#This Row],[Cantidad]]*gemini_code_1787702791259[[#This Row],[Costo_Unitario_USD]]</f>
        <v>135</v>
      </c>
      <c r="P593" s="12">
        <f>+gemini_code_1787702791259[[#This Row],[venta total]]-gemini_code_1787702791259[[#This Row],[Costo total]]</f>
        <v>150</v>
      </c>
      <c r="Q593" s="2">
        <f>gemini_code_1787702791259[[#This Row],[Ganancia bruta]]/gemini_code_1787702791259[[#This Row],[venta total]]</f>
        <v>0.52631578947368418</v>
      </c>
      <c r="R593" t="str">
        <f>IF(gemini_code_1787702791259[[#This Row],[Dias_Entrega]]&lt;=gemini_code_1787702791259[[#This Row],[Promesa_SLA_Dias]],"A tiempo","Fuera de SLA")</f>
        <v>A tiempo</v>
      </c>
    </row>
    <row r="594" spans="1:18" x14ac:dyDescent="0.25">
      <c r="A594" t="s">
        <v>69</v>
      </c>
      <c r="B594" s="1">
        <v>46242</v>
      </c>
      <c r="C594" t="s">
        <v>20</v>
      </c>
      <c r="D594" t="s">
        <v>21</v>
      </c>
      <c r="E594" t="s">
        <v>16</v>
      </c>
      <c r="F594" t="s">
        <v>28</v>
      </c>
      <c r="G594" t="s">
        <v>70</v>
      </c>
      <c r="H594">
        <v>4</v>
      </c>
      <c r="I594" s="12">
        <v>160</v>
      </c>
      <c r="J594" s="12">
        <v>95</v>
      </c>
      <c r="K594">
        <v>2</v>
      </c>
      <c r="L594">
        <v>3</v>
      </c>
      <c r="M594">
        <v>600</v>
      </c>
      <c r="N594" s="12">
        <f>+gemini_code_1787702791259[[#This Row],[Cantidad]]*gemini_code_1787702791259[[#This Row],[Precio_Unitario_USD]]</f>
        <v>640</v>
      </c>
      <c r="O594" s="12">
        <f>+gemini_code_1787702791259[[#This Row],[Cantidad]]*gemini_code_1787702791259[[#This Row],[Costo_Unitario_USD]]</f>
        <v>380</v>
      </c>
      <c r="P594" s="12">
        <f>+gemini_code_1787702791259[[#This Row],[venta total]]-gemini_code_1787702791259[[#This Row],[Costo total]]</f>
        <v>260</v>
      </c>
      <c r="Q594" s="2">
        <f>gemini_code_1787702791259[[#This Row],[Ganancia bruta]]/gemini_code_1787702791259[[#This Row],[venta total]]</f>
        <v>0.40625</v>
      </c>
      <c r="R594" t="str">
        <f>IF(gemini_code_1787702791259[[#This Row],[Dias_Entrega]]&lt;=gemini_code_1787702791259[[#This Row],[Promesa_SLA_Dias]],"A tiempo","Fuera de SLA")</f>
        <v>A tiempo</v>
      </c>
    </row>
    <row r="595" spans="1:18" x14ac:dyDescent="0.25">
      <c r="A595" t="s">
        <v>71</v>
      </c>
      <c r="B595" s="1">
        <v>46242</v>
      </c>
      <c r="C595" t="s">
        <v>26</v>
      </c>
      <c r="D595" t="s">
        <v>27</v>
      </c>
      <c r="E595" t="s">
        <v>22</v>
      </c>
      <c r="F595" t="s">
        <v>31</v>
      </c>
      <c r="G595" t="s">
        <v>72</v>
      </c>
      <c r="H595">
        <v>7</v>
      </c>
      <c r="I595" s="12">
        <v>90</v>
      </c>
      <c r="J595" s="12">
        <v>45</v>
      </c>
      <c r="K595">
        <v>4</v>
      </c>
      <c r="L595">
        <v>3</v>
      </c>
      <c r="M595">
        <v>600</v>
      </c>
      <c r="N595" s="12">
        <f>+gemini_code_1787702791259[[#This Row],[Cantidad]]*gemini_code_1787702791259[[#This Row],[Precio_Unitario_USD]]</f>
        <v>630</v>
      </c>
      <c r="O595" s="12">
        <f>+gemini_code_1787702791259[[#This Row],[Cantidad]]*gemini_code_1787702791259[[#This Row],[Costo_Unitario_USD]]</f>
        <v>315</v>
      </c>
      <c r="P595" s="12">
        <f>+gemini_code_1787702791259[[#This Row],[venta total]]-gemini_code_1787702791259[[#This Row],[Costo total]]</f>
        <v>315</v>
      </c>
      <c r="Q595" s="2">
        <f>gemini_code_1787702791259[[#This Row],[Ganancia bruta]]/gemini_code_1787702791259[[#This Row],[venta total]]</f>
        <v>0.5</v>
      </c>
      <c r="R595" t="str">
        <f>IF(gemini_code_1787702791259[[#This Row],[Dias_Entrega]]&lt;=gemini_code_1787702791259[[#This Row],[Promesa_SLA_Dias]],"A tiempo","Fuera de SLA")</f>
        <v>Fuera de SLA</v>
      </c>
    </row>
    <row r="596" spans="1:18" x14ac:dyDescent="0.25">
      <c r="A596" t="s">
        <v>73</v>
      </c>
      <c r="B596" s="1">
        <v>46243</v>
      </c>
      <c r="C596" t="s">
        <v>14</v>
      </c>
      <c r="D596" t="s">
        <v>15</v>
      </c>
      <c r="E596" t="s">
        <v>22</v>
      </c>
      <c r="F596" t="s">
        <v>17</v>
      </c>
      <c r="G596" t="s">
        <v>74</v>
      </c>
      <c r="H596">
        <v>3</v>
      </c>
      <c r="I596" s="12">
        <v>310</v>
      </c>
      <c r="J596" s="12">
        <v>210</v>
      </c>
      <c r="K596">
        <v>2</v>
      </c>
      <c r="L596">
        <v>3</v>
      </c>
      <c r="M596">
        <v>900</v>
      </c>
      <c r="N596" s="12">
        <f>+gemini_code_1787702791259[[#This Row],[Cantidad]]*gemini_code_1787702791259[[#This Row],[Precio_Unitario_USD]]</f>
        <v>930</v>
      </c>
      <c r="O596" s="12">
        <f>+gemini_code_1787702791259[[#This Row],[Cantidad]]*gemini_code_1787702791259[[#This Row],[Costo_Unitario_USD]]</f>
        <v>630</v>
      </c>
      <c r="P596" s="12">
        <f>+gemini_code_1787702791259[[#This Row],[venta total]]-gemini_code_1787702791259[[#This Row],[Costo total]]</f>
        <v>300</v>
      </c>
      <c r="Q596" s="2">
        <f>gemini_code_1787702791259[[#This Row],[Ganancia bruta]]/gemini_code_1787702791259[[#This Row],[venta total]]</f>
        <v>0.32258064516129031</v>
      </c>
      <c r="R596" t="str">
        <f>IF(gemini_code_1787702791259[[#This Row],[Dias_Entrega]]&lt;=gemini_code_1787702791259[[#This Row],[Promesa_SLA_Dias]],"A tiempo","Fuera de SLA")</f>
        <v>A tiempo</v>
      </c>
    </row>
    <row r="597" spans="1:18" x14ac:dyDescent="0.25">
      <c r="A597" t="s">
        <v>75</v>
      </c>
      <c r="B597" s="1">
        <v>46243</v>
      </c>
      <c r="C597" t="s">
        <v>20</v>
      </c>
      <c r="D597" t="s">
        <v>21</v>
      </c>
      <c r="E597" t="s">
        <v>16</v>
      </c>
      <c r="F597" t="s">
        <v>23</v>
      </c>
      <c r="G597" t="s">
        <v>76</v>
      </c>
      <c r="H597">
        <v>8</v>
      </c>
      <c r="I597" s="12">
        <v>50</v>
      </c>
      <c r="J597" s="12">
        <v>22</v>
      </c>
      <c r="K597">
        <v>2</v>
      </c>
      <c r="L597">
        <v>3</v>
      </c>
      <c r="M597">
        <v>400</v>
      </c>
      <c r="N597" s="12">
        <f>+gemini_code_1787702791259[[#This Row],[Cantidad]]*gemini_code_1787702791259[[#This Row],[Precio_Unitario_USD]]</f>
        <v>400</v>
      </c>
      <c r="O597" s="12">
        <f>+gemini_code_1787702791259[[#This Row],[Cantidad]]*gemini_code_1787702791259[[#This Row],[Costo_Unitario_USD]]</f>
        <v>176</v>
      </c>
      <c r="P597" s="12">
        <f>+gemini_code_1787702791259[[#This Row],[venta total]]-gemini_code_1787702791259[[#This Row],[Costo total]]</f>
        <v>224</v>
      </c>
      <c r="Q597" s="2">
        <f>gemini_code_1787702791259[[#This Row],[Ganancia bruta]]/gemini_code_1787702791259[[#This Row],[venta total]]</f>
        <v>0.56000000000000005</v>
      </c>
      <c r="R597" t="str">
        <f>IF(gemini_code_1787702791259[[#This Row],[Dias_Entrega]]&lt;=gemini_code_1787702791259[[#This Row],[Promesa_SLA_Dias]],"A tiempo","Fuera de SLA")</f>
        <v>A tiempo</v>
      </c>
    </row>
    <row r="598" spans="1:18" x14ac:dyDescent="0.25">
      <c r="A598" t="s">
        <v>77</v>
      </c>
      <c r="B598" s="1">
        <v>46243</v>
      </c>
      <c r="C598" t="s">
        <v>26</v>
      </c>
      <c r="D598" t="s">
        <v>27</v>
      </c>
      <c r="E598" t="s">
        <v>16</v>
      </c>
      <c r="F598" t="s">
        <v>28</v>
      </c>
      <c r="G598" t="s">
        <v>78</v>
      </c>
      <c r="H598">
        <v>1</v>
      </c>
      <c r="I598" s="12">
        <v>750</v>
      </c>
      <c r="J598" s="12">
        <v>480</v>
      </c>
      <c r="K598">
        <v>8</v>
      </c>
      <c r="L598">
        <v>4</v>
      </c>
      <c r="M598">
        <v>700</v>
      </c>
      <c r="N598" s="12">
        <f>+gemini_code_1787702791259[[#This Row],[Cantidad]]*gemini_code_1787702791259[[#This Row],[Precio_Unitario_USD]]</f>
        <v>750</v>
      </c>
      <c r="O598" s="12">
        <f>+gemini_code_1787702791259[[#This Row],[Cantidad]]*gemini_code_1787702791259[[#This Row],[Costo_Unitario_USD]]</f>
        <v>480</v>
      </c>
      <c r="P598" s="12">
        <f>+gemini_code_1787702791259[[#This Row],[venta total]]-gemini_code_1787702791259[[#This Row],[Costo total]]</f>
        <v>270</v>
      </c>
      <c r="Q598" s="2">
        <f>gemini_code_1787702791259[[#This Row],[Ganancia bruta]]/gemini_code_1787702791259[[#This Row],[venta total]]</f>
        <v>0.36</v>
      </c>
      <c r="R598" t="str">
        <f>IF(gemini_code_1787702791259[[#This Row],[Dias_Entrega]]&lt;=gemini_code_1787702791259[[#This Row],[Promesa_SLA_Dias]],"A tiempo","Fuera de SLA")</f>
        <v>Fuera de SLA</v>
      </c>
    </row>
    <row r="599" spans="1:18" x14ac:dyDescent="0.25">
      <c r="A599" t="s">
        <v>79</v>
      </c>
      <c r="B599" s="1">
        <v>46244</v>
      </c>
      <c r="C599" t="s">
        <v>14</v>
      </c>
      <c r="D599" t="s">
        <v>15</v>
      </c>
      <c r="E599" t="s">
        <v>16</v>
      </c>
      <c r="F599" t="s">
        <v>31</v>
      </c>
      <c r="G599" t="s">
        <v>80</v>
      </c>
      <c r="H599">
        <v>4</v>
      </c>
      <c r="I599" s="12">
        <v>140</v>
      </c>
      <c r="J599" s="12">
        <v>75</v>
      </c>
      <c r="K599">
        <v>3</v>
      </c>
      <c r="L599">
        <v>3</v>
      </c>
      <c r="M599">
        <v>500</v>
      </c>
      <c r="N599" s="12">
        <f>+gemini_code_1787702791259[[#This Row],[Cantidad]]*gemini_code_1787702791259[[#This Row],[Precio_Unitario_USD]]</f>
        <v>560</v>
      </c>
      <c r="O599" s="12">
        <f>+gemini_code_1787702791259[[#This Row],[Cantidad]]*gemini_code_1787702791259[[#This Row],[Costo_Unitario_USD]]</f>
        <v>300</v>
      </c>
      <c r="P599" s="12">
        <f>+gemini_code_1787702791259[[#This Row],[venta total]]-gemini_code_1787702791259[[#This Row],[Costo total]]</f>
        <v>260</v>
      </c>
      <c r="Q599" s="2">
        <f>gemini_code_1787702791259[[#This Row],[Ganancia bruta]]/gemini_code_1787702791259[[#This Row],[venta total]]</f>
        <v>0.4642857142857143</v>
      </c>
      <c r="R599" t="str">
        <f>IF(gemini_code_1787702791259[[#This Row],[Dias_Entrega]]&lt;=gemini_code_1787702791259[[#This Row],[Promesa_SLA_Dias]],"A tiempo","Fuera de SLA")</f>
        <v>A tiempo</v>
      </c>
    </row>
    <row r="600" spans="1:18" x14ac:dyDescent="0.25">
      <c r="A600" t="s">
        <v>81</v>
      </c>
      <c r="B600" s="1">
        <v>46244</v>
      </c>
      <c r="C600" t="s">
        <v>20</v>
      </c>
      <c r="D600" t="s">
        <v>21</v>
      </c>
      <c r="E600" t="s">
        <v>22</v>
      </c>
      <c r="F600" t="s">
        <v>17</v>
      </c>
      <c r="G600" t="s">
        <v>82</v>
      </c>
      <c r="H600">
        <v>6</v>
      </c>
      <c r="I600" s="12">
        <v>90</v>
      </c>
      <c r="J600" s="12">
        <v>50</v>
      </c>
      <c r="K600">
        <v>1</v>
      </c>
      <c r="L600">
        <v>2</v>
      </c>
      <c r="M600">
        <v>500</v>
      </c>
      <c r="N600" s="12">
        <f>+gemini_code_1787702791259[[#This Row],[Cantidad]]*gemini_code_1787702791259[[#This Row],[Precio_Unitario_USD]]</f>
        <v>540</v>
      </c>
      <c r="O600" s="12">
        <f>+gemini_code_1787702791259[[#This Row],[Cantidad]]*gemini_code_1787702791259[[#This Row],[Costo_Unitario_USD]]</f>
        <v>300</v>
      </c>
      <c r="P600" s="12">
        <f>+gemini_code_1787702791259[[#This Row],[venta total]]-gemini_code_1787702791259[[#This Row],[Costo total]]</f>
        <v>240</v>
      </c>
      <c r="Q600" s="2">
        <f>gemini_code_1787702791259[[#This Row],[Ganancia bruta]]/gemini_code_1787702791259[[#This Row],[venta total]]</f>
        <v>0.44444444444444442</v>
      </c>
      <c r="R600" t="str">
        <f>IF(gemini_code_1787702791259[[#This Row],[Dias_Entrega]]&lt;=gemini_code_1787702791259[[#This Row],[Promesa_SLA_Dias]],"A tiempo","Fuera de SLA")</f>
        <v>A tiempo</v>
      </c>
    </row>
    <row r="601" spans="1:18" x14ac:dyDescent="0.25">
      <c r="A601" t="s">
        <v>83</v>
      </c>
      <c r="B601" s="1">
        <v>46244</v>
      </c>
      <c r="C601" t="s">
        <v>26</v>
      </c>
      <c r="D601" t="s">
        <v>27</v>
      </c>
      <c r="E601" t="s">
        <v>16</v>
      </c>
      <c r="F601" t="s">
        <v>23</v>
      </c>
      <c r="G601" t="s">
        <v>84</v>
      </c>
      <c r="H601">
        <v>6</v>
      </c>
      <c r="I601" s="12">
        <v>60</v>
      </c>
      <c r="J601" s="12">
        <v>28</v>
      </c>
      <c r="K601">
        <v>5</v>
      </c>
      <c r="L601">
        <v>3</v>
      </c>
      <c r="M601">
        <v>350</v>
      </c>
      <c r="N601" s="12">
        <f>+gemini_code_1787702791259[[#This Row],[Cantidad]]*gemini_code_1787702791259[[#This Row],[Precio_Unitario_USD]]</f>
        <v>360</v>
      </c>
      <c r="O601" s="12">
        <f>+gemini_code_1787702791259[[#This Row],[Cantidad]]*gemini_code_1787702791259[[#This Row],[Costo_Unitario_USD]]</f>
        <v>168</v>
      </c>
      <c r="P601" s="12">
        <f>+gemini_code_1787702791259[[#This Row],[venta total]]-gemini_code_1787702791259[[#This Row],[Costo total]]</f>
        <v>192</v>
      </c>
      <c r="Q601" s="2">
        <f>gemini_code_1787702791259[[#This Row],[Ganancia bruta]]/gemini_code_1787702791259[[#This Row],[venta total]]</f>
        <v>0.53333333333333333</v>
      </c>
      <c r="R601" t="str">
        <f>IF(gemini_code_1787702791259[[#This Row],[Dias_Entrega]]&lt;=gemini_code_1787702791259[[#This Row],[Promesa_SLA_Dias]],"A tiempo","Fuera de SLA")</f>
        <v>Fuera de SLA</v>
      </c>
    </row>
    <row r="602" spans="1:18" x14ac:dyDescent="0.25">
      <c r="A602" t="s">
        <v>13</v>
      </c>
      <c r="B602" s="1">
        <v>46235</v>
      </c>
      <c r="C602" t="s">
        <v>14</v>
      </c>
      <c r="D602" t="s">
        <v>15</v>
      </c>
      <c r="E602" t="s">
        <v>16</v>
      </c>
      <c r="F602" t="s">
        <v>17</v>
      </c>
      <c r="G602" t="s">
        <v>18</v>
      </c>
      <c r="H602">
        <v>2</v>
      </c>
      <c r="I602" s="12">
        <v>850</v>
      </c>
      <c r="J602" s="12">
        <v>600</v>
      </c>
      <c r="K602">
        <v>2</v>
      </c>
      <c r="L602">
        <v>3</v>
      </c>
      <c r="M602">
        <v>1500</v>
      </c>
      <c r="N602" s="12">
        <f>+gemini_code_1787702791259[[#This Row],[Cantidad]]*gemini_code_1787702791259[[#This Row],[Precio_Unitario_USD]]</f>
        <v>1700</v>
      </c>
      <c r="O602" s="12">
        <f>+gemini_code_1787702791259[[#This Row],[Cantidad]]*gemini_code_1787702791259[[#This Row],[Costo_Unitario_USD]]</f>
        <v>1200</v>
      </c>
      <c r="P602" s="12">
        <f>+gemini_code_1787702791259[[#This Row],[venta total]]-gemini_code_1787702791259[[#This Row],[Costo total]]</f>
        <v>500</v>
      </c>
      <c r="Q602" s="2">
        <f>gemini_code_1787702791259[[#This Row],[Ganancia bruta]]/gemini_code_1787702791259[[#This Row],[venta total]]</f>
        <v>0.29411764705882354</v>
      </c>
      <c r="R602" t="str">
        <f>IF(gemini_code_1787702791259[[#This Row],[Dias_Entrega]]&lt;=gemini_code_1787702791259[[#This Row],[Promesa_SLA_Dias]],"A tiempo","Fuera de SLA")</f>
        <v>A tiempo</v>
      </c>
    </row>
    <row r="603" spans="1:18" x14ac:dyDescent="0.25">
      <c r="A603" t="s">
        <v>19</v>
      </c>
      <c r="B603" s="1">
        <v>46235</v>
      </c>
      <c r="C603" t="s">
        <v>20</v>
      </c>
      <c r="D603" t="s">
        <v>21</v>
      </c>
      <c r="E603" t="s">
        <v>22</v>
      </c>
      <c r="F603" t="s">
        <v>23</v>
      </c>
      <c r="G603" t="s">
        <v>24</v>
      </c>
      <c r="H603">
        <v>5</v>
      </c>
      <c r="I603" s="12">
        <v>120</v>
      </c>
      <c r="J603" s="12">
        <v>70</v>
      </c>
      <c r="K603">
        <v>3</v>
      </c>
      <c r="L603">
        <v>3</v>
      </c>
      <c r="M603">
        <v>500</v>
      </c>
      <c r="N603" s="12">
        <f>+gemini_code_1787702791259[[#This Row],[Cantidad]]*gemini_code_1787702791259[[#This Row],[Precio_Unitario_USD]]</f>
        <v>600</v>
      </c>
      <c r="O603" s="12">
        <f>+gemini_code_1787702791259[[#This Row],[Cantidad]]*gemini_code_1787702791259[[#This Row],[Costo_Unitario_USD]]</f>
        <v>350</v>
      </c>
      <c r="P603" s="12">
        <f>+gemini_code_1787702791259[[#This Row],[venta total]]-gemini_code_1787702791259[[#This Row],[Costo total]]</f>
        <v>250</v>
      </c>
      <c r="Q603" s="2">
        <f>gemini_code_1787702791259[[#This Row],[Ganancia bruta]]/gemini_code_1787702791259[[#This Row],[venta total]]</f>
        <v>0.41666666666666669</v>
      </c>
      <c r="R603" t="str">
        <f>IF(gemini_code_1787702791259[[#This Row],[Dias_Entrega]]&lt;=gemini_code_1787702791259[[#This Row],[Promesa_SLA_Dias]],"A tiempo","Fuera de SLA")</f>
        <v>A tiempo</v>
      </c>
    </row>
    <row r="604" spans="1:18" x14ac:dyDescent="0.25">
      <c r="A604" t="s">
        <v>25</v>
      </c>
      <c r="B604" s="1">
        <v>46235</v>
      </c>
      <c r="C604" t="s">
        <v>26</v>
      </c>
      <c r="D604" t="s">
        <v>27</v>
      </c>
      <c r="E604" t="s">
        <v>16</v>
      </c>
      <c r="F604" t="s">
        <v>28</v>
      </c>
      <c r="G604" t="s">
        <v>29</v>
      </c>
      <c r="H604">
        <v>3</v>
      </c>
      <c r="I604" s="12">
        <v>90</v>
      </c>
      <c r="J604" s="12">
        <v>50</v>
      </c>
      <c r="K604">
        <v>6</v>
      </c>
      <c r="L604">
        <v>4</v>
      </c>
      <c r="M604">
        <v>300</v>
      </c>
      <c r="N604" s="12">
        <f>+gemini_code_1787702791259[[#This Row],[Cantidad]]*gemini_code_1787702791259[[#This Row],[Precio_Unitario_USD]]</f>
        <v>270</v>
      </c>
      <c r="O604" s="12">
        <f>+gemini_code_1787702791259[[#This Row],[Cantidad]]*gemini_code_1787702791259[[#This Row],[Costo_Unitario_USD]]</f>
        <v>150</v>
      </c>
      <c r="P604" s="12">
        <f>+gemini_code_1787702791259[[#This Row],[venta total]]-gemini_code_1787702791259[[#This Row],[Costo total]]</f>
        <v>120</v>
      </c>
      <c r="Q604" s="2">
        <f>gemini_code_1787702791259[[#This Row],[Ganancia bruta]]/gemini_code_1787702791259[[#This Row],[venta total]]</f>
        <v>0.44444444444444442</v>
      </c>
      <c r="R604" t="str">
        <f>IF(gemini_code_1787702791259[[#This Row],[Dias_Entrega]]&lt;=gemini_code_1787702791259[[#This Row],[Promesa_SLA_Dias]],"A tiempo","Fuera de SLA")</f>
        <v>Fuera de SLA</v>
      </c>
    </row>
    <row r="605" spans="1:18" x14ac:dyDescent="0.25">
      <c r="A605" t="s">
        <v>30</v>
      </c>
      <c r="B605" s="1">
        <v>46236</v>
      </c>
      <c r="C605" t="s">
        <v>14</v>
      </c>
      <c r="D605" t="s">
        <v>15</v>
      </c>
      <c r="E605" t="s">
        <v>22</v>
      </c>
      <c r="F605" t="s">
        <v>31</v>
      </c>
      <c r="G605" t="s">
        <v>32</v>
      </c>
      <c r="H605">
        <v>4</v>
      </c>
      <c r="I605" s="12">
        <v>110</v>
      </c>
      <c r="J605" s="12">
        <v>60</v>
      </c>
      <c r="K605">
        <v>1</v>
      </c>
      <c r="L605">
        <v>2</v>
      </c>
      <c r="M605">
        <v>400</v>
      </c>
      <c r="N605" s="12">
        <f>+gemini_code_1787702791259[[#This Row],[Cantidad]]*gemini_code_1787702791259[[#This Row],[Precio_Unitario_USD]]</f>
        <v>440</v>
      </c>
      <c r="O605" s="12">
        <f>+gemini_code_1787702791259[[#This Row],[Cantidad]]*gemini_code_1787702791259[[#This Row],[Costo_Unitario_USD]]</f>
        <v>240</v>
      </c>
      <c r="P605" s="12">
        <f>+gemini_code_1787702791259[[#This Row],[venta total]]-gemini_code_1787702791259[[#This Row],[Costo total]]</f>
        <v>200</v>
      </c>
      <c r="Q605" s="2">
        <f>gemini_code_1787702791259[[#This Row],[Ganancia bruta]]/gemini_code_1787702791259[[#This Row],[venta total]]</f>
        <v>0.45454545454545453</v>
      </c>
      <c r="R605" t="str">
        <f>IF(gemini_code_1787702791259[[#This Row],[Dias_Entrega]]&lt;=gemini_code_1787702791259[[#This Row],[Promesa_SLA_Dias]],"A tiempo","Fuera de SLA")</f>
        <v>A tiempo</v>
      </c>
    </row>
    <row r="606" spans="1:18" x14ac:dyDescent="0.25">
      <c r="A606" t="s">
        <v>33</v>
      </c>
      <c r="B606" s="1">
        <v>46236</v>
      </c>
      <c r="C606" t="s">
        <v>20</v>
      </c>
      <c r="D606" t="s">
        <v>21</v>
      </c>
      <c r="E606" t="s">
        <v>16</v>
      </c>
      <c r="F606" t="s">
        <v>17</v>
      </c>
      <c r="G606" t="s">
        <v>34</v>
      </c>
      <c r="H606">
        <v>3</v>
      </c>
      <c r="I606" s="12">
        <v>650</v>
      </c>
      <c r="J606" s="12">
        <v>450</v>
      </c>
      <c r="K606">
        <v>2</v>
      </c>
      <c r="L606">
        <v>3</v>
      </c>
      <c r="M606">
        <v>1800</v>
      </c>
      <c r="N606" s="12">
        <f>+gemini_code_1787702791259[[#This Row],[Cantidad]]*gemini_code_1787702791259[[#This Row],[Precio_Unitario_USD]]</f>
        <v>1950</v>
      </c>
      <c r="O606" s="12">
        <f>+gemini_code_1787702791259[[#This Row],[Cantidad]]*gemini_code_1787702791259[[#This Row],[Costo_Unitario_USD]]</f>
        <v>1350</v>
      </c>
      <c r="P606" s="12">
        <f>+gemini_code_1787702791259[[#This Row],[venta total]]-gemini_code_1787702791259[[#This Row],[Costo total]]</f>
        <v>600</v>
      </c>
      <c r="Q606" s="2">
        <f>gemini_code_1787702791259[[#This Row],[Ganancia bruta]]/gemini_code_1787702791259[[#This Row],[venta total]]</f>
        <v>0.30769230769230771</v>
      </c>
      <c r="R606" t="str">
        <f>IF(gemini_code_1787702791259[[#This Row],[Dias_Entrega]]&lt;=gemini_code_1787702791259[[#This Row],[Promesa_SLA_Dias]],"A tiempo","Fuera de SLA")</f>
        <v>A tiempo</v>
      </c>
    </row>
    <row r="607" spans="1:18" x14ac:dyDescent="0.25">
      <c r="A607" t="s">
        <v>35</v>
      </c>
      <c r="B607" s="1">
        <v>46236</v>
      </c>
      <c r="C607" t="s">
        <v>26</v>
      </c>
      <c r="D607" t="s">
        <v>27</v>
      </c>
      <c r="E607" t="s">
        <v>16</v>
      </c>
      <c r="F607" t="s">
        <v>23</v>
      </c>
      <c r="G607" t="s">
        <v>36</v>
      </c>
      <c r="H607">
        <v>8</v>
      </c>
      <c r="I607" s="12">
        <v>45</v>
      </c>
      <c r="J607" s="12">
        <v>20</v>
      </c>
      <c r="K607">
        <v>5</v>
      </c>
      <c r="L607">
        <v>3</v>
      </c>
      <c r="M607">
        <v>400</v>
      </c>
      <c r="N607" s="12">
        <f>+gemini_code_1787702791259[[#This Row],[Cantidad]]*gemini_code_1787702791259[[#This Row],[Precio_Unitario_USD]]</f>
        <v>360</v>
      </c>
      <c r="O607" s="12">
        <f>+gemini_code_1787702791259[[#This Row],[Cantidad]]*gemini_code_1787702791259[[#This Row],[Costo_Unitario_USD]]</f>
        <v>160</v>
      </c>
      <c r="P607" s="12">
        <f>+gemini_code_1787702791259[[#This Row],[venta total]]-gemini_code_1787702791259[[#This Row],[Costo total]]</f>
        <v>200</v>
      </c>
      <c r="Q607" s="2">
        <f>gemini_code_1787702791259[[#This Row],[Ganancia bruta]]/gemini_code_1787702791259[[#This Row],[venta total]]</f>
        <v>0.55555555555555558</v>
      </c>
      <c r="R607" t="str">
        <f>IF(gemini_code_1787702791259[[#This Row],[Dias_Entrega]]&lt;=gemini_code_1787702791259[[#This Row],[Promesa_SLA_Dias]],"A tiempo","Fuera de SLA")</f>
        <v>Fuera de SLA</v>
      </c>
    </row>
    <row r="608" spans="1:18" x14ac:dyDescent="0.25">
      <c r="A608" t="s">
        <v>37</v>
      </c>
      <c r="B608" s="1">
        <v>46237</v>
      </c>
      <c r="C608" t="s">
        <v>14</v>
      </c>
      <c r="D608" t="s">
        <v>15</v>
      </c>
      <c r="E608" t="s">
        <v>16</v>
      </c>
      <c r="F608" t="s">
        <v>28</v>
      </c>
      <c r="G608" t="s">
        <v>38</v>
      </c>
      <c r="H608">
        <v>2</v>
      </c>
      <c r="I608" s="12">
        <v>280</v>
      </c>
      <c r="J608" s="12">
        <v>180</v>
      </c>
      <c r="K608">
        <v>3</v>
      </c>
      <c r="L608">
        <v>3</v>
      </c>
      <c r="M608">
        <v>500</v>
      </c>
      <c r="N608" s="12">
        <f>+gemini_code_1787702791259[[#This Row],[Cantidad]]*gemini_code_1787702791259[[#This Row],[Precio_Unitario_USD]]</f>
        <v>560</v>
      </c>
      <c r="O608" s="12">
        <f>+gemini_code_1787702791259[[#This Row],[Cantidad]]*gemini_code_1787702791259[[#This Row],[Costo_Unitario_USD]]</f>
        <v>360</v>
      </c>
      <c r="P608" s="12">
        <f>+gemini_code_1787702791259[[#This Row],[venta total]]-gemini_code_1787702791259[[#This Row],[Costo total]]</f>
        <v>200</v>
      </c>
      <c r="Q608" s="2">
        <f>gemini_code_1787702791259[[#This Row],[Ganancia bruta]]/gemini_code_1787702791259[[#This Row],[venta total]]</f>
        <v>0.35714285714285715</v>
      </c>
      <c r="R608" t="str">
        <f>IF(gemini_code_1787702791259[[#This Row],[Dias_Entrega]]&lt;=gemini_code_1787702791259[[#This Row],[Promesa_SLA_Dias]],"A tiempo","Fuera de SLA")</f>
        <v>A tiempo</v>
      </c>
    </row>
    <row r="609" spans="1:18" x14ac:dyDescent="0.25">
      <c r="A609" t="s">
        <v>39</v>
      </c>
      <c r="B609" s="1">
        <v>46237</v>
      </c>
      <c r="C609" t="s">
        <v>20</v>
      </c>
      <c r="D609" t="s">
        <v>21</v>
      </c>
      <c r="E609" t="s">
        <v>22</v>
      </c>
      <c r="F609" t="s">
        <v>31</v>
      </c>
      <c r="G609" t="s">
        <v>40</v>
      </c>
      <c r="H609">
        <v>3</v>
      </c>
      <c r="I609" s="12">
        <v>150</v>
      </c>
      <c r="J609" s="12">
        <v>85</v>
      </c>
      <c r="K609">
        <v>2</v>
      </c>
      <c r="L609">
        <v>2</v>
      </c>
      <c r="M609">
        <v>400</v>
      </c>
      <c r="N609" s="12">
        <f>+gemini_code_1787702791259[[#This Row],[Cantidad]]*gemini_code_1787702791259[[#This Row],[Precio_Unitario_USD]]</f>
        <v>450</v>
      </c>
      <c r="O609" s="12">
        <f>+gemini_code_1787702791259[[#This Row],[Cantidad]]*gemini_code_1787702791259[[#This Row],[Costo_Unitario_USD]]</f>
        <v>255</v>
      </c>
      <c r="P609" s="12">
        <f>+gemini_code_1787702791259[[#This Row],[venta total]]-gemini_code_1787702791259[[#This Row],[Costo total]]</f>
        <v>195</v>
      </c>
      <c r="Q609" s="2">
        <f>gemini_code_1787702791259[[#This Row],[Ganancia bruta]]/gemini_code_1787702791259[[#This Row],[venta total]]</f>
        <v>0.43333333333333335</v>
      </c>
      <c r="R609" t="str">
        <f>IF(gemini_code_1787702791259[[#This Row],[Dias_Entrega]]&lt;=gemini_code_1787702791259[[#This Row],[Promesa_SLA_Dias]],"A tiempo","Fuera de SLA")</f>
        <v>A tiempo</v>
      </c>
    </row>
    <row r="610" spans="1:18" x14ac:dyDescent="0.25">
      <c r="A610" t="s">
        <v>41</v>
      </c>
      <c r="B610" s="1">
        <v>46237</v>
      </c>
      <c r="C610" t="s">
        <v>26</v>
      </c>
      <c r="D610" t="s">
        <v>27</v>
      </c>
      <c r="E610" t="s">
        <v>16</v>
      </c>
      <c r="F610" t="s">
        <v>17</v>
      </c>
      <c r="G610" t="s">
        <v>42</v>
      </c>
      <c r="H610">
        <v>2</v>
      </c>
      <c r="I610" s="12">
        <v>520</v>
      </c>
      <c r="J610" s="12">
        <v>380</v>
      </c>
      <c r="K610">
        <v>7</v>
      </c>
      <c r="L610">
        <v>4</v>
      </c>
      <c r="M610">
        <v>1000</v>
      </c>
      <c r="N610" s="12">
        <f>+gemini_code_1787702791259[[#This Row],[Cantidad]]*gemini_code_1787702791259[[#This Row],[Precio_Unitario_USD]]</f>
        <v>1040</v>
      </c>
      <c r="O610" s="12">
        <f>+gemini_code_1787702791259[[#This Row],[Cantidad]]*gemini_code_1787702791259[[#This Row],[Costo_Unitario_USD]]</f>
        <v>760</v>
      </c>
      <c r="P610" s="12">
        <f>+gemini_code_1787702791259[[#This Row],[venta total]]-gemini_code_1787702791259[[#This Row],[Costo total]]</f>
        <v>280</v>
      </c>
      <c r="Q610" s="2">
        <f>gemini_code_1787702791259[[#This Row],[Ganancia bruta]]/gemini_code_1787702791259[[#This Row],[venta total]]</f>
        <v>0.26923076923076922</v>
      </c>
      <c r="R610" t="str">
        <f>IF(gemini_code_1787702791259[[#This Row],[Dias_Entrega]]&lt;=gemini_code_1787702791259[[#This Row],[Promesa_SLA_Dias]],"A tiempo","Fuera de SLA")</f>
        <v>Fuera de SLA</v>
      </c>
    </row>
    <row r="611" spans="1:18" x14ac:dyDescent="0.25">
      <c r="A611" t="s">
        <v>43</v>
      </c>
      <c r="B611" s="1">
        <v>46238</v>
      </c>
      <c r="C611" t="s">
        <v>14</v>
      </c>
      <c r="D611" t="s">
        <v>15</v>
      </c>
      <c r="E611" t="s">
        <v>22</v>
      </c>
      <c r="F611" t="s">
        <v>23</v>
      </c>
      <c r="G611" t="s">
        <v>44</v>
      </c>
      <c r="H611">
        <v>6</v>
      </c>
      <c r="I611" s="12">
        <v>55</v>
      </c>
      <c r="J611" s="12">
        <v>25</v>
      </c>
      <c r="K611">
        <v>2</v>
      </c>
      <c r="L611">
        <v>3</v>
      </c>
      <c r="M611">
        <v>300</v>
      </c>
      <c r="N611" s="12">
        <f>+gemini_code_1787702791259[[#This Row],[Cantidad]]*gemini_code_1787702791259[[#This Row],[Precio_Unitario_USD]]</f>
        <v>330</v>
      </c>
      <c r="O611" s="12">
        <f>+gemini_code_1787702791259[[#This Row],[Cantidad]]*gemini_code_1787702791259[[#This Row],[Costo_Unitario_USD]]</f>
        <v>150</v>
      </c>
      <c r="P611" s="12">
        <f>+gemini_code_1787702791259[[#This Row],[venta total]]-gemini_code_1787702791259[[#This Row],[Costo total]]</f>
        <v>180</v>
      </c>
      <c r="Q611" s="2">
        <f>gemini_code_1787702791259[[#This Row],[Ganancia bruta]]/gemini_code_1787702791259[[#This Row],[venta total]]</f>
        <v>0.54545454545454541</v>
      </c>
      <c r="R611" t="str">
        <f>IF(gemini_code_1787702791259[[#This Row],[Dias_Entrega]]&lt;=gemini_code_1787702791259[[#This Row],[Promesa_SLA_Dias]],"A tiempo","Fuera de SLA")</f>
        <v>A tiempo</v>
      </c>
    </row>
    <row r="612" spans="1:18" x14ac:dyDescent="0.25">
      <c r="A612" t="s">
        <v>45</v>
      </c>
      <c r="B612" s="1">
        <v>46238</v>
      </c>
      <c r="C612" t="s">
        <v>20</v>
      </c>
      <c r="D612" t="s">
        <v>21</v>
      </c>
      <c r="E612" t="s">
        <v>16</v>
      </c>
      <c r="F612" t="s">
        <v>28</v>
      </c>
      <c r="G612" t="s">
        <v>46</v>
      </c>
      <c r="H612">
        <v>1</v>
      </c>
      <c r="I612" s="12">
        <v>450</v>
      </c>
      <c r="J612" s="12">
        <v>290</v>
      </c>
      <c r="K612">
        <v>4</v>
      </c>
      <c r="L612">
        <v>3</v>
      </c>
      <c r="M612">
        <v>400</v>
      </c>
      <c r="N612" s="12">
        <f>+gemini_code_1787702791259[[#This Row],[Cantidad]]*gemini_code_1787702791259[[#This Row],[Precio_Unitario_USD]]</f>
        <v>450</v>
      </c>
      <c r="O612" s="12">
        <f>+gemini_code_1787702791259[[#This Row],[Cantidad]]*gemini_code_1787702791259[[#This Row],[Costo_Unitario_USD]]</f>
        <v>290</v>
      </c>
      <c r="P612" s="12">
        <f>+gemini_code_1787702791259[[#This Row],[venta total]]-gemini_code_1787702791259[[#This Row],[Costo total]]</f>
        <v>160</v>
      </c>
      <c r="Q612" s="2">
        <f>gemini_code_1787702791259[[#This Row],[Ganancia bruta]]/gemini_code_1787702791259[[#This Row],[venta total]]</f>
        <v>0.35555555555555557</v>
      </c>
      <c r="R612" t="str">
        <f>IF(gemini_code_1787702791259[[#This Row],[Dias_Entrega]]&lt;=gemini_code_1787702791259[[#This Row],[Promesa_SLA_Dias]],"A tiempo","Fuera de SLA")</f>
        <v>Fuera de SLA</v>
      </c>
    </row>
    <row r="613" spans="1:18" x14ac:dyDescent="0.25">
      <c r="A613" t="s">
        <v>47</v>
      </c>
      <c r="B613" s="1">
        <v>46238</v>
      </c>
      <c r="C613" t="s">
        <v>26</v>
      </c>
      <c r="D613" t="s">
        <v>27</v>
      </c>
      <c r="E613" t="s">
        <v>22</v>
      </c>
      <c r="F613" t="s">
        <v>31</v>
      </c>
      <c r="G613" t="s">
        <v>48</v>
      </c>
      <c r="H613">
        <v>10</v>
      </c>
      <c r="I613" s="12">
        <v>35</v>
      </c>
      <c r="J613" s="12">
        <v>15</v>
      </c>
      <c r="K613">
        <v>4</v>
      </c>
      <c r="L613">
        <v>3</v>
      </c>
      <c r="M613">
        <v>300</v>
      </c>
      <c r="N613" s="12">
        <f>+gemini_code_1787702791259[[#This Row],[Cantidad]]*gemini_code_1787702791259[[#This Row],[Precio_Unitario_USD]]</f>
        <v>350</v>
      </c>
      <c r="O613" s="12">
        <f>+gemini_code_1787702791259[[#This Row],[Cantidad]]*gemini_code_1787702791259[[#This Row],[Costo_Unitario_USD]]</f>
        <v>150</v>
      </c>
      <c r="P613" s="12">
        <f>+gemini_code_1787702791259[[#This Row],[venta total]]-gemini_code_1787702791259[[#This Row],[Costo total]]</f>
        <v>200</v>
      </c>
      <c r="Q613" s="2">
        <f>gemini_code_1787702791259[[#This Row],[Ganancia bruta]]/gemini_code_1787702791259[[#This Row],[venta total]]</f>
        <v>0.5714285714285714</v>
      </c>
      <c r="R613" t="str">
        <f>IF(gemini_code_1787702791259[[#This Row],[Dias_Entrega]]&lt;=gemini_code_1787702791259[[#This Row],[Promesa_SLA_Dias]],"A tiempo","Fuera de SLA")</f>
        <v>Fuera de SLA</v>
      </c>
    </row>
    <row r="614" spans="1:18" x14ac:dyDescent="0.25">
      <c r="A614" t="s">
        <v>49</v>
      </c>
      <c r="B614" s="1">
        <v>46239</v>
      </c>
      <c r="C614" t="s">
        <v>14</v>
      </c>
      <c r="D614" t="s">
        <v>15</v>
      </c>
      <c r="E614" t="s">
        <v>16</v>
      </c>
      <c r="F614" t="s">
        <v>17</v>
      </c>
      <c r="G614" t="s">
        <v>50</v>
      </c>
      <c r="H614">
        <v>4</v>
      </c>
      <c r="I614" s="12">
        <v>220</v>
      </c>
      <c r="J614" s="12">
        <v>140</v>
      </c>
      <c r="K614">
        <v>2</v>
      </c>
      <c r="L614">
        <v>3</v>
      </c>
      <c r="M614">
        <v>800</v>
      </c>
      <c r="N614" s="12">
        <f>+gemini_code_1787702791259[[#This Row],[Cantidad]]*gemini_code_1787702791259[[#This Row],[Precio_Unitario_USD]]</f>
        <v>880</v>
      </c>
      <c r="O614" s="12">
        <f>+gemini_code_1787702791259[[#This Row],[Cantidad]]*gemini_code_1787702791259[[#This Row],[Costo_Unitario_USD]]</f>
        <v>560</v>
      </c>
      <c r="P614" s="12">
        <f>+gemini_code_1787702791259[[#This Row],[venta total]]-gemini_code_1787702791259[[#This Row],[Costo total]]</f>
        <v>320</v>
      </c>
      <c r="Q614" s="2">
        <f>gemini_code_1787702791259[[#This Row],[Ganancia bruta]]/gemini_code_1787702791259[[#This Row],[venta total]]</f>
        <v>0.36363636363636365</v>
      </c>
      <c r="R614" t="str">
        <f>IF(gemini_code_1787702791259[[#This Row],[Dias_Entrega]]&lt;=gemini_code_1787702791259[[#This Row],[Promesa_SLA_Dias]],"A tiempo","Fuera de SLA")</f>
        <v>A tiempo</v>
      </c>
    </row>
    <row r="615" spans="1:18" x14ac:dyDescent="0.25">
      <c r="A615" t="s">
        <v>51</v>
      </c>
      <c r="B615" s="1">
        <v>46239</v>
      </c>
      <c r="C615" t="s">
        <v>20</v>
      </c>
      <c r="D615" t="s">
        <v>21</v>
      </c>
      <c r="E615" t="s">
        <v>16</v>
      </c>
      <c r="F615" t="s">
        <v>23</v>
      </c>
      <c r="G615" t="s">
        <v>52</v>
      </c>
      <c r="H615">
        <v>5</v>
      </c>
      <c r="I615" s="12">
        <v>65</v>
      </c>
      <c r="J615" s="12">
        <v>30</v>
      </c>
      <c r="K615">
        <v>2</v>
      </c>
      <c r="L615">
        <v>3</v>
      </c>
      <c r="M615">
        <v>300</v>
      </c>
      <c r="N615" s="12">
        <f>+gemini_code_1787702791259[[#This Row],[Cantidad]]*gemini_code_1787702791259[[#This Row],[Precio_Unitario_USD]]</f>
        <v>325</v>
      </c>
      <c r="O615" s="12">
        <f>+gemini_code_1787702791259[[#This Row],[Cantidad]]*gemini_code_1787702791259[[#This Row],[Costo_Unitario_USD]]</f>
        <v>150</v>
      </c>
      <c r="P615" s="12">
        <f>+gemini_code_1787702791259[[#This Row],[venta total]]-gemini_code_1787702791259[[#This Row],[Costo total]]</f>
        <v>175</v>
      </c>
      <c r="Q615" s="2">
        <f>gemini_code_1787702791259[[#This Row],[Ganancia bruta]]/gemini_code_1787702791259[[#This Row],[venta total]]</f>
        <v>0.53846153846153844</v>
      </c>
      <c r="R615" t="str">
        <f>IF(gemini_code_1787702791259[[#This Row],[Dias_Entrega]]&lt;=gemini_code_1787702791259[[#This Row],[Promesa_SLA_Dias]],"A tiempo","Fuera de SLA")</f>
        <v>A tiempo</v>
      </c>
    </row>
    <row r="616" spans="1:18" x14ac:dyDescent="0.25">
      <c r="A616" t="s">
        <v>53</v>
      </c>
      <c r="B616" s="1">
        <v>46239</v>
      </c>
      <c r="C616" t="s">
        <v>26</v>
      </c>
      <c r="D616" t="s">
        <v>27</v>
      </c>
      <c r="E616" t="s">
        <v>16</v>
      </c>
      <c r="F616" t="s">
        <v>28</v>
      </c>
      <c r="G616" t="s">
        <v>54</v>
      </c>
      <c r="H616">
        <v>2</v>
      </c>
      <c r="I616" s="12">
        <v>180</v>
      </c>
      <c r="J616" s="12">
        <v>110</v>
      </c>
      <c r="K616">
        <v>6</v>
      </c>
      <c r="L616">
        <v>3</v>
      </c>
      <c r="M616">
        <v>350</v>
      </c>
      <c r="N616" s="12">
        <f>+gemini_code_1787702791259[[#This Row],[Cantidad]]*gemini_code_1787702791259[[#This Row],[Precio_Unitario_USD]]</f>
        <v>360</v>
      </c>
      <c r="O616" s="12">
        <f>+gemini_code_1787702791259[[#This Row],[Cantidad]]*gemini_code_1787702791259[[#This Row],[Costo_Unitario_USD]]</f>
        <v>220</v>
      </c>
      <c r="P616" s="12">
        <f>+gemini_code_1787702791259[[#This Row],[venta total]]-gemini_code_1787702791259[[#This Row],[Costo total]]</f>
        <v>140</v>
      </c>
      <c r="Q616" s="2">
        <f>gemini_code_1787702791259[[#This Row],[Ganancia bruta]]/gemini_code_1787702791259[[#This Row],[venta total]]</f>
        <v>0.3888888888888889</v>
      </c>
      <c r="R616" t="str">
        <f>IF(gemini_code_1787702791259[[#This Row],[Dias_Entrega]]&lt;=gemini_code_1787702791259[[#This Row],[Promesa_SLA_Dias]],"A tiempo","Fuera de SLA")</f>
        <v>Fuera de SLA</v>
      </c>
    </row>
    <row r="617" spans="1:18" x14ac:dyDescent="0.25">
      <c r="A617" t="s">
        <v>55</v>
      </c>
      <c r="B617" s="1">
        <v>46240</v>
      </c>
      <c r="C617" t="s">
        <v>14</v>
      </c>
      <c r="D617" t="s">
        <v>15</v>
      </c>
      <c r="E617" t="s">
        <v>22</v>
      </c>
      <c r="F617" t="s">
        <v>31</v>
      </c>
      <c r="G617" t="s">
        <v>56</v>
      </c>
      <c r="H617">
        <v>6</v>
      </c>
      <c r="I617" s="12">
        <v>85</v>
      </c>
      <c r="J617" s="12">
        <v>45</v>
      </c>
      <c r="K617">
        <v>1</v>
      </c>
      <c r="L617">
        <v>2</v>
      </c>
      <c r="M617">
        <v>500</v>
      </c>
      <c r="N617" s="12">
        <f>+gemini_code_1787702791259[[#This Row],[Cantidad]]*gemini_code_1787702791259[[#This Row],[Precio_Unitario_USD]]</f>
        <v>510</v>
      </c>
      <c r="O617" s="12">
        <f>+gemini_code_1787702791259[[#This Row],[Cantidad]]*gemini_code_1787702791259[[#This Row],[Costo_Unitario_USD]]</f>
        <v>270</v>
      </c>
      <c r="P617" s="12">
        <f>+gemini_code_1787702791259[[#This Row],[venta total]]-gemini_code_1787702791259[[#This Row],[Costo total]]</f>
        <v>240</v>
      </c>
      <c r="Q617" s="2">
        <f>gemini_code_1787702791259[[#This Row],[Ganancia bruta]]/gemini_code_1787702791259[[#This Row],[venta total]]</f>
        <v>0.47058823529411764</v>
      </c>
      <c r="R617" t="str">
        <f>IF(gemini_code_1787702791259[[#This Row],[Dias_Entrega]]&lt;=gemini_code_1787702791259[[#This Row],[Promesa_SLA_Dias]],"A tiempo","Fuera de SLA")</f>
        <v>A tiempo</v>
      </c>
    </row>
    <row r="618" spans="1:18" x14ac:dyDescent="0.25">
      <c r="A618" t="s">
        <v>57</v>
      </c>
      <c r="B618" s="1">
        <v>46240</v>
      </c>
      <c r="C618" t="s">
        <v>20</v>
      </c>
      <c r="D618" t="s">
        <v>21</v>
      </c>
      <c r="E618" t="s">
        <v>16</v>
      </c>
      <c r="F618" t="s">
        <v>17</v>
      </c>
      <c r="G618" t="s">
        <v>58</v>
      </c>
      <c r="H618">
        <v>12</v>
      </c>
      <c r="I618" s="12">
        <v>75</v>
      </c>
      <c r="J618" s="12">
        <v>35</v>
      </c>
      <c r="K618">
        <v>1</v>
      </c>
      <c r="L618">
        <v>2</v>
      </c>
      <c r="M618">
        <v>800</v>
      </c>
      <c r="N618" s="12">
        <f>+gemini_code_1787702791259[[#This Row],[Cantidad]]*gemini_code_1787702791259[[#This Row],[Precio_Unitario_USD]]</f>
        <v>900</v>
      </c>
      <c r="O618" s="12">
        <f>+gemini_code_1787702791259[[#This Row],[Cantidad]]*gemini_code_1787702791259[[#This Row],[Costo_Unitario_USD]]</f>
        <v>420</v>
      </c>
      <c r="P618" s="12">
        <f>+gemini_code_1787702791259[[#This Row],[venta total]]-gemini_code_1787702791259[[#This Row],[Costo total]]</f>
        <v>480</v>
      </c>
      <c r="Q618" s="2">
        <f>gemini_code_1787702791259[[#This Row],[Ganancia bruta]]/gemini_code_1787702791259[[#This Row],[venta total]]</f>
        <v>0.53333333333333333</v>
      </c>
      <c r="R618" t="str">
        <f>IF(gemini_code_1787702791259[[#This Row],[Dias_Entrega]]&lt;=gemini_code_1787702791259[[#This Row],[Promesa_SLA_Dias]],"A tiempo","Fuera de SLA")</f>
        <v>A tiempo</v>
      </c>
    </row>
    <row r="619" spans="1:18" x14ac:dyDescent="0.25">
      <c r="A619" t="s">
        <v>59</v>
      </c>
      <c r="B619" s="1">
        <v>46240</v>
      </c>
      <c r="C619" t="s">
        <v>26</v>
      </c>
      <c r="D619" t="s">
        <v>27</v>
      </c>
      <c r="E619" t="s">
        <v>22</v>
      </c>
      <c r="F619" t="s">
        <v>23</v>
      </c>
      <c r="G619" t="s">
        <v>60</v>
      </c>
      <c r="H619">
        <v>4</v>
      </c>
      <c r="I619" s="12">
        <v>110</v>
      </c>
      <c r="J619" s="12">
        <v>55</v>
      </c>
      <c r="K619">
        <v>5</v>
      </c>
      <c r="L619">
        <v>3</v>
      </c>
      <c r="M619">
        <v>400</v>
      </c>
      <c r="N619" s="12">
        <f>+gemini_code_1787702791259[[#This Row],[Cantidad]]*gemini_code_1787702791259[[#This Row],[Precio_Unitario_USD]]</f>
        <v>440</v>
      </c>
      <c r="O619" s="12">
        <f>+gemini_code_1787702791259[[#This Row],[Cantidad]]*gemini_code_1787702791259[[#This Row],[Costo_Unitario_USD]]</f>
        <v>220</v>
      </c>
      <c r="P619" s="12">
        <f>+gemini_code_1787702791259[[#This Row],[venta total]]-gemini_code_1787702791259[[#This Row],[Costo total]]</f>
        <v>220</v>
      </c>
      <c r="Q619" s="2">
        <f>gemini_code_1787702791259[[#This Row],[Ganancia bruta]]/gemini_code_1787702791259[[#This Row],[venta total]]</f>
        <v>0.5</v>
      </c>
      <c r="R619" t="str">
        <f>IF(gemini_code_1787702791259[[#This Row],[Dias_Entrega]]&lt;=gemini_code_1787702791259[[#This Row],[Promesa_SLA_Dias]],"A tiempo","Fuera de SLA")</f>
        <v>Fuera de SLA</v>
      </c>
    </row>
    <row r="620" spans="1:18" x14ac:dyDescent="0.25">
      <c r="A620" t="s">
        <v>61</v>
      </c>
      <c r="B620" s="1">
        <v>46241</v>
      </c>
      <c r="C620" t="s">
        <v>14</v>
      </c>
      <c r="D620" t="s">
        <v>15</v>
      </c>
      <c r="E620" t="s">
        <v>16</v>
      </c>
      <c r="F620" t="s">
        <v>28</v>
      </c>
      <c r="G620" t="s">
        <v>62</v>
      </c>
      <c r="H620">
        <v>15</v>
      </c>
      <c r="I620" s="12">
        <v>25</v>
      </c>
      <c r="J620" s="12">
        <v>10</v>
      </c>
      <c r="K620">
        <v>2</v>
      </c>
      <c r="L620">
        <v>3</v>
      </c>
      <c r="M620">
        <v>300</v>
      </c>
      <c r="N620" s="12">
        <f>+gemini_code_1787702791259[[#This Row],[Cantidad]]*gemini_code_1787702791259[[#This Row],[Precio_Unitario_USD]]</f>
        <v>375</v>
      </c>
      <c r="O620" s="12">
        <f>+gemini_code_1787702791259[[#This Row],[Cantidad]]*gemini_code_1787702791259[[#This Row],[Costo_Unitario_USD]]</f>
        <v>150</v>
      </c>
      <c r="P620" s="12">
        <f>+gemini_code_1787702791259[[#This Row],[venta total]]-gemini_code_1787702791259[[#This Row],[Costo total]]</f>
        <v>225</v>
      </c>
      <c r="Q620" s="2">
        <f>gemini_code_1787702791259[[#This Row],[Ganancia bruta]]/gemini_code_1787702791259[[#This Row],[venta total]]</f>
        <v>0.6</v>
      </c>
      <c r="R620" t="str">
        <f>IF(gemini_code_1787702791259[[#This Row],[Dias_Entrega]]&lt;=gemini_code_1787702791259[[#This Row],[Promesa_SLA_Dias]],"A tiempo","Fuera de SLA")</f>
        <v>A tiempo</v>
      </c>
    </row>
    <row r="621" spans="1:18" x14ac:dyDescent="0.25">
      <c r="A621" t="s">
        <v>63</v>
      </c>
      <c r="B621" s="1">
        <v>46241</v>
      </c>
      <c r="C621" t="s">
        <v>20</v>
      </c>
      <c r="D621" t="s">
        <v>21</v>
      </c>
      <c r="E621" t="s">
        <v>22</v>
      </c>
      <c r="F621" t="s">
        <v>31</v>
      </c>
      <c r="G621" t="s">
        <v>64</v>
      </c>
      <c r="H621">
        <v>5</v>
      </c>
      <c r="I621" s="12">
        <v>130</v>
      </c>
      <c r="J621" s="12">
        <v>70</v>
      </c>
      <c r="K621">
        <v>3</v>
      </c>
      <c r="L621">
        <v>3</v>
      </c>
      <c r="M621">
        <v>600</v>
      </c>
      <c r="N621" s="12">
        <f>+gemini_code_1787702791259[[#This Row],[Cantidad]]*gemini_code_1787702791259[[#This Row],[Precio_Unitario_USD]]</f>
        <v>650</v>
      </c>
      <c r="O621" s="12">
        <f>+gemini_code_1787702791259[[#This Row],[Cantidad]]*gemini_code_1787702791259[[#This Row],[Costo_Unitario_USD]]</f>
        <v>350</v>
      </c>
      <c r="P621" s="12">
        <f>+gemini_code_1787702791259[[#This Row],[venta total]]-gemini_code_1787702791259[[#This Row],[Costo total]]</f>
        <v>300</v>
      </c>
      <c r="Q621" s="2">
        <f>gemini_code_1787702791259[[#This Row],[Ganancia bruta]]/gemini_code_1787702791259[[#This Row],[venta total]]</f>
        <v>0.46153846153846156</v>
      </c>
      <c r="R621" t="str">
        <f>IF(gemini_code_1787702791259[[#This Row],[Dias_Entrega]]&lt;=gemini_code_1787702791259[[#This Row],[Promesa_SLA_Dias]],"A tiempo","Fuera de SLA")</f>
        <v>A tiempo</v>
      </c>
    </row>
    <row r="622" spans="1:18" x14ac:dyDescent="0.25">
      <c r="A622" t="s">
        <v>65</v>
      </c>
      <c r="B622" s="1">
        <v>46241</v>
      </c>
      <c r="C622" t="s">
        <v>26</v>
      </c>
      <c r="D622" t="s">
        <v>27</v>
      </c>
      <c r="E622" t="s">
        <v>16</v>
      </c>
      <c r="F622" t="s">
        <v>17</v>
      </c>
      <c r="G622" t="s">
        <v>66</v>
      </c>
      <c r="H622">
        <v>2</v>
      </c>
      <c r="I622" s="12">
        <v>500</v>
      </c>
      <c r="J622" s="12">
        <v>380</v>
      </c>
      <c r="K622">
        <v>6</v>
      </c>
      <c r="L622">
        <v>4</v>
      </c>
      <c r="M622">
        <v>900</v>
      </c>
      <c r="N622" s="12">
        <f>+gemini_code_1787702791259[[#This Row],[Cantidad]]*gemini_code_1787702791259[[#This Row],[Precio_Unitario_USD]]</f>
        <v>1000</v>
      </c>
      <c r="O622" s="12">
        <f>+gemini_code_1787702791259[[#This Row],[Cantidad]]*gemini_code_1787702791259[[#This Row],[Costo_Unitario_USD]]</f>
        <v>760</v>
      </c>
      <c r="P622" s="12">
        <f>+gemini_code_1787702791259[[#This Row],[venta total]]-gemini_code_1787702791259[[#This Row],[Costo total]]</f>
        <v>240</v>
      </c>
      <c r="Q622" s="2">
        <f>gemini_code_1787702791259[[#This Row],[Ganancia bruta]]/gemini_code_1787702791259[[#This Row],[venta total]]</f>
        <v>0.24</v>
      </c>
      <c r="R622" t="str">
        <f>IF(gemini_code_1787702791259[[#This Row],[Dias_Entrega]]&lt;=gemini_code_1787702791259[[#This Row],[Promesa_SLA_Dias]],"A tiempo","Fuera de SLA")</f>
        <v>Fuera de SLA</v>
      </c>
    </row>
    <row r="623" spans="1:18" x14ac:dyDescent="0.25">
      <c r="A623" t="s">
        <v>67</v>
      </c>
      <c r="B623" s="1">
        <v>46242</v>
      </c>
      <c r="C623" t="s">
        <v>14</v>
      </c>
      <c r="D623" t="s">
        <v>15</v>
      </c>
      <c r="E623" t="s">
        <v>16</v>
      </c>
      <c r="F623" t="s">
        <v>23</v>
      </c>
      <c r="G623" t="s">
        <v>68</v>
      </c>
      <c r="H623">
        <v>3</v>
      </c>
      <c r="I623" s="12">
        <v>95</v>
      </c>
      <c r="J623" s="12">
        <v>45</v>
      </c>
      <c r="K623">
        <v>2</v>
      </c>
      <c r="L623">
        <v>3</v>
      </c>
      <c r="M623">
        <v>300</v>
      </c>
      <c r="N623" s="12">
        <f>+gemini_code_1787702791259[[#This Row],[Cantidad]]*gemini_code_1787702791259[[#This Row],[Precio_Unitario_USD]]</f>
        <v>285</v>
      </c>
      <c r="O623" s="12">
        <f>+gemini_code_1787702791259[[#This Row],[Cantidad]]*gemini_code_1787702791259[[#This Row],[Costo_Unitario_USD]]</f>
        <v>135</v>
      </c>
      <c r="P623" s="12">
        <f>+gemini_code_1787702791259[[#This Row],[venta total]]-gemini_code_1787702791259[[#This Row],[Costo total]]</f>
        <v>150</v>
      </c>
      <c r="Q623" s="2">
        <f>gemini_code_1787702791259[[#This Row],[Ganancia bruta]]/gemini_code_1787702791259[[#This Row],[venta total]]</f>
        <v>0.52631578947368418</v>
      </c>
      <c r="R623" t="str">
        <f>IF(gemini_code_1787702791259[[#This Row],[Dias_Entrega]]&lt;=gemini_code_1787702791259[[#This Row],[Promesa_SLA_Dias]],"A tiempo","Fuera de SLA")</f>
        <v>A tiempo</v>
      </c>
    </row>
    <row r="624" spans="1:18" x14ac:dyDescent="0.25">
      <c r="A624" t="s">
        <v>69</v>
      </c>
      <c r="B624" s="1">
        <v>46242</v>
      </c>
      <c r="C624" t="s">
        <v>20</v>
      </c>
      <c r="D624" t="s">
        <v>21</v>
      </c>
      <c r="E624" t="s">
        <v>16</v>
      </c>
      <c r="F624" t="s">
        <v>28</v>
      </c>
      <c r="G624" t="s">
        <v>70</v>
      </c>
      <c r="H624">
        <v>4</v>
      </c>
      <c r="I624" s="12">
        <v>160</v>
      </c>
      <c r="J624" s="12">
        <v>95</v>
      </c>
      <c r="K624">
        <v>2</v>
      </c>
      <c r="L624">
        <v>3</v>
      </c>
      <c r="M624">
        <v>600</v>
      </c>
      <c r="N624" s="12">
        <f>+gemini_code_1787702791259[[#This Row],[Cantidad]]*gemini_code_1787702791259[[#This Row],[Precio_Unitario_USD]]</f>
        <v>640</v>
      </c>
      <c r="O624" s="12">
        <f>+gemini_code_1787702791259[[#This Row],[Cantidad]]*gemini_code_1787702791259[[#This Row],[Costo_Unitario_USD]]</f>
        <v>380</v>
      </c>
      <c r="P624" s="12">
        <f>+gemini_code_1787702791259[[#This Row],[venta total]]-gemini_code_1787702791259[[#This Row],[Costo total]]</f>
        <v>260</v>
      </c>
      <c r="Q624" s="2">
        <f>gemini_code_1787702791259[[#This Row],[Ganancia bruta]]/gemini_code_1787702791259[[#This Row],[venta total]]</f>
        <v>0.40625</v>
      </c>
      <c r="R624" t="str">
        <f>IF(gemini_code_1787702791259[[#This Row],[Dias_Entrega]]&lt;=gemini_code_1787702791259[[#This Row],[Promesa_SLA_Dias]],"A tiempo","Fuera de SLA")</f>
        <v>A tiempo</v>
      </c>
    </row>
    <row r="625" spans="1:18" x14ac:dyDescent="0.25">
      <c r="A625" t="s">
        <v>71</v>
      </c>
      <c r="B625" s="1">
        <v>46242</v>
      </c>
      <c r="C625" t="s">
        <v>26</v>
      </c>
      <c r="D625" t="s">
        <v>27</v>
      </c>
      <c r="E625" t="s">
        <v>22</v>
      </c>
      <c r="F625" t="s">
        <v>31</v>
      </c>
      <c r="G625" t="s">
        <v>72</v>
      </c>
      <c r="H625">
        <v>7</v>
      </c>
      <c r="I625" s="12">
        <v>90</v>
      </c>
      <c r="J625" s="12">
        <v>45</v>
      </c>
      <c r="K625">
        <v>4</v>
      </c>
      <c r="L625">
        <v>3</v>
      </c>
      <c r="M625">
        <v>600</v>
      </c>
      <c r="N625" s="12">
        <f>+gemini_code_1787702791259[[#This Row],[Cantidad]]*gemini_code_1787702791259[[#This Row],[Precio_Unitario_USD]]</f>
        <v>630</v>
      </c>
      <c r="O625" s="12">
        <f>+gemini_code_1787702791259[[#This Row],[Cantidad]]*gemini_code_1787702791259[[#This Row],[Costo_Unitario_USD]]</f>
        <v>315</v>
      </c>
      <c r="P625" s="12">
        <f>+gemini_code_1787702791259[[#This Row],[venta total]]-gemini_code_1787702791259[[#This Row],[Costo total]]</f>
        <v>315</v>
      </c>
      <c r="Q625" s="2">
        <f>gemini_code_1787702791259[[#This Row],[Ganancia bruta]]/gemini_code_1787702791259[[#This Row],[venta total]]</f>
        <v>0.5</v>
      </c>
      <c r="R625" t="str">
        <f>IF(gemini_code_1787702791259[[#This Row],[Dias_Entrega]]&lt;=gemini_code_1787702791259[[#This Row],[Promesa_SLA_Dias]],"A tiempo","Fuera de SLA")</f>
        <v>Fuera de SLA</v>
      </c>
    </row>
    <row r="626" spans="1:18" x14ac:dyDescent="0.25">
      <c r="A626" t="s">
        <v>73</v>
      </c>
      <c r="B626" s="1">
        <v>46243</v>
      </c>
      <c r="C626" t="s">
        <v>14</v>
      </c>
      <c r="D626" t="s">
        <v>15</v>
      </c>
      <c r="E626" t="s">
        <v>22</v>
      </c>
      <c r="F626" t="s">
        <v>17</v>
      </c>
      <c r="G626" t="s">
        <v>74</v>
      </c>
      <c r="H626">
        <v>3</v>
      </c>
      <c r="I626" s="12">
        <v>310</v>
      </c>
      <c r="J626" s="12">
        <v>210</v>
      </c>
      <c r="K626">
        <v>2</v>
      </c>
      <c r="L626">
        <v>3</v>
      </c>
      <c r="M626">
        <v>900</v>
      </c>
      <c r="N626" s="12">
        <f>+gemini_code_1787702791259[[#This Row],[Cantidad]]*gemini_code_1787702791259[[#This Row],[Precio_Unitario_USD]]</f>
        <v>930</v>
      </c>
      <c r="O626" s="12">
        <f>+gemini_code_1787702791259[[#This Row],[Cantidad]]*gemini_code_1787702791259[[#This Row],[Costo_Unitario_USD]]</f>
        <v>630</v>
      </c>
      <c r="P626" s="12">
        <f>+gemini_code_1787702791259[[#This Row],[venta total]]-gemini_code_1787702791259[[#This Row],[Costo total]]</f>
        <v>300</v>
      </c>
      <c r="Q626" s="2">
        <f>gemini_code_1787702791259[[#This Row],[Ganancia bruta]]/gemini_code_1787702791259[[#This Row],[venta total]]</f>
        <v>0.32258064516129031</v>
      </c>
      <c r="R626" t="str">
        <f>IF(gemini_code_1787702791259[[#This Row],[Dias_Entrega]]&lt;=gemini_code_1787702791259[[#This Row],[Promesa_SLA_Dias]],"A tiempo","Fuera de SLA")</f>
        <v>A tiempo</v>
      </c>
    </row>
    <row r="627" spans="1:18" x14ac:dyDescent="0.25">
      <c r="A627" t="s">
        <v>75</v>
      </c>
      <c r="B627" s="1">
        <v>46243</v>
      </c>
      <c r="C627" t="s">
        <v>20</v>
      </c>
      <c r="D627" t="s">
        <v>21</v>
      </c>
      <c r="E627" t="s">
        <v>16</v>
      </c>
      <c r="F627" t="s">
        <v>23</v>
      </c>
      <c r="G627" t="s">
        <v>76</v>
      </c>
      <c r="H627">
        <v>8</v>
      </c>
      <c r="I627" s="12">
        <v>50</v>
      </c>
      <c r="J627" s="12">
        <v>22</v>
      </c>
      <c r="K627">
        <v>2</v>
      </c>
      <c r="L627">
        <v>3</v>
      </c>
      <c r="M627">
        <v>400</v>
      </c>
      <c r="N627" s="12">
        <f>+gemini_code_1787702791259[[#This Row],[Cantidad]]*gemini_code_1787702791259[[#This Row],[Precio_Unitario_USD]]</f>
        <v>400</v>
      </c>
      <c r="O627" s="12">
        <f>+gemini_code_1787702791259[[#This Row],[Cantidad]]*gemini_code_1787702791259[[#This Row],[Costo_Unitario_USD]]</f>
        <v>176</v>
      </c>
      <c r="P627" s="12">
        <f>+gemini_code_1787702791259[[#This Row],[venta total]]-gemini_code_1787702791259[[#This Row],[Costo total]]</f>
        <v>224</v>
      </c>
      <c r="Q627" s="2">
        <f>gemini_code_1787702791259[[#This Row],[Ganancia bruta]]/gemini_code_1787702791259[[#This Row],[venta total]]</f>
        <v>0.56000000000000005</v>
      </c>
      <c r="R627" t="str">
        <f>IF(gemini_code_1787702791259[[#This Row],[Dias_Entrega]]&lt;=gemini_code_1787702791259[[#This Row],[Promesa_SLA_Dias]],"A tiempo","Fuera de SLA")</f>
        <v>A tiempo</v>
      </c>
    </row>
    <row r="628" spans="1:18" x14ac:dyDescent="0.25">
      <c r="A628" t="s">
        <v>77</v>
      </c>
      <c r="B628" s="1">
        <v>46243</v>
      </c>
      <c r="C628" t="s">
        <v>26</v>
      </c>
      <c r="D628" t="s">
        <v>27</v>
      </c>
      <c r="E628" t="s">
        <v>16</v>
      </c>
      <c r="F628" t="s">
        <v>28</v>
      </c>
      <c r="G628" t="s">
        <v>78</v>
      </c>
      <c r="H628">
        <v>1</v>
      </c>
      <c r="I628" s="12">
        <v>750</v>
      </c>
      <c r="J628" s="12">
        <v>480</v>
      </c>
      <c r="K628">
        <v>8</v>
      </c>
      <c r="L628">
        <v>4</v>
      </c>
      <c r="M628">
        <v>700</v>
      </c>
      <c r="N628" s="12">
        <f>+gemini_code_1787702791259[[#This Row],[Cantidad]]*gemini_code_1787702791259[[#This Row],[Precio_Unitario_USD]]</f>
        <v>750</v>
      </c>
      <c r="O628" s="12">
        <f>+gemini_code_1787702791259[[#This Row],[Cantidad]]*gemini_code_1787702791259[[#This Row],[Costo_Unitario_USD]]</f>
        <v>480</v>
      </c>
      <c r="P628" s="12">
        <f>+gemini_code_1787702791259[[#This Row],[venta total]]-gemini_code_1787702791259[[#This Row],[Costo total]]</f>
        <v>270</v>
      </c>
      <c r="Q628" s="2">
        <f>gemini_code_1787702791259[[#This Row],[Ganancia bruta]]/gemini_code_1787702791259[[#This Row],[venta total]]</f>
        <v>0.36</v>
      </c>
      <c r="R628" t="str">
        <f>IF(gemini_code_1787702791259[[#This Row],[Dias_Entrega]]&lt;=gemini_code_1787702791259[[#This Row],[Promesa_SLA_Dias]],"A tiempo","Fuera de SLA")</f>
        <v>Fuera de SLA</v>
      </c>
    </row>
    <row r="629" spans="1:18" x14ac:dyDescent="0.25">
      <c r="A629" t="s">
        <v>79</v>
      </c>
      <c r="B629" s="1">
        <v>46244</v>
      </c>
      <c r="C629" t="s">
        <v>14</v>
      </c>
      <c r="D629" t="s">
        <v>15</v>
      </c>
      <c r="E629" t="s">
        <v>16</v>
      </c>
      <c r="F629" t="s">
        <v>31</v>
      </c>
      <c r="G629" t="s">
        <v>80</v>
      </c>
      <c r="H629">
        <v>4</v>
      </c>
      <c r="I629" s="12">
        <v>140</v>
      </c>
      <c r="J629" s="12">
        <v>75</v>
      </c>
      <c r="K629">
        <v>3</v>
      </c>
      <c r="L629">
        <v>3</v>
      </c>
      <c r="M629">
        <v>500</v>
      </c>
      <c r="N629" s="12">
        <f>+gemini_code_1787702791259[[#This Row],[Cantidad]]*gemini_code_1787702791259[[#This Row],[Precio_Unitario_USD]]</f>
        <v>560</v>
      </c>
      <c r="O629" s="12">
        <f>+gemini_code_1787702791259[[#This Row],[Cantidad]]*gemini_code_1787702791259[[#This Row],[Costo_Unitario_USD]]</f>
        <v>300</v>
      </c>
      <c r="P629" s="12">
        <f>+gemini_code_1787702791259[[#This Row],[venta total]]-gemini_code_1787702791259[[#This Row],[Costo total]]</f>
        <v>260</v>
      </c>
      <c r="Q629" s="2">
        <f>gemini_code_1787702791259[[#This Row],[Ganancia bruta]]/gemini_code_1787702791259[[#This Row],[venta total]]</f>
        <v>0.4642857142857143</v>
      </c>
      <c r="R629" t="str">
        <f>IF(gemini_code_1787702791259[[#This Row],[Dias_Entrega]]&lt;=gemini_code_1787702791259[[#This Row],[Promesa_SLA_Dias]],"A tiempo","Fuera de SLA")</f>
        <v>A tiempo</v>
      </c>
    </row>
    <row r="630" spans="1:18" x14ac:dyDescent="0.25">
      <c r="A630" t="s">
        <v>81</v>
      </c>
      <c r="B630" s="1">
        <v>46244</v>
      </c>
      <c r="C630" t="s">
        <v>20</v>
      </c>
      <c r="D630" t="s">
        <v>21</v>
      </c>
      <c r="E630" t="s">
        <v>22</v>
      </c>
      <c r="F630" t="s">
        <v>17</v>
      </c>
      <c r="G630" t="s">
        <v>82</v>
      </c>
      <c r="H630">
        <v>6</v>
      </c>
      <c r="I630" s="12">
        <v>90</v>
      </c>
      <c r="J630" s="12">
        <v>50</v>
      </c>
      <c r="K630">
        <v>1</v>
      </c>
      <c r="L630">
        <v>2</v>
      </c>
      <c r="M630">
        <v>500</v>
      </c>
      <c r="N630" s="12">
        <f>+gemini_code_1787702791259[[#This Row],[Cantidad]]*gemini_code_1787702791259[[#This Row],[Precio_Unitario_USD]]</f>
        <v>540</v>
      </c>
      <c r="O630" s="12">
        <f>+gemini_code_1787702791259[[#This Row],[Cantidad]]*gemini_code_1787702791259[[#This Row],[Costo_Unitario_USD]]</f>
        <v>300</v>
      </c>
      <c r="P630" s="12">
        <f>+gemini_code_1787702791259[[#This Row],[venta total]]-gemini_code_1787702791259[[#This Row],[Costo total]]</f>
        <v>240</v>
      </c>
      <c r="Q630" s="2">
        <f>gemini_code_1787702791259[[#This Row],[Ganancia bruta]]/gemini_code_1787702791259[[#This Row],[venta total]]</f>
        <v>0.44444444444444442</v>
      </c>
      <c r="R630" t="str">
        <f>IF(gemini_code_1787702791259[[#This Row],[Dias_Entrega]]&lt;=gemini_code_1787702791259[[#This Row],[Promesa_SLA_Dias]],"A tiempo","Fuera de SLA")</f>
        <v>A tiempo</v>
      </c>
    </row>
    <row r="631" spans="1:18" x14ac:dyDescent="0.25">
      <c r="A631" t="s">
        <v>83</v>
      </c>
      <c r="B631" s="1">
        <v>46244</v>
      </c>
      <c r="C631" t="s">
        <v>26</v>
      </c>
      <c r="D631" t="s">
        <v>27</v>
      </c>
      <c r="E631" t="s">
        <v>16</v>
      </c>
      <c r="F631" t="s">
        <v>23</v>
      </c>
      <c r="G631" t="s">
        <v>84</v>
      </c>
      <c r="H631">
        <v>6</v>
      </c>
      <c r="I631" s="12">
        <v>60</v>
      </c>
      <c r="J631" s="12">
        <v>28</v>
      </c>
      <c r="K631">
        <v>5</v>
      </c>
      <c r="L631">
        <v>3</v>
      </c>
      <c r="M631">
        <v>350</v>
      </c>
      <c r="N631" s="12">
        <f>+gemini_code_1787702791259[[#This Row],[Cantidad]]*gemini_code_1787702791259[[#This Row],[Precio_Unitario_USD]]</f>
        <v>360</v>
      </c>
      <c r="O631" s="12">
        <f>+gemini_code_1787702791259[[#This Row],[Cantidad]]*gemini_code_1787702791259[[#This Row],[Costo_Unitario_USD]]</f>
        <v>168</v>
      </c>
      <c r="P631" s="12">
        <f>+gemini_code_1787702791259[[#This Row],[venta total]]-gemini_code_1787702791259[[#This Row],[Costo total]]</f>
        <v>192</v>
      </c>
      <c r="Q631" s="2">
        <f>gemini_code_1787702791259[[#This Row],[Ganancia bruta]]/gemini_code_1787702791259[[#This Row],[venta total]]</f>
        <v>0.53333333333333333</v>
      </c>
      <c r="R631" t="str">
        <f>IF(gemini_code_1787702791259[[#This Row],[Dias_Entrega]]&lt;=gemini_code_1787702791259[[#This Row],[Promesa_SLA_Dias]],"A tiempo","Fuera de SLA")</f>
        <v>Fuera de SLA</v>
      </c>
    </row>
    <row r="632" spans="1:18" x14ac:dyDescent="0.25">
      <c r="A632" t="s">
        <v>13</v>
      </c>
      <c r="B632" s="1">
        <v>46235</v>
      </c>
      <c r="C632" t="s">
        <v>14</v>
      </c>
      <c r="D632" t="s">
        <v>15</v>
      </c>
      <c r="E632" t="s">
        <v>16</v>
      </c>
      <c r="F632" t="s">
        <v>17</v>
      </c>
      <c r="G632" t="s">
        <v>18</v>
      </c>
      <c r="H632">
        <v>2</v>
      </c>
      <c r="I632" s="12">
        <v>850</v>
      </c>
      <c r="J632" s="12">
        <v>600</v>
      </c>
      <c r="K632">
        <v>2</v>
      </c>
      <c r="L632">
        <v>3</v>
      </c>
      <c r="M632">
        <v>1500</v>
      </c>
      <c r="N632" s="12">
        <f>+gemini_code_1787702791259[[#This Row],[Cantidad]]*gemini_code_1787702791259[[#This Row],[Precio_Unitario_USD]]</f>
        <v>1700</v>
      </c>
      <c r="O632" s="12">
        <f>+gemini_code_1787702791259[[#This Row],[Cantidad]]*gemini_code_1787702791259[[#This Row],[Costo_Unitario_USD]]</f>
        <v>1200</v>
      </c>
      <c r="P632" s="12">
        <f>+gemini_code_1787702791259[[#This Row],[venta total]]-gemini_code_1787702791259[[#This Row],[Costo total]]</f>
        <v>500</v>
      </c>
      <c r="Q632" s="2">
        <f>gemini_code_1787702791259[[#This Row],[Ganancia bruta]]/gemini_code_1787702791259[[#This Row],[venta total]]</f>
        <v>0.29411764705882354</v>
      </c>
      <c r="R632" t="str">
        <f>IF(gemini_code_1787702791259[[#This Row],[Dias_Entrega]]&lt;=gemini_code_1787702791259[[#This Row],[Promesa_SLA_Dias]],"A tiempo","Fuera de SLA")</f>
        <v>A tiempo</v>
      </c>
    </row>
    <row r="633" spans="1:18" x14ac:dyDescent="0.25">
      <c r="A633" t="s">
        <v>19</v>
      </c>
      <c r="B633" s="1">
        <v>46235</v>
      </c>
      <c r="C633" t="s">
        <v>20</v>
      </c>
      <c r="D633" t="s">
        <v>21</v>
      </c>
      <c r="E633" t="s">
        <v>22</v>
      </c>
      <c r="F633" t="s">
        <v>23</v>
      </c>
      <c r="G633" t="s">
        <v>24</v>
      </c>
      <c r="H633">
        <v>5</v>
      </c>
      <c r="I633" s="12">
        <v>120</v>
      </c>
      <c r="J633" s="12">
        <v>70</v>
      </c>
      <c r="K633">
        <v>3</v>
      </c>
      <c r="L633">
        <v>3</v>
      </c>
      <c r="M633">
        <v>500</v>
      </c>
      <c r="N633" s="12">
        <f>+gemini_code_1787702791259[[#This Row],[Cantidad]]*gemini_code_1787702791259[[#This Row],[Precio_Unitario_USD]]</f>
        <v>600</v>
      </c>
      <c r="O633" s="12">
        <f>+gemini_code_1787702791259[[#This Row],[Cantidad]]*gemini_code_1787702791259[[#This Row],[Costo_Unitario_USD]]</f>
        <v>350</v>
      </c>
      <c r="P633" s="12">
        <f>+gemini_code_1787702791259[[#This Row],[venta total]]-gemini_code_1787702791259[[#This Row],[Costo total]]</f>
        <v>250</v>
      </c>
      <c r="Q633" s="2">
        <f>gemini_code_1787702791259[[#This Row],[Ganancia bruta]]/gemini_code_1787702791259[[#This Row],[venta total]]</f>
        <v>0.41666666666666669</v>
      </c>
      <c r="R633" t="str">
        <f>IF(gemini_code_1787702791259[[#This Row],[Dias_Entrega]]&lt;=gemini_code_1787702791259[[#This Row],[Promesa_SLA_Dias]],"A tiempo","Fuera de SLA")</f>
        <v>A tiempo</v>
      </c>
    </row>
    <row r="634" spans="1:18" x14ac:dyDescent="0.25">
      <c r="A634" t="s">
        <v>25</v>
      </c>
      <c r="B634" s="1">
        <v>46235</v>
      </c>
      <c r="C634" t="s">
        <v>26</v>
      </c>
      <c r="D634" t="s">
        <v>27</v>
      </c>
      <c r="E634" t="s">
        <v>16</v>
      </c>
      <c r="F634" t="s">
        <v>28</v>
      </c>
      <c r="G634" t="s">
        <v>29</v>
      </c>
      <c r="H634">
        <v>3</v>
      </c>
      <c r="I634" s="12">
        <v>90</v>
      </c>
      <c r="J634" s="12">
        <v>50</v>
      </c>
      <c r="K634">
        <v>6</v>
      </c>
      <c r="L634">
        <v>4</v>
      </c>
      <c r="M634">
        <v>300</v>
      </c>
      <c r="N634" s="12">
        <f>+gemini_code_1787702791259[[#This Row],[Cantidad]]*gemini_code_1787702791259[[#This Row],[Precio_Unitario_USD]]</f>
        <v>270</v>
      </c>
      <c r="O634" s="12">
        <f>+gemini_code_1787702791259[[#This Row],[Cantidad]]*gemini_code_1787702791259[[#This Row],[Costo_Unitario_USD]]</f>
        <v>150</v>
      </c>
      <c r="P634" s="12">
        <f>+gemini_code_1787702791259[[#This Row],[venta total]]-gemini_code_1787702791259[[#This Row],[Costo total]]</f>
        <v>120</v>
      </c>
      <c r="Q634" s="2">
        <f>gemini_code_1787702791259[[#This Row],[Ganancia bruta]]/gemini_code_1787702791259[[#This Row],[venta total]]</f>
        <v>0.44444444444444442</v>
      </c>
      <c r="R634" t="str">
        <f>IF(gemini_code_1787702791259[[#This Row],[Dias_Entrega]]&lt;=gemini_code_1787702791259[[#This Row],[Promesa_SLA_Dias]],"A tiempo","Fuera de SLA")</f>
        <v>Fuera de SLA</v>
      </c>
    </row>
    <row r="635" spans="1:18" x14ac:dyDescent="0.25">
      <c r="A635" t="s">
        <v>30</v>
      </c>
      <c r="B635" s="1">
        <v>46236</v>
      </c>
      <c r="C635" t="s">
        <v>14</v>
      </c>
      <c r="D635" t="s">
        <v>15</v>
      </c>
      <c r="E635" t="s">
        <v>22</v>
      </c>
      <c r="F635" t="s">
        <v>31</v>
      </c>
      <c r="G635" t="s">
        <v>32</v>
      </c>
      <c r="H635">
        <v>4</v>
      </c>
      <c r="I635" s="12">
        <v>110</v>
      </c>
      <c r="J635" s="12">
        <v>60</v>
      </c>
      <c r="K635">
        <v>1</v>
      </c>
      <c r="L635">
        <v>2</v>
      </c>
      <c r="M635">
        <v>400</v>
      </c>
      <c r="N635" s="12">
        <f>+gemini_code_1787702791259[[#This Row],[Cantidad]]*gemini_code_1787702791259[[#This Row],[Precio_Unitario_USD]]</f>
        <v>440</v>
      </c>
      <c r="O635" s="12">
        <f>+gemini_code_1787702791259[[#This Row],[Cantidad]]*gemini_code_1787702791259[[#This Row],[Costo_Unitario_USD]]</f>
        <v>240</v>
      </c>
      <c r="P635" s="12">
        <f>+gemini_code_1787702791259[[#This Row],[venta total]]-gemini_code_1787702791259[[#This Row],[Costo total]]</f>
        <v>200</v>
      </c>
      <c r="Q635" s="2">
        <f>gemini_code_1787702791259[[#This Row],[Ganancia bruta]]/gemini_code_1787702791259[[#This Row],[venta total]]</f>
        <v>0.45454545454545453</v>
      </c>
      <c r="R635" t="str">
        <f>IF(gemini_code_1787702791259[[#This Row],[Dias_Entrega]]&lt;=gemini_code_1787702791259[[#This Row],[Promesa_SLA_Dias]],"A tiempo","Fuera de SLA")</f>
        <v>A tiempo</v>
      </c>
    </row>
    <row r="636" spans="1:18" x14ac:dyDescent="0.25">
      <c r="A636" t="s">
        <v>33</v>
      </c>
      <c r="B636" s="1">
        <v>46236</v>
      </c>
      <c r="C636" t="s">
        <v>20</v>
      </c>
      <c r="D636" t="s">
        <v>21</v>
      </c>
      <c r="E636" t="s">
        <v>16</v>
      </c>
      <c r="F636" t="s">
        <v>17</v>
      </c>
      <c r="G636" t="s">
        <v>34</v>
      </c>
      <c r="H636">
        <v>3</v>
      </c>
      <c r="I636" s="12">
        <v>650</v>
      </c>
      <c r="J636" s="12">
        <v>450</v>
      </c>
      <c r="K636">
        <v>2</v>
      </c>
      <c r="L636">
        <v>3</v>
      </c>
      <c r="M636">
        <v>1800</v>
      </c>
      <c r="N636" s="12">
        <f>+gemini_code_1787702791259[[#This Row],[Cantidad]]*gemini_code_1787702791259[[#This Row],[Precio_Unitario_USD]]</f>
        <v>1950</v>
      </c>
      <c r="O636" s="12">
        <f>+gemini_code_1787702791259[[#This Row],[Cantidad]]*gemini_code_1787702791259[[#This Row],[Costo_Unitario_USD]]</f>
        <v>1350</v>
      </c>
      <c r="P636" s="12">
        <f>+gemini_code_1787702791259[[#This Row],[venta total]]-gemini_code_1787702791259[[#This Row],[Costo total]]</f>
        <v>600</v>
      </c>
      <c r="Q636" s="2">
        <f>gemini_code_1787702791259[[#This Row],[Ganancia bruta]]/gemini_code_1787702791259[[#This Row],[venta total]]</f>
        <v>0.30769230769230771</v>
      </c>
      <c r="R636" t="str">
        <f>IF(gemini_code_1787702791259[[#This Row],[Dias_Entrega]]&lt;=gemini_code_1787702791259[[#This Row],[Promesa_SLA_Dias]],"A tiempo","Fuera de SLA")</f>
        <v>A tiempo</v>
      </c>
    </row>
    <row r="637" spans="1:18" x14ac:dyDescent="0.25">
      <c r="A637" t="s">
        <v>35</v>
      </c>
      <c r="B637" s="1">
        <v>46236</v>
      </c>
      <c r="C637" t="s">
        <v>26</v>
      </c>
      <c r="D637" t="s">
        <v>27</v>
      </c>
      <c r="E637" t="s">
        <v>16</v>
      </c>
      <c r="F637" t="s">
        <v>23</v>
      </c>
      <c r="G637" t="s">
        <v>36</v>
      </c>
      <c r="H637">
        <v>8</v>
      </c>
      <c r="I637" s="12">
        <v>45</v>
      </c>
      <c r="J637" s="12">
        <v>20</v>
      </c>
      <c r="K637">
        <v>5</v>
      </c>
      <c r="L637">
        <v>3</v>
      </c>
      <c r="M637">
        <v>400</v>
      </c>
      <c r="N637" s="12">
        <f>+gemini_code_1787702791259[[#This Row],[Cantidad]]*gemini_code_1787702791259[[#This Row],[Precio_Unitario_USD]]</f>
        <v>360</v>
      </c>
      <c r="O637" s="12">
        <f>+gemini_code_1787702791259[[#This Row],[Cantidad]]*gemini_code_1787702791259[[#This Row],[Costo_Unitario_USD]]</f>
        <v>160</v>
      </c>
      <c r="P637" s="12">
        <f>+gemini_code_1787702791259[[#This Row],[venta total]]-gemini_code_1787702791259[[#This Row],[Costo total]]</f>
        <v>200</v>
      </c>
      <c r="Q637" s="2">
        <f>gemini_code_1787702791259[[#This Row],[Ganancia bruta]]/gemini_code_1787702791259[[#This Row],[venta total]]</f>
        <v>0.55555555555555558</v>
      </c>
      <c r="R637" t="str">
        <f>IF(gemini_code_1787702791259[[#This Row],[Dias_Entrega]]&lt;=gemini_code_1787702791259[[#This Row],[Promesa_SLA_Dias]],"A tiempo","Fuera de SLA")</f>
        <v>Fuera de SLA</v>
      </c>
    </row>
    <row r="638" spans="1:18" x14ac:dyDescent="0.25">
      <c r="A638" t="s">
        <v>37</v>
      </c>
      <c r="B638" s="1">
        <v>46237</v>
      </c>
      <c r="C638" t="s">
        <v>14</v>
      </c>
      <c r="D638" t="s">
        <v>15</v>
      </c>
      <c r="E638" t="s">
        <v>16</v>
      </c>
      <c r="F638" t="s">
        <v>28</v>
      </c>
      <c r="G638" t="s">
        <v>38</v>
      </c>
      <c r="H638">
        <v>2</v>
      </c>
      <c r="I638" s="12">
        <v>280</v>
      </c>
      <c r="J638" s="12">
        <v>180</v>
      </c>
      <c r="K638">
        <v>3</v>
      </c>
      <c r="L638">
        <v>3</v>
      </c>
      <c r="M638">
        <v>500</v>
      </c>
      <c r="N638" s="12">
        <f>+gemini_code_1787702791259[[#This Row],[Cantidad]]*gemini_code_1787702791259[[#This Row],[Precio_Unitario_USD]]</f>
        <v>560</v>
      </c>
      <c r="O638" s="12">
        <f>+gemini_code_1787702791259[[#This Row],[Cantidad]]*gemini_code_1787702791259[[#This Row],[Costo_Unitario_USD]]</f>
        <v>360</v>
      </c>
      <c r="P638" s="12">
        <f>+gemini_code_1787702791259[[#This Row],[venta total]]-gemini_code_1787702791259[[#This Row],[Costo total]]</f>
        <v>200</v>
      </c>
      <c r="Q638" s="2">
        <f>gemini_code_1787702791259[[#This Row],[Ganancia bruta]]/gemini_code_1787702791259[[#This Row],[venta total]]</f>
        <v>0.35714285714285715</v>
      </c>
      <c r="R638" t="str">
        <f>IF(gemini_code_1787702791259[[#This Row],[Dias_Entrega]]&lt;=gemini_code_1787702791259[[#This Row],[Promesa_SLA_Dias]],"A tiempo","Fuera de SLA")</f>
        <v>A tiempo</v>
      </c>
    </row>
    <row r="639" spans="1:18" x14ac:dyDescent="0.25">
      <c r="A639" t="s">
        <v>39</v>
      </c>
      <c r="B639" s="1">
        <v>46237</v>
      </c>
      <c r="C639" t="s">
        <v>20</v>
      </c>
      <c r="D639" t="s">
        <v>21</v>
      </c>
      <c r="E639" t="s">
        <v>22</v>
      </c>
      <c r="F639" t="s">
        <v>31</v>
      </c>
      <c r="G639" t="s">
        <v>40</v>
      </c>
      <c r="H639">
        <v>3</v>
      </c>
      <c r="I639" s="12">
        <v>150</v>
      </c>
      <c r="J639" s="12">
        <v>85</v>
      </c>
      <c r="K639">
        <v>2</v>
      </c>
      <c r="L639">
        <v>2</v>
      </c>
      <c r="M639">
        <v>400</v>
      </c>
      <c r="N639" s="12">
        <f>+gemini_code_1787702791259[[#This Row],[Cantidad]]*gemini_code_1787702791259[[#This Row],[Precio_Unitario_USD]]</f>
        <v>450</v>
      </c>
      <c r="O639" s="12">
        <f>+gemini_code_1787702791259[[#This Row],[Cantidad]]*gemini_code_1787702791259[[#This Row],[Costo_Unitario_USD]]</f>
        <v>255</v>
      </c>
      <c r="P639" s="12">
        <f>+gemini_code_1787702791259[[#This Row],[venta total]]-gemini_code_1787702791259[[#This Row],[Costo total]]</f>
        <v>195</v>
      </c>
      <c r="Q639" s="2">
        <f>gemini_code_1787702791259[[#This Row],[Ganancia bruta]]/gemini_code_1787702791259[[#This Row],[venta total]]</f>
        <v>0.43333333333333335</v>
      </c>
      <c r="R639" t="str">
        <f>IF(gemini_code_1787702791259[[#This Row],[Dias_Entrega]]&lt;=gemini_code_1787702791259[[#This Row],[Promesa_SLA_Dias]],"A tiempo","Fuera de SLA")</f>
        <v>A tiempo</v>
      </c>
    </row>
    <row r="640" spans="1:18" x14ac:dyDescent="0.25">
      <c r="A640" t="s">
        <v>41</v>
      </c>
      <c r="B640" s="1">
        <v>46237</v>
      </c>
      <c r="C640" t="s">
        <v>26</v>
      </c>
      <c r="D640" t="s">
        <v>27</v>
      </c>
      <c r="E640" t="s">
        <v>16</v>
      </c>
      <c r="F640" t="s">
        <v>17</v>
      </c>
      <c r="G640" t="s">
        <v>42</v>
      </c>
      <c r="H640">
        <v>2</v>
      </c>
      <c r="I640" s="12">
        <v>520</v>
      </c>
      <c r="J640" s="12">
        <v>380</v>
      </c>
      <c r="K640">
        <v>7</v>
      </c>
      <c r="L640">
        <v>4</v>
      </c>
      <c r="M640">
        <v>1000</v>
      </c>
      <c r="N640" s="12">
        <f>+gemini_code_1787702791259[[#This Row],[Cantidad]]*gemini_code_1787702791259[[#This Row],[Precio_Unitario_USD]]</f>
        <v>1040</v>
      </c>
      <c r="O640" s="12">
        <f>+gemini_code_1787702791259[[#This Row],[Cantidad]]*gemini_code_1787702791259[[#This Row],[Costo_Unitario_USD]]</f>
        <v>760</v>
      </c>
      <c r="P640" s="12">
        <f>+gemini_code_1787702791259[[#This Row],[venta total]]-gemini_code_1787702791259[[#This Row],[Costo total]]</f>
        <v>280</v>
      </c>
      <c r="Q640" s="2">
        <f>gemini_code_1787702791259[[#This Row],[Ganancia bruta]]/gemini_code_1787702791259[[#This Row],[venta total]]</f>
        <v>0.26923076923076922</v>
      </c>
      <c r="R640" t="str">
        <f>IF(gemini_code_1787702791259[[#This Row],[Dias_Entrega]]&lt;=gemini_code_1787702791259[[#This Row],[Promesa_SLA_Dias]],"A tiempo","Fuera de SLA")</f>
        <v>Fuera de SLA</v>
      </c>
    </row>
    <row r="641" spans="1:18" x14ac:dyDescent="0.25">
      <c r="A641" t="s">
        <v>43</v>
      </c>
      <c r="B641" s="1">
        <v>46238</v>
      </c>
      <c r="C641" t="s">
        <v>14</v>
      </c>
      <c r="D641" t="s">
        <v>15</v>
      </c>
      <c r="E641" t="s">
        <v>22</v>
      </c>
      <c r="F641" t="s">
        <v>23</v>
      </c>
      <c r="G641" t="s">
        <v>44</v>
      </c>
      <c r="H641">
        <v>6</v>
      </c>
      <c r="I641" s="12">
        <v>55</v>
      </c>
      <c r="J641" s="12">
        <v>25</v>
      </c>
      <c r="K641">
        <v>2</v>
      </c>
      <c r="L641">
        <v>3</v>
      </c>
      <c r="M641">
        <v>300</v>
      </c>
      <c r="N641" s="12">
        <f>+gemini_code_1787702791259[[#This Row],[Cantidad]]*gemini_code_1787702791259[[#This Row],[Precio_Unitario_USD]]</f>
        <v>330</v>
      </c>
      <c r="O641" s="12">
        <f>+gemini_code_1787702791259[[#This Row],[Cantidad]]*gemini_code_1787702791259[[#This Row],[Costo_Unitario_USD]]</f>
        <v>150</v>
      </c>
      <c r="P641" s="12">
        <f>+gemini_code_1787702791259[[#This Row],[venta total]]-gemini_code_1787702791259[[#This Row],[Costo total]]</f>
        <v>180</v>
      </c>
      <c r="Q641" s="2">
        <f>gemini_code_1787702791259[[#This Row],[Ganancia bruta]]/gemini_code_1787702791259[[#This Row],[venta total]]</f>
        <v>0.54545454545454541</v>
      </c>
      <c r="R641" t="str">
        <f>IF(gemini_code_1787702791259[[#This Row],[Dias_Entrega]]&lt;=gemini_code_1787702791259[[#This Row],[Promesa_SLA_Dias]],"A tiempo","Fuera de SLA")</f>
        <v>A tiempo</v>
      </c>
    </row>
    <row r="642" spans="1:18" x14ac:dyDescent="0.25">
      <c r="A642" t="s">
        <v>45</v>
      </c>
      <c r="B642" s="1">
        <v>46238</v>
      </c>
      <c r="C642" t="s">
        <v>20</v>
      </c>
      <c r="D642" t="s">
        <v>21</v>
      </c>
      <c r="E642" t="s">
        <v>16</v>
      </c>
      <c r="F642" t="s">
        <v>28</v>
      </c>
      <c r="G642" t="s">
        <v>46</v>
      </c>
      <c r="H642">
        <v>1</v>
      </c>
      <c r="I642" s="12">
        <v>450</v>
      </c>
      <c r="J642" s="12">
        <v>290</v>
      </c>
      <c r="K642">
        <v>4</v>
      </c>
      <c r="L642">
        <v>3</v>
      </c>
      <c r="M642">
        <v>400</v>
      </c>
      <c r="N642" s="12">
        <f>+gemini_code_1787702791259[[#This Row],[Cantidad]]*gemini_code_1787702791259[[#This Row],[Precio_Unitario_USD]]</f>
        <v>450</v>
      </c>
      <c r="O642" s="12">
        <f>+gemini_code_1787702791259[[#This Row],[Cantidad]]*gemini_code_1787702791259[[#This Row],[Costo_Unitario_USD]]</f>
        <v>290</v>
      </c>
      <c r="P642" s="12">
        <f>+gemini_code_1787702791259[[#This Row],[venta total]]-gemini_code_1787702791259[[#This Row],[Costo total]]</f>
        <v>160</v>
      </c>
      <c r="Q642" s="2">
        <f>gemini_code_1787702791259[[#This Row],[Ganancia bruta]]/gemini_code_1787702791259[[#This Row],[venta total]]</f>
        <v>0.35555555555555557</v>
      </c>
      <c r="R642" t="str">
        <f>IF(gemini_code_1787702791259[[#This Row],[Dias_Entrega]]&lt;=gemini_code_1787702791259[[#This Row],[Promesa_SLA_Dias]],"A tiempo","Fuera de SLA")</f>
        <v>Fuera de SLA</v>
      </c>
    </row>
    <row r="643" spans="1:18" x14ac:dyDescent="0.25">
      <c r="A643" t="s">
        <v>47</v>
      </c>
      <c r="B643" s="1">
        <v>46238</v>
      </c>
      <c r="C643" t="s">
        <v>26</v>
      </c>
      <c r="D643" t="s">
        <v>27</v>
      </c>
      <c r="E643" t="s">
        <v>22</v>
      </c>
      <c r="F643" t="s">
        <v>31</v>
      </c>
      <c r="G643" t="s">
        <v>48</v>
      </c>
      <c r="H643">
        <v>10</v>
      </c>
      <c r="I643" s="12">
        <v>35</v>
      </c>
      <c r="J643" s="12">
        <v>15</v>
      </c>
      <c r="K643">
        <v>4</v>
      </c>
      <c r="L643">
        <v>3</v>
      </c>
      <c r="M643">
        <v>300</v>
      </c>
      <c r="N643" s="12">
        <f>+gemini_code_1787702791259[[#This Row],[Cantidad]]*gemini_code_1787702791259[[#This Row],[Precio_Unitario_USD]]</f>
        <v>350</v>
      </c>
      <c r="O643" s="12">
        <f>+gemini_code_1787702791259[[#This Row],[Cantidad]]*gemini_code_1787702791259[[#This Row],[Costo_Unitario_USD]]</f>
        <v>150</v>
      </c>
      <c r="P643" s="12">
        <f>+gemini_code_1787702791259[[#This Row],[venta total]]-gemini_code_1787702791259[[#This Row],[Costo total]]</f>
        <v>200</v>
      </c>
      <c r="Q643" s="2">
        <f>gemini_code_1787702791259[[#This Row],[Ganancia bruta]]/gemini_code_1787702791259[[#This Row],[venta total]]</f>
        <v>0.5714285714285714</v>
      </c>
      <c r="R643" t="str">
        <f>IF(gemini_code_1787702791259[[#This Row],[Dias_Entrega]]&lt;=gemini_code_1787702791259[[#This Row],[Promesa_SLA_Dias]],"A tiempo","Fuera de SLA")</f>
        <v>Fuera de SLA</v>
      </c>
    </row>
    <row r="644" spans="1:18" x14ac:dyDescent="0.25">
      <c r="A644" t="s">
        <v>49</v>
      </c>
      <c r="B644" s="1">
        <v>46239</v>
      </c>
      <c r="C644" t="s">
        <v>14</v>
      </c>
      <c r="D644" t="s">
        <v>15</v>
      </c>
      <c r="E644" t="s">
        <v>16</v>
      </c>
      <c r="F644" t="s">
        <v>17</v>
      </c>
      <c r="G644" t="s">
        <v>50</v>
      </c>
      <c r="H644">
        <v>4</v>
      </c>
      <c r="I644" s="12">
        <v>220</v>
      </c>
      <c r="J644" s="12">
        <v>140</v>
      </c>
      <c r="K644">
        <v>2</v>
      </c>
      <c r="L644">
        <v>3</v>
      </c>
      <c r="M644">
        <v>800</v>
      </c>
      <c r="N644" s="12">
        <f>+gemini_code_1787702791259[[#This Row],[Cantidad]]*gemini_code_1787702791259[[#This Row],[Precio_Unitario_USD]]</f>
        <v>880</v>
      </c>
      <c r="O644" s="12">
        <f>+gemini_code_1787702791259[[#This Row],[Cantidad]]*gemini_code_1787702791259[[#This Row],[Costo_Unitario_USD]]</f>
        <v>560</v>
      </c>
      <c r="P644" s="12">
        <f>+gemini_code_1787702791259[[#This Row],[venta total]]-gemini_code_1787702791259[[#This Row],[Costo total]]</f>
        <v>320</v>
      </c>
      <c r="Q644" s="2">
        <f>gemini_code_1787702791259[[#This Row],[Ganancia bruta]]/gemini_code_1787702791259[[#This Row],[venta total]]</f>
        <v>0.36363636363636365</v>
      </c>
      <c r="R644" t="str">
        <f>IF(gemini_code_1787702791259[[#This Row],[Dias_Entrega]]&lt;=gemini_code_1787702791259[[#This Row],[Promesa_SLA_Dias]],"A tiempo","Fuera de SLA")</f>
        <v>A tiempo</v>
      </c>
    </row>
    <row r="645" spans="1:18" x14ac:dyDescent="0.25">
      <c r="A645" t="s">
        <v>51</v>
      </c>
      <c r="B645" s="1">
        <v>46239</v>
      </c>
      <c r="C645" t="s">
        <v>20</v>
      </c>
      <c r="D645" t="s">
        <v>21</v>
      </c>
      <c r="E645" t="s">
        <v>16</v>
      </c>
      <c r="F645" t="s">
        <v>23</v>
      </c>
      <c r="G645" t="s">
        <v>52</v>
      </c>
      <c r="H645">
        <v>5</v>
      </c>
      <c r="I645" s="12">
        <v>65</v>
      </c>
      <c r="J645" s="12">
        <v>30</v>
      </c>
      <c r="K645">
        <v>2</v>
      </c>
      <c r="L645">
        <v>3</v>
      </c>
      <c r="M645">
        <v>300</v>
      </c>
      <c r="N645" s="12">
        <f>+gemini_code_1787702791259[[#This Row],[Cantidad]]*gemini_code_1787702791259[[#This Row],[Precio_Unitario_USD]]</f>
        <v>325</v>
      </c>
      <c r="O645" s="12">
        <f>+gemini_code_1787702791259[[#This Row],[Cantidad]]*gemini_code_1787702791259[[#This Row],[Costo_Unitario_USD]]</f>
        <v>150</v>
      </c>
      <c r="P645" s="12">
        <f>+gemini_code_1787702791259[[#This Row],[venta total]]-gemini_code_1787702791259[[#This Row],[Costo total]]</f>
        <v>175</v>
      </c>
      <c r="Q645" s="2">
        <f>gemini_code_1787702791259[[#This Row],[Ganancia bruta]]/gemini_code_1787702791259[[#This Row],[venta total]]</f>
        <v>0.53846153846153844</v>
      </c>
      <c r="R645" t="str">
        <f>IF(gemini_code_1787702791259[[#This Row],[Dias_Entrega]]&lt;=gemini_code_1787702791259[[#This Row],[Promesa_SLA_Dias]],"A tiempo","Fuera de SLA")</f>
        <v>A tiempo</v>
      </c>
    </row>
    <row r="646" spans="1:18" x14ac:dyDescent="0.25">
      <c r="A646" t="s">
        <v>53</v>
      </c>
      <c r="B646" s="1">
        <v>46239</v>
      </c>
      <c r="C646" t="s">
        <v>26</v>
      </c>
      <c r="D646" t="s">
        <v>27</v>
      </c>
      <c r="E646" t="s">
        <v>16</v>
      </c>
      <c r="F646" t="s">
        <v>28</v>
      </c>
      <c r="G646" t="s">
        <v>54</v>
      </c>
      <c r="H646">
        <v>2</v>
      </c>
      <c r="I646" s="12">
        <v>180</v>
      </c>
      <c r="J646" s="12">
        <v>110</v>
      </c>
      <c r="K646">
        <v>6</v>
      </c>
      <c r="L646">
        <v>3</v>
      </c>
      <c r="M646">
        <v>350</v>
      </c>
      <c r="N646" s="12">
        <f>+gemini_code_1787702791259[[#This Row],[Cantidad]]*gemini_code_1787702791259[[#This Row],[Precio_Unitario_USD]]</f>
        <v>360</v>
      </c>
      <c r="O646" s="12">
        <f>+gemini_code_1787702791259[[#This Row],[Cantidad]]*gemini_code_1787702791259[[#This Row],[Costo_Unitario_USD]]</f>
        <v>220</v>
      </c>
      <c r="P646" s="12">
        <f>+gemini_code_1787702791259[[#This Row],[venta total]]-gemini_code_1787702791259[[#This Row],[Costo total]]</f>
        <v>140</v>
      </c>
      <c r="Q646" s="2">
        <f>gemini_code_1787702791259[[#This Row],[Ganancia bruta]]/gemini_code_1787702791259[[#This Row],[venta total]]</f>
        <v>0.3888888888888889</v>
      </c>
      <c r="R646" t="str">
        <f>IF(gemini_code_1787702791259[[#This Row],[Dias_Entrega]]&lt;=gemini_code_1787702791259[[#This Row],[Promesa_SLA_Dias]],"A tiempo","Fuera de SLA")</f>
        <v>Fuera de SLA</v>
      </c>
    </row>
    <row r="647" spans="1:18" x14ac:dyDescent="0.25">
      <c r="A647" t="s">
        <v>55</v>
      </c>
      <c r="B647" s="1">
        <v>46240</v>
      </c>
      <c r="C647" t="s">
        <v>14</v>
      </c>
      <c r="D647" t="s">
        <v>15</v>
      </c>
      <c r="E647" t="s">
        <v>22</v>
      </c>
      <c r="F647" t="s">
        <v>31</v>
      </c>
      <c r="G647" t="s">
        <v>56</v>
      </c>
      <c r="H647">
        <v>6</v>
      </c>
      <c r="I647" s="12">
        <v>85</v>
      </c>
      <c r="J647" s="12">
        <v>45</v>
      </c>
      <c r="K647">
        <v>1</v>
      </c>
      <c r="L647">
        <v>2</v>
      </c>
      <c r="M647">
        <v>500</v>
      </c>
      <c r="N647" s="12">
        <f>+gemini_code_1787702791259[[#This Row],[Cantidad]]*gemini_code_1787702791259[[#This Row],[Precio_Unitario_USD]]</f>
        <v>510</v>
      </c>
      <c r="O647" s="12">
        <f>+gemini_code_1787702791259[[#This Row],[Cantidad]]*gemini_code_1787702791259[[#This Row],[Costo_Unitario_USD]]</f>
        <v>270</v>
      </c>
      <c r="P647" s="12">
        <f>+gemini_code_1787702791259[[#This Row],[venta total]]-gemini_code_1787702791259[[#This Row],[Costo total]]</f>
        <v>240</v>
      </c>
      <c r="Q647" s="2">
        <f>gemini_code_1787702791259[[#This Row],[Ganancia bruta]]/gemini_code_1787702791259[[#This Row],[venta total]]</f>
        <v>0.47058823529411764</v>
      </c>
      <c r="R647" t="str">
        <f>IF(gemini_code_1787702791259[[#This Row],[Dias_Entrega]]&lt;=gemini_code_1787702791259[[#This Row],[Promesa_SLA_Dias]],"A tiempo","Fuera de SLA")</f>
        <v>A tiempo</v>
      </c>
    </row>
    <row r="648" spans="1:18" x14ac:dyDescent="0.25">
      <c r="A648" t="s">
        <v>57</v>
      </c>
      <c r="B648" s="1">
        <v>46240</v>
      </c>
      <c r="C648" t="s">
        <v>20</v>
      </c>
      <c r="D648" t="s">
        <v>21</v>
      </c>
      <c r="E648" t="s">
        <v>16</v>
      </c>
      <c r="F648" t="s">
        <v>17</v>
      </c>
      <c r="G648" t="s">
        <v>58</v>
      </c>
      <c r="H648">
        <v>12</v>
      </c>
      <c r="I648" s="12">
        <v>75</v>
      </c>
      <c r="J648" s="12">
        <v>35</v>
      </c>
      <c r="K648">
        <v>1</v>
      </c>
      <c r="L648">
        <v>2</v>
      </c>
      <c r="M648">
        <v>800</v>
      </c>
      <c r="N648" s="12">
        <f>+gemini_code_1787702791259[[#This Row],[Cantidad]]*gemini_code_1787702791259[[#This Row],[Precio_Unitario_USD]]</f>
        <v>900</v>
      </c>
      <c r="O648" s="12">
        <f>+gemini_code_1787702791259[[#This Row],[Cantidad]]*gemini_code_1787702791259[[#This Row],[Costo_Unitario_USD]]</f>
        <v>420</v>
      </c>
      <c r="P648" s="12">
        <f>+gemini_code_1787702791259[[#This Row],[venta total]]-gemini_code_1787702791259[[#This Row],[Costo total]]</f>
        <v>480</v>
      </c>
      <c r="Q648" s="2">
        <f>gemini_code_1787702791259[[#This Row],[Ganancia bruta]]/gemini_code_1787702791259[[#This Row],[venta total]]</f>
        <v>0.53333333333333333</v>
      </c>
      <c r="R648" t="str">
        <f>IF(gemini_code_1787702791259[[#This Row],[Dias_Entrega]]&lt;=gemini_code_1787702791259[[#This Row],[Promesa_SLA_Dias]],"A tiempo","Fuera de SLA")</f>
        <v>A tiempo</v>
      </c>
    </row>
    <row r="649" spans="1:18" x14ac:dyDescent="0.25">
      <c r="A649" t="s">
        <v>59</v>
      </c>
      <c r="B649" s="1">
        <v>46240</v>
      </c>
      <c r="C649" t="s">
        <v>26</v>
      </c>
      <c r="D649" t="s">
        <v>27</v>
      </c>
      <c r="E649" t="s">
        <v>22</v>
      </c>
      <c r="F649" t="s">
        <v>23</v>
      </c>
      <c r="G649" t="s">
        <v>60</v>
      </c>
      <c r="H649">
        <v>4</v>
      </c>
      <c r="I649" s="12">
        <v>110</v>
      </c>
      <c r="J649" s="12">
        <v>55</v>
      </c>
      <c r="K649">
        <v>5</v>
      </c>
      <c r="L649">
        <v>3</v>
      </c>
      <c r="M649">
        <v>400</v>
      </c>
      <c r="N649" s="12">
        <f>+gemini_code_1787702791259[[#This Row],[Cantidad]]*gemini_code_1787702791259[[#This Row],[Precio_Unitario_USD]]</f>
        <v>440</v>
      </c>
      <c r="O649" s="12">
        <f>+gemini_code_1787702791259[[#This Row],[Cantidad]]*gemini_code_1787702791259[[#This Row],[Costo_Unitario_USD]]</f>
        <v>220</v>
      </c>
      <c r="P649" s="12">
        <f>+gemini_code_1787702791259[[#This Row],[venta total]]-gemini_code_1787702791259[[#This Row],[Costo total]]</f>
        <v>220</v>
      </c>
      <c r="Q649" s="2">
        <f>gemini_code_1787702791259[[#This Row],[Ganancia bruta]]/gemini_code_1787702791259[[#This Row],[venta total]]</f>
        <v>0.5</v>
      </c>
      <c r="R649" t="str">
        <f>IF(gemini_code_1787702791259[[#This Row],[Dias_Entrega]]&lt;=gemini_code_1787702791259[[#This Row],[Promesa_SLA_Dias]],"A tiempo","Fuera de SLA")</f>
        <v>Fuera de SLA</v>
      </c>
    </row>
    <row r="650" spans="1:18" x14ac:dyDescent="0.25">
      <c r="A650" t="s">
        <v>61</v>
      </c>
      <c r="B650" s="1">
        <v>46241</v>
      </c>
      <c r="C650" t="s">
        <v>14</v>
      </c>
      <c r="D650" t="s">
        <v>15</v>
      </c>
      <c r="E650" t="s">
        <v>16</v>
      </c>
      <c r="F650" t="s">
        <v>28</v>
      </c>
      <c r="G650" t="s">
        <v>62</v>
      </c>
      <c r="H650">
        <v>15</v>
      </c>
      <c r="I650" s="12">
        <v>25</v>
      </c>
      <c r="J650" s="12">
        <v>10</v>
      </c>
      <c r="K650">
        <v>2</v>
      </c>
      <c r="L650">
        <v>3</v>
      </c>
      <c r="M650">
        <v>300</v>
      </c>
      <c r="N650" s="12">
        <f>+gemini_code_1787702791259[[#This Row],[Cantidad]]*gemini_code_1787702791259[[#This Row],[Precio_Unitario_USD]]</f>
        <v>375</v>
      </c>
      <c r="O650" s="12">
        <f>+gemini_code_1787702791259[[#This Row],[Cantidad]]*gemini_code_1787702791259[[#This Row],[Costo_Unitario_USD]]</f>
        <v>150</v>
      </c>
      <c r="P650" s="12">
        <f>+gemini_code_1787702791259[[#This Row],[venta total]]-gemini_code_1787702791259[[#This Row],[Costo total]]</f>
        <v>225</v>
      </c>
      <c r="Q650" s="2">
        <f>gemini_code_1787702791259[[#This Row],[Ganancia bruta]]/gemini_code_1787702791259[[#This Row],[venta total]]</f>
        <v>0.6</v>
      </c>
      <c r="R650" t="str">
        <f>IF(gemini_code_1787702791259[[#This Row],[Dias_Entrega]]&lt;=gemini_code_1787702791259[[#This Row],[Promesa_SLA_Dias]],"A tiempo","Fuera de SLA")</f>
        <v>A tiempo</v>
      </c>
    </row>
    <row r="651" spans="1:18" x14ac:dyDescent="0.25">
      <c r="A651" t="s">
        <v>63</v>
      </c>
      <c r="B651" s="1">
        <v>46241</v>
      </c>
      <c r="C651" t="s">
        <v>20</v>
      </c>
      <c r="D651" t="s">
        <v>21</v>
      </c>
      <c r="E651" t="s">
        <v>22</v>
      </c>
      <c r="F651" t="s">
        <v>31</v>
      </c>
      <c r="G651" t="s">
        <v>64</v>
      </c>
      <c r="H651">
        <v>5</v>
      </c>
      <c r="I651" s="12">
        <v>130</v>
      </c>
      <c r="J651" s="12">
        <v>70</v>
      </c>
      <c r="K651">
        <v>3</v>
      </c>
      <c r="L651">
        <v>3</v>
      </c>
      <c r="M651">
        <v>600</v>
      </c>
      <c r="N651" s="12">
        <f>+gemini_code_1787702791259[[#This Row],[Cantidad]]*gemini_code_1787702791259[[#This Row],[Precio_Unitario_USD]]</f>
        <v>650</v>
      </c>
      <c r="O651" s="12">
        <f>+gemini_code_1787702791259[[#This Row],[Cantidad]]*gemini_code_1787702791259[[#This Row],[Costo_Unitario_USD]]</f>
        <v>350</v>
      </c>
      <c r="P651" s="12">
        <f>+gemini_code_1787702791259[[#This Row],[venta total]]-gemini_code_1787702791259[[#This Row],[Costo total]]</f>
        <v>300</v>
      </c>
      <c r="Q651" s="2">
        <f>gemini_code_1787702791259[[#This Row],[Ganancia bruta]]/gemini_code_1787702791259[[#This Row],[venta total]]</f>
        <v>0.46153846153846156</v>
      </c>
      <c r="R651" t="str">
        <f>IF(gemini_code_1787702791259[[#This Row],[Dias_Entrega]]&lt;=gemini_code_1787702791259[[#This Row],[Promesa_SLA_Dias]],"A tiempo","Fuera de SLA")</f>
        <v>A tiempo</v>
      </c>
    </row>
    <row r="652" spans="1:18" x14ac:dyDescent="0.25">
      <c r="A652" t="s">
        <v>65</v>
      </c>
      <c r="B652" s="1">
        <v>46241</v>
      </c>
      <c r="C652" t="s">
        <v>26</v>
      </c>
      <c r="D652" t="s">
        <v>27</v>
      </c>
      <c r="E652" t="s">
        <v>16</v>
      </c>
      <c r="F652" t="s">
        <v>17</v>
      </c>
      <c r="G652" t="s">
        <v>66</v>
      </c>
      <c r="H652">
        <v>2</v>
      </c>
      <c r="I652" s="12">
        <v>500</v>
      </c>
      <c r="J652" s="12">
        <v>380</v>
      </c>
      <c r="K652">
        <v>6</v>
      </c>
      <c r="L652">
        <v>4</v>
      </c>
      <c r="M652">
        <v>900</v>
      </c>
      <c r="N652" s="12">
        <f>+gemini_code_1787702791259[[#This Row],[Cantidad]]*gemini_code_1787702791259[[#This Row],[Precio_Unitario_USD]]</f>
        <v>1000</v>
      </c>
      <c r="O652" s="12">
        <f>+gemini_code_1787702791259[[#This Row],[Cantidad]]*gemini_code_1787702791259[[#This Row],[Costo_Unitario_USD]]</f>
        <v>760</v>
      </c>
      <c r="P652" s="12">
        <f>+gemini_code_1787702791259[[#This Row],[venta total]]-gemini_code_1787702791259[[#This Row],[Costo total]]</f>
        <v>240</v>
      </c>
      <c r="Q652" s="2">
        <f>gemini_code_1787702791259[[#This Row],[Ganancia bruta]]/gemini_code_1787702791259[[#This Row],[venta total]]</f>
        <v>0.24</v>
      </c>
      <c r="R652" t="str">
        <f>IF(gemini_code_1787702791259[[#This Row],[Dias_Entrega]]&lt;=gemini_code_1787702791259[[#This Row],[Promesa_SLA_Dias]],"A tiempo","Fuera de SLA")</f>
        <v>Fuera de SLA</v>
      </c>
    </row>
    <row r="653" spans="1:18" x14ac:dyDescent="0.25">
      <c r="A653" t="s">
        <v>67</v>
      </c>
      <c r="B653" s="1">
        <v>46242</v>
      </c>
      <c r="C653" t="s">
        <v>14</v>
      </c>
      <c r="D653" t="s">
        <v>15</v>
      </c>
      <c r="E653" t="s">
        <v>16</v>
      </c>
      <c r="F653" t="s">
        <v>23</v>
      </c>
      <c r="G653" t="s">
        <v>68</v>
      </c>
      <c r="H653">
        <v>3</v>
      </c>
      <c r="I653" s="12">
        <v>95</v>
      </c>
      <c r="J653" s="12">
        <v>45</v>
      </c>
      <c r="K653">
        <v>2</v>
      </c>
      <c r="L653">
        <v>3</v>
      </c>
      <c r="M653">
        <v>300</v>
      </c>
      <c r="N653" s="12">
        <f>+gemini_code_1787702791259[[#This Row],[Cantidad]]*gemini_code_1787702791259[[#This Row],[Precio_Unitario_USD]]</f>
        <v>285</v>
      </c>
      <c r="O653" s="12">
        <f>+gemini_code_1787702791259[[#This Row],[Cantidad]]*gemini_code_1787702791259[[#This Row],[Costo_Unitario_USD]]</f>
        <v>135</v>
      </c>
      <c r="P653" s="12">
        <f>+gemini_code_1787702791259[[#This Row],[venta total]]-gemini_code_1787702791259[[#This Row],[Costo total]]</f>
        <v>150</v>
      </c>
      <c r="Q653" s="2">
        <f>gemini_code_1787702791259[[#This Row],[Ganancia bruta]]/gemini_code_1787702791259[[#This Row],[venta total]]</f>
        <v>0.52631578947368418</v>
      </c>
      <c r="R653" t="str">
        <f>IF(gemini_code_1787702791259[[#This Row],[Dias_Entrega]]&lt;=gemini_code_1787702791259[[#This Row],[Promesa_SLA_Dias]],"A tiempo","Fuera de SLA")</f>
        <v>A tiempo</v>
      </c>
    </row>
    <row r="654" spans="1:18" x14ac:dyDescent="0.25">
      <c r="A654" t="s">
        <v>69</v>
      </c>
      <c r="B654" s="1">
        <v>46242</v>
      </c>
      <c r="C654" t="s">
        <v>20</v>
      </c>
      <c r="D654" t="s">
        <v>21</v>
      </c>
      <c r="E654" t="s">
        <v>16</v>
      </c>
      <c r="F654" t="s">
        <v>28</v>
      </c>
      <c r="G654" t="s">
        <v>70</v>
      </c>
      <c r="H654">
        <v>4</v>
      </c>
      <c r="I654" s="12">
        <v>160</v>
      </c>
      <c r="J654" s="12">
        <v>95</v>
      </c>
      <c r="K654">
        <v>2</v>
      </c>
      <c r="L654">
        <v>3</v>
      </c>
      <c r="M654">
        <v>600</v>
      </c>
      <c r="N654" s="12">
        <f>+gemini_code_1787702791259[[#This Row],[Cantidad]]*gemini_code_1787702791259[[#This Row],[Precio_Unitario_USD]]</f>
        <v>640</v>
      </c>
      <c r="O654" s="12">
        <f>+gemini_code_1787702791259[[#This Row],[Cantidad]]*gemini_code_1787702791259[[#This Row],[Costo_Unitario_USD]]</f>
        <v>380</v>
      </c>
      <c r="P654" s="12">
        <f>+gemini_code_1787702791259[[#This Row],[venta total]]-gemini_code_1787702791259[[#This Row],[Costo total]]</f>
        <v>260</v>
      </c>
      <c r="Q654" s="2">
        <f>gemini_code_1787702791259[[#This Row],[Ganancia bruta]]/gemini_code_1787702791259[[#This Row],[venta total]]</f>
        <v>0.40625</v>
      </c>
      <c r="R654" t="str">
        <f>IF(gemini_code_1787702791259[[#This Row],[Dias_Entrega]]&lt;=gemini_code_1787702791259[[#This Row],[Promesa_SLA_Dias]],"A tiempo","Fuera de SLA")</f>
        <v>A tiempo</v>
      </c>
    </row>
    <row r="655" spans="1:18" x14ac:dyDescent="0.25">
      <c r="A655" t="s">
        <v>71</v>
      </c>
      <c r="B655" s="1">
        <v>46242</v>
      </c>
      <c r="C655" t="s">
        <v>26</v>
      </c>
      <c r="D655" t="s">
        <v>27</v>
      </c>
      <c r="E655" t="s">
        <v>22</v>
      </c>
      <c r="F655" t="s">
        <v>31</v>
      </c>
      <c r="G655" t="s">
        <v>72</v>
      </c>
      <c r="H655">
        <v>7</v>
      </c>
      <c r="I655" s="12">
        <v>90</v>
      </c>
      <c r="J655" s="12">
        <v>45</v>
      </c>
      <c r="K655">
        <v>4</v>
      </c>
      <c r="L655">
        <v>3</v>
      </c>
      <c r="M655">
        <v>600</v>
      </c>
      <c r="N655" s="12">
        <f>+gemini_code_1787702791259[[#This Row],[Cantidad]]*gemini_code_1787702791259[[#This Row],[Precio_Unitario_USD]]</f>
        <v>630</v>
      </c>
      <c r="O655" s="12">
        <f>+gemini_code_1787702791259[[#This Row],[Cantidad]]*gemini_code_1787702791259[[#This Row],[Costo_Unitario_USD]]</f>
        <v>315</v>
      </c>
      <c r="P655" s="12">
        <f>+gemini_code_1787702791259[[#This Row],[venta total]]-gemini_code_1787702791259[[#This Row],[Costo total]]</f>
        <v>315</v>
      </c>
      <c r="Q655" s="2">
        <f>gemini_code_1787702791259[[#This Row],[Ganancia bruta]]/gemini_code_1787702791259[[#This Row],[venta total]]</f>
        <v>0.5</v>
      </c>
      <c r="R655" t="str">
        <f>IF(gemini_code_1787702791259[[#This Row],[Dias_Entrega]]&lt;=gemini_code_1787702791259[[#This Row],[Promesa_SLA_Dias]],"A tiempo","Fuera de SLA")</f>
        <v>Fuera de SLA</v>
      </c>
    </row>
    <row r="656" spans="1:18" x14ac:dyDescent="0.25">
      <c r="A656" t="s">
        <v>73</v>
      </c>
      <c r="B656" s="1">
        <v>46243</v>
      </c>
      <c r="C656" t="s">
        <v>14</v>
      </c>
      <c r="D656" t="s">
        <v>15</v>
      </c>
      <c r="E656" t="s">
        <v>22</v>
      </c>
      <c r="F656" t="s">
        <v>17</v>
      </c>
      <c r="G656" t="s">
        <v>74</v>
      </c>
      <c r="H656">
        <v>3</v>
      </c>
      <c r="I656" s="12">
        <v>310</v>
      </c>
      <c r="J656" s="12">
        <v>210</v>
      </c>
      <c r="K656">
        <v>2</v>
      </c>
      <c r="L656">
        <v>3</v>
      </c>
      <c r="M656">
        <v>900</v>
      </c>
      <c r="N656" s="12">
        <f>+gemini_code_1787702791259[[#This Row],[Cantidad]]*gemini_code_1787702791259[[#This Row],[Precio_Unitario_USD]]</f>
        <v>930</v>
      </c>
      <c r="O656" s="12">
        <f>+gemini_code_1787702791259[[#This Row],[Cantidad]]*gemini_code_1787702791259[[#This Row],[Costo_Unitario_USD]]</f>
        <v>630</v>
      </c>
      <c r="P656" s="12">
        <f>+gemini_code_1787702791259[[#This Row],[venta total]]-gemini_code_1787702791259[[#This Row],[Costo total]]</f>
        <v>300</v>
      </c>
      <c r="Q656" s="2">
        <f>gemini_code_1787702791259[[#This Row],[Ganancia bruta]]/gemini_code_1787702791259[[#This Row],[venta total]]</f>
        <v>0.32258064516129031</v>
      </c>
      <c r="R656" t="str">
        <f>IF(gemini_code_1787702791259[[#This Row],[Dias_Entrega]]&lt;=gemini_code_1787702791259[[#This Row],[Promesa_SLA_Dias]],"A tiempo","Fuera de SLA")</f>
        <v>A tiempo</v>
      </c>
    </row>
    <row r="657" spans="1:18" x14ac:dyDescent="0.25">
      <c r="A657" t="s">
        <v>75</v>
      </c>
      <c r="B657" s="1">
        <v>46243</v>
      </c>
      <c r="C657" t="s">
        <v>20</v>
      </c>
      <c r="D657" t="s">
        <v>21</v>
      </c>
      <c r="E657" t="s">
        <v>16</v>
      </c>
      <c r="F657" t="s">
        <v>23</v>
      </c>
      <c r="G657" t="s">
        <v>76</v>
      </c>
      <c r="H657">
        <v>8</v>
      </c>
      <c r="I657" s="12">
        <v>50</v>
      </c>
      <c r="J657" s="12">
        <v>22</v>
      </c>
      <c r="K657">
        <v>2</v>
      </c>
      <c r="L657">
        <v>3</v>
      </c>
      <c r="M657">
        <v>400</v>
      </c>
      <c r="N657" s="12">
        <f>+gemini_code_1787702791259[[#This Row],[Cantidad]]*gemini_code_1787702791259[[#This Row],[Precio_Unitario_USD]]</f>
        <v>400</v>
      </c>
      <c r="O657" s="12">
        <f>+gemini_code_1787702791259[[#This Row],[Cantidad]]*gemini_code_1787702791259[[#This Row],[Costo_Unitario_USD]]</f>
        <v>176</v>
      </c>
      <c r="P657" s="12">
        <f>+gemini_code_1787702791259[[#This Row],[venta total]]-gemini_code_1787702791259[[#This Row],[Costo total]]</f>
        <v>224</v>
      </c>
      <c r="Q657" s="2">
        <f>gemini_code_1787702791259[[#This Row],[Ganancia bruta]]/gemini_code_1787702791259[[#This Row],[venta total]]</f>
        <v>0.56000000000000005</v>
      </c>
      <c r="R657" t="str">
        <f>IF(gemini_code_1787702791259[[#This Row],[Dias_Entrega]]&lt;=gemini_code_1787702791259[[#This Row],[Promesa_SLA_Dias]],"A tiempo","Fuera de SLA")</f>
        <v>A tiempo</v>
      </c>
    </row>
    <row r="658" spans="1:18" x14ac:dyDescent="0.25">
      <c r="A658" t="s">
        <v>77</v>
      </c>
      <c r="B658" s="1">
        <v>46243</v>
      </c>
      <c r="C658" t="s">
        <v>26</v>
      </c>
      <c r="D658" t="s">
        <v>27</v>
      </c>
      <c r="E658" t="s">
        <v>16</v>
      </c>
      <c r="F658" t="s">
        <v>28</v>
      </c>
      <c r="G658" t="s">
        <v>78</v>
      </c>
      <c r="H658">
        <v>1</v>
      </c>
      <c r="I658" s="12">
        <v>750</v>
      </c>
      <c r="J658" s="12">
        <v>480</v>
      </c>
      <c r="K658">
        <v>8</v>
      </c>
      <c r="L658">
        <v>4</v>
      </c>
      <c r="M658">
        <v>700</v>
      </c>
      <c r="N658" s="12">
        <f>+gemini_code_1787702791259[[#This Row],[Cantidad]]*gemini_code_1787702791259[[#This Row],[Precio_Unitario_USD]]</f>
        <v>750</v>
      </c>
      <c r="O658" s="12">
        <f>+gemini_code_1787702791259[[#This Row],[Cantidad]]*gemini_code_1787702791259[[#This Row],[Costo_Unitario_USD]]</f>
        <v>480</v>
      </c>
      <c r="P658" s="12">
        <f>+gemini_code_1787702791259[[#This Row],[venta total]]-gemini_code_1787702791259[[#This Row],[Costo total]]</f>
        <v>270</v>
      </c>
      <c r="Q658" s="2">
        <f>gemini_code_1787702791259[[#This Row],[Ganancia bruta]]/gemini_code_1787702791259[[#This Row],[venta total]]</f>
        <v>0.36</v>
      </c>
      <c r="R658" t="str">
        <f>IF(gemini_code_1787702791259[[#This Row],[Dias_Entrega]]&lt;=gemini_code_1787702791259[[#This Row],[Promesa_SLA_Dias]],"A tiempo","Fuera de SLA")</f>
        <v>Fuera de SLA</v>
      </c>
    </row>
    <row r="659" spans="1:18" x14ac:dyDescent="0.25">
      <c r="A659" t="s">
        <v>79</v>
      </c>
      <c r="B659" s="1">
        <v>46244</v>
      </c>
      <c r="C659" t="s">
        <v>14</v>
      </c>
      <c r="D659" t="s">
        <v>15</v>
      </c>
      <c r="E659" t="s">
        <v>16</v>
      </c>
      <c r="F659" t="s">
        <v>31</v>
      </c>
      <c r="G659" t="s">
        <v>80</v>
      </c>
      <c r="H659">
        <v>4</v>
      </c>
      <c r="I659" s="12">
        <v>140</v>
      </c>
      <c r="J659" s="12">
        <v>75</v>
      </c>
      <c r="K659">
        <v>3</v>
      </c>
      <c r="L659">
        <v>3</v>
      </c>
      <c r="M659">
        <v>500</v>
      </c>
      <c r="N659" s="12">
        <f>+gemini_code_1787702791259[[#This Row],[Cantidad]]*gemini_code_1787702791259[[#This Row],[Precio_Unitario_USD]]</f>
        <v>560</v>
      </c>
      <c r="O659" s="12">
        <f>+gemini_code_1787702791259[[#This Row],[Cantidad]]*gemini_code_1787702791259[[#This Row],[Costo_Unitario_USD]]</f>
        <v>300</v>
      </c>
      <c r="P659" s="12">
        <f>+gemini_code_1787702791259[[#This Row],[venta total]]-gemini_code_1787702791259[[#This Row],[Costo total]]</f>
        <v>260</v>
      </c>
      <c r="Q659" s="2">
        <f>gemini_code_1787702791259[[#This Row],[Ganancia bruta]]/gemini_code_1787702791259[[#This Row],[venta total]]</f>
        <v>0.4642857142857143</v>
      </c>
      <c r="R659" t="str">
        <f>IF(gemini_code_1787702791259[[#This Row],[Dias_Entrega]]&lt;=gemini_code_1787702791259[[#This Row],[Promesa_SLA_Dias]],"A tiempo","Fuera de SLA")</f>
        <v>A tiempo</v>
      </c>
    </row>
    <row r="660" spans="1:18" x14ac:dyDescent="0.25">
      <c r="A660" t="s">
        <v>81</v>
      </c>
      <c r="B660" s="1">
        <v>46244</v>
      </c>
      <c r="C660" t="s">
        <v>20</v>
      </c>
      <c r="D660" t="s">
        <v>21</v>
      </c>
      <c r="E660" t="s">
        <v>22</v>
      </c>
      <c r="F660" t="s">
        <v>17</v>
      </c>
      <c r="G660" t="s">
        <v>82</v>
      </c>
      <c r="H660">
        <v>6</v>
      </c>
      <c r="I660" s="12">
        <v>90</v>
      </c>
      <c r="J660" s="12">
        <v>50</v>
      </c>
      <c r="K660">
        <v>1</v>
      </c>
      <c r="L660">
        <v>2</v>
      </c>
      <c r="M660">
        <v>500</v>
      </c>
      <c r="N660" s="12">
        <f>+gemini_code_1787702791259[[#This Row],[Cantidad]]*gemini_code_1787702791259[[#This Row],[Precio_Unitario_USD]]</f>
        <v>540</v>
      </c>
      <c r="O660" s="12">
        <f>+gemini_code_1787702791259[[#This Row],[Cantidad]]*gemini_code_1787702791259[[#This Row],[Costo_Unitario_USD]]</f>
        <v>300</v>
      </c>
      <c r="P660" s="12">
        <f>+gemini_code_1787702791259[[#This Row],[venta total]]-gemini_code_1787702791259[[#This Row],[Costo total]]</f>
        <v>240</v>
      </c>
      <c r="Q660" s="2">
        <f>gemini_code_1787702791259[[#This Row],[Ganancia bruta]]/gemini_code_1787702791259[[#This Row],[venta total]]</f>
        <v>0.44444444444444442</v>
      </c>
      <c r="R660" t="str">
        <f>IF(gemini_code_1787702791259[[#This Row],[Dias_Entrega]]&lt;=gemini_code_1787702791259[[#This Row],[Promesa_SLA_Dias]],"A tiempo","Fuera de SLA")</f>
        <v>A tiempo</v>
      </c>
    </row>
    <row r="661" spans="1:18" x14ac:dyDescent="0.25">
      <c r="A661" t="s">
        <v>83</v>
      </c>
      <c r="B661" s="1">
        <v>46244</v>
      </c>
      <c r="C661" t="s">
        <v>26</v>
      </c>
      <c r="D661" t="s">
        <v>27</v>
      </c>
      <c r="E661" t="s">
        <v>16</v>
      </c>
      <c r="F661" t="s">
        <v>23</v>
      </c>
      <c r="G661" t="s">
        <v>84</v>
      </c>
      <c r="H661">
        <v>6</v>
      </c>
      <c r="I661" s="12">
        <v>60</v>
      </c>
      <c r="J661" s="12">
        <v>28</v>
      </c>
      <c r="K661">
        <v>5</v>
      </c>
      <c r="L661">
        <v>3</v>
      </c>
      <c r="M661">
        <v>350</v>
      </c>
      <c r="N661" s="12">
        <f>+gemini_code_1787702791259[[#This Row],[Cantidad]]*gemini_code_1787702791259[[#This Row],[Precio_Unitario_USD]]</f>
        <v>360</v>
      </c>
      <c r="O661" s="12">
        <f>+gemini_code_1787702791259[[#This Row],[Cantidad]]*gemini_code_1787702791259[[#This Row],[Costo_Unitario_USD]]</f>
        <v>168</v>
      </c>
      <c r="P661" s="12">
        <f>+gemini_code_1787702791259[[#This Row],[venta total]]-gemini_code_1787702791259[[#This Row],[Costo total]]</f>
        <v>192</v>
      </c>
      <c r="Q661" s="2">
        <f>gemini_code_1787702791259[[#This Row],[Ganancia bruta]]/gemini_code_1787702791259[[#This Row],[venta total]]</f>
        <v>0.53333333333333333</v>
      </c>
      <c r="R661" t="str">
        <f>IF(gemini_code_1787702791259[[#This Row],[Dias_Entrega]]&lt;=gemini_code_1787702791259[[#This Row],[Promesa_SLA_Dias]],"A tiempo","Fuera de SLA")</f>
        <v>Fuera de SLA</v>
      </c>
    </row>
    <row r="662" spans="1:18" x14ac:dyDescent="0.25">
      <c r="A662" t="s">
        <v>13</v>
      </c>
      <c r="B662" s="1">
        <v>46235</v>
      </c>
      <c r="C662" t="s">
        <v>14</v>
      </c>
      <c r="D662" t="s">
        <v>15</v>
      </c>
      <c r="E662" t="s">
        <v>16</v>
      </c>
      <c r="F662" t="s">
        <v>17</v>
      </c>
      <c r="G662" t="s">
        <v>18</v>
      </c>
      <c r="H662">
        <v>2</v>
      </c>
      <c r="I662" s="12">
        <v>850</v>
      </c>
      <c r="J662" s="12">
        <v>600</v>
      </c>
      <c r="K662">
        <v>2</v>
      </c>
      <c r="L662">
        <v>3</v>
      </c>
      <c r="M662">
        <v>1500</v>
      </c>
      <c r="N662" s="12">
        <f>+gemini_code_1787702791259[[#This Row],[Cantidad]]*gemini_code_1787702791259[[#This Row],[Precio_Unitario_USD]]</f>
        <v>1700</v>
      </c>
      <c r="O662" s="12">
        <f>+gemini_code_1787702791259[[#This Row],[Cantidad]]*gemini_code_1787702791259[[#This Row],[Costo_Unitario_USD]]</f>
        <v>1200</v>
      </c>
      <c r="P662" s="12">
        <f>+gemini_code_1787702791259[[#This Row],[venta total]]-gemini_code_1787702791259[[#This Row],[Costo total]]</f>
        <v>500</v>
      </c>
      <c r="Q662" s="2">
        <f>gemini_code_1787702791259[[#This Row],[Ganancia bruta]]/gemini_code_1787702791259[[#This Row],[venta total]]</f>
        <v>0.29411764705882354</v>
      </c>
      <c r="R662" t="str">
        <f>IF(gemini_code_1787702791259[[#This Row],[Dias_Entrega]]&lt;=gemini_code_1787702791259[[#This Row],[Promesa_SLA_Dias]],"A tiempo","Fuera de SLA")</f>
        <v>A tiempo</v>
      </c>
    </row>
    <row r="663" spans="1:18" x14ac:dyDescent="0.25">
      <c r="A663" t="s">
        <v>19</v>
      </c>
      <c r="B663" s="1">
        <v>46235</v>
      </c>
      <c r="C663" t="s">
        <v>20</v>
      </c>
      <c r="D663" t="s">
        <v>21</v>
      </c>
      <c r="E663" t="s">
        <v>22</v>
      </c>
      <c r="F663" t="s">
        <v>23</v>
      </c>
      <c r="G663" t="s">
        <v>24</v>
      </c>
      <c r="H663">
        <v>5</v>
      </c>
      <c r="I663" s="12">
        <v>120</v>
      </c>
      <c r="J663" s="12">
        <v>70</v>
      </c>
      <c r="K663">
        <v>3</v>
      </c>
      <c r="L663">
        <v>3</v>
      </c>
      <c r="M663">
        <v>500</v>
      </c>
      <c r="N663" s="12">
        <f>+gemini_code_1787702791259[[#This Row],[Cantidad]]*gemini_code_1787702791259[[#This Row],[Precio_Unitario_USD]]</f>
        <v>600</v>
      </c>
      <c r="O663" s="12">
        <f>+gemini_code_1787702791259[[#This Row],[Cantidad]]*gemini_code_1787702791259[[#This Row],[Costo_Unitario_USD]]</f>
        <v>350</v>
      </c>
      <c r="P663" s="12">
        <f>+gemini_code_1787702791259[[#This Row],[venta total]]-gemini_code_1787702791259[[#This Row],[Costo total]]</f>
        <v>250</v>
      </c>
      <c r="Q663" s="2">
        <f>gemini_code_1787702791259[[#This Row],[Ganancia bruta]]/gemini_code_1787702791259[[#This Row],[venta total]]</f>
        <v>0.41666666666666669</v>
      </c>
      <c r="R663" t="str">
        <f>IF(gemini_code_1787702791259[[#This Row],[Dias_Entrega]]&lt;=gemini_code_1787702791259[[#This Row],[Promesa_SLA_Dias]],"A tiempo","Fuera de SLA")</f>
        <v>A tiempo</v>
      </c>
    </row>
    <row r="664" spans="1:18" x14ac:dyDescent="0.25">
      <c r="A664" t="s">
        <v>25</v>
      </c>
      <c r="B664" s="1">
        <v>46235</v>
      </c>
      <c r="C664" t="s">
        <v>26</v>
      </c>
      <c r="D664" t="s">
        <v>27</v>
      </c>
      <c r="E664" t="s">
        <v>16</v>
      </c>
      <c r="F664" t="s">
        <v>28</v>
      </c>
      <c r="G664" t="s">
        <v>29</v>
      </c>
      <c r="H664">
        <v>3</v>
      </c>
      <c r="I664" s="12">
        <v>90</v>
      </c>
      <c r="J664" s="12">
        <v>50</v>
      </c>
      <c r="K664">
        <v>6</v>
      </c>
      <c r="L664">
        <v>4</v>
      </c>
      <c r="M664">
        <v>300</v>
      </c>
      <c r="N664" s="12">
        <f>+gemini_code_1787702791259[[#This Row],[Cantidad]]*gemini_code_1787702791259[[#This Row],[Precio_Unitario_USD]]</f>
        <v>270</v>
      </c>
      <c r="O664" s="12">
        <f>+gemini_code_1787702791259[[#This Row],[Cantidad]]*gemini_code_1787702791259[[#This Row],[Costo_Unitario_USD]]</f>
        <v>150</v>
      </c>
      <c r="P664" s="12">
        <f>+gemini_code_1787702791259[[#This Row],[venta total]]-gemini_code_1787702791259[[#This Row],[Costo total]]</f>
        <v>120</v>
      </c>
      <c r="Q664" s="2">
        <f>gemini_code_1787702791259[[#This Row],[Ganancia bruta]]/gemini_code_1787702791259[[#This Row],[venta total]]</f>
        <v>0.44444444444444442</v>
      </c>
      <c r="R664" t="str">
        <f>IF(gemini_code_1787702791259[[#This Row],[Dias_Entrega]]&lt;=gemini_code_1787702791259[[#This Row],[Promesa_SLA_Dias]],"A tiempo","Fuera de SLA")</f>
        <v>Fuera de SLA</v>
      </c>
    </row>
    <row r="665" spans="1:18" x14ac:dyDescent="0.25">
      <c r="A665" t="s">
        <v>30</v>
      </c>
      <c r="B665" s="1">
        <v>46236</v>
      </c>
      <c r="C665" t="s">
        <v>14</v>
      </c>
      <c r="D665" t="s">
        <v>15</v>
      </c>
      <c r="E665" t="s">
        <v>22</v>
      </c>
      <c r="F665" t="s">
        <v>31</v>
      </c>
      <c r="G665" t="s">
        <v>32</v>
      </c>
      <c r="H665">
        <v>4</v>
      </c>
      <c r="I665" s="12">
        <v>110</v>
      </c>
      <c r="J665" s="12">
        <v>60</v>
      </c>
      <c r="K665">
        <v>1</v>
      </c>
      <c r="L665">
        <v>2</v>
      </c>
      <c r="M665">
        <v>400</v>
      </c>
      <c r="N665" s="12">
        <f>+gemini_code_1787702791259[[#This Row],[Cantidad]]*gemini_code_1787702791259[[#This Row],[Precio_Unitario_USD]]</f>
        <v>440</v>
      </c>
      <c r="O665" s="12">
        <f>+gemini_code_1787702791259[[#This Row],[Cantidad]]*gemini_code_1787702791259[[#This Row],[Costo_Unitario_USD]]</f>
        <v>240</v>
      </c>
      <c r="P665" s="12">
        <f>+gemini_code_1787702791259[[#This Row],[venta total]]-gemini_code_1787702791259[[#This Row],[Costo total]]</f>
        <v>200</v>
      </c>
      <c r="Q665" s="2">
        <f>gemini_code_1787702791259[[#This Row],[Ganancia bruta]]/gemini_code_1787702791259[[#This Row],[venta total]]</f>
        <v>0.45454545454545453</v>
      </c>
      <c r="R665" t="str">
        <f>IF(gemini_code_1787702791259[[#This Row],[Dias_Entrega]]&lt;=gemini_code_1787702791259[[#This Row],[Promesa_SLA_Dias]],"A tiempo","Fuera de SLA")</f>
        <v>A tiempo</v>
      </c>
    </row>
    <row r="666" spans="1:18" x14ac:dyDescent="0.25">
      <c r="A666" t="s">
        <v>33</v>
      </c>
      <c r="B666" s="1">
        <v>46236</v>
      </c>
      <c r="C666" t="s">
        <v>20</v>
      </c>
      <c r="D666" t="s">
        <v>21</v>
      </c>
      <c r="E666" t="s">
        <v>16</v>
      </c>
      <c r="F666" t="s">
        <v>17</v>
      </c>
      <c r="G666" t="s">
        <v>34</v>
      </c>
      <c r="H666">
        <v>3</v>
      </c>
      <c r="I666" s="12">
        <v>650</v>
      </c>
      <c r="J666" s="12">
        <v>450</v>
      </c>
      <c r="K666">
        <v>2</v>
      </c>
      <c r="L666">
        <v>3</v>
      </c>
      <c r="M666">
        <v>1800</v>
      </c>
      <c r="N666" s="12">
        <f>+gemini_code_1787702791259[[#This Row],[Cantidad]]*gemini_code_1787702791259[[#This Row],[Precio_Unitario_USD]]</f>
        <v>1950</v>
      </c>
      <c r="O666" s="12">
        <f>+gemini_code_1787702791259[[#This Row],[Cantidad]]*gemini_code_1787702791259[[#This Row],[Costo_Unitario_USD]]</f>
        <v>1350</v>
      </c>
      <c r="P666" s="12">
        <f>+gemini_code_1787702791259[[#This Row],[venta total]]-gemini_code_1787702791259[[#This Row],[Costo total]]</f>
        <v>600</v>
      </c>
      <c r="Q666" s="2">
        <f>gemini_code_1787702791259[[#This Row],[Ganancia bruta]]/gemini_code_1787702791259[[#This Row],[venta total]]</f>
        <v>0.30769230769230771</v>
      </c>
      <c r="R666" t="str">
        <f>IF(gemini_code_1787702791259[[#This Row],[Dias_Entrega]]&lt;=gemini_code_1787702791259[[#This Row],[Promesa_SLA_Dias]],"A tiempo","Fuera de SLA")</f>
        <v>A tiempo</v>
      </c>
    </row>
    <row r="667" spans="1:18" x14ac:dyDescent="0.25">
      <c r="A667" t="s">
        <v>35</v>
      </c>
      <c r="B667" s="1">
        <v>46236</v>
      </c>
      <c r="C667" t="s">
        <v>26</v>
      </c>
      <c r="D667" t="s">
        <v>27</v>
      </c>
      <c r="E667" t="s">
        <v>16</v>
      </c>
      <c r="F667" t="s">
        <v>23</v>
      </c>
      <c r="G667" t="s">
        <v>36</v>
      </c>
      <c r="H667">
        <v>8</v>
      </c>
      <c r="I667" s="12">
        <v>45</v>
      </c>
      <c r="J667" s="12">
        <v>20</v>
      </c>
      <c r="K667">
        <v>5</v>
      </c>
      <c r="L667">
        <v>3</v>
      </c>
      <c r="M667">
        <v>400</v>
      </c>
      <c r="N667" s="12">
        <f>+gemini_code_1787702791259[[#This Row],[Cantidad]]*gemini_code_1787702791259[[#This Row],[Precio_Unitario_USD]]</f>
        <v>360</v>
      </c>
      <c r="O667" s="12">
        <f>+gemini_code_1787702791259[[#This Row],[Cantidad]]*gemini_code_1787702791259[[#This Row],[Costo_Unitario_USD]]</f>
        <v>160</v>
      </c>
      <c r="P667" s="12">
        <f>+gemini_code_1787702791259[[#This Row],[venta total]]-gemini_code_1787702791259[[#This Row],[Costo total]]</f>
        <v>200</v>
      </c>
      <c r="Q667" s="2">
        <f>gemini_code_1787702791259[[#This Row],[Ganancia bruta]]/gemini_code_1787702791259[[#This Row],[venta total]]</f>
        <v>0.55555555555555558</v>
      </c>
      <c r="R667" t="str">
        <f>IF(gemini_code_1787702791259[[#This Row],[Dias_Entrega]]&lt;=gemini_code_1787702791259[[#This Row],[Promesa_SLA_Dias]],"A tiempo","Fuera de SLA")</f>
        <v>Fuera de SLA</v>
      </c>
    </row>
    <row r="668" spans="1:18" x14ac:dyDescent="0.25">
      <c r="A668" t="s">
        <v>37</v>
      </c>
      <c r="B668" s="1">
        <v>46237</v>
      </c>
      <c r="C668" t="s">
        <v>14</v>
      </c>
      <c r="D668" t="s">
        <v>15</v>
      </c>
      <c r="E668" t="s">
        <v>16</v>
      </c>
      <c r="F668" t="s">
        <v>28</v>
      </c>
      <c r="G668" t="s">
        <v>38</v>
      </c>
      <c r="H668">
        <v>2</v>
      </c>
      <c r="I668" s="12">
        <v>280</v>
      </c>
      <c r="J668" s="12">
        <v>180</v>
      </c>
      <c r="K668">
        <v>3</v>
      </c>
      <c r="L668">
        <v>3</v>
      </c>
      <c r="M668">
        <v>500</v>
      </c>
      <c r="N668" s="12">
        <f>+gemini_code_1787702791259[[#This Row],[Cantidad]]*gemini_code_1787702791259[[#This Row],[Precio_Unitario_USD]]</f>
        <v>560</v>
      </c>
      <c r="O668" s="12">
        <f>+gemini_code_1787702791259[[#This Row],[Cantidad]]*gemini_code_1787702791259[[#This Row],[Costo_Unitario_USD]]</f>
        <v>360</v>
      </c>
      <c r="P668" s="12">
        <f>+gemini_code_1787702791259[[#This Row],[venta total]]-gemini_code_1787702791259[[#This Row],[Costo total]]</f>
        <v>200</v>
      </c>
      <c r="Q668" s="2">
        <f>gemini_code_1787702791259[[#This Row],[Ganancia bruta]]/gemini_code_1787702791259[[#This Row],[venta total]]</f>
        <v>0.35714285714285715</v>
      </c>
      <c r="R668" t="str">
        <f>IF(gemini_code_1787702791259[[#This Row],[Dias_Entrega]]&lt;=gemini_code_1787702791259[[#This Row],[Promesa_SLA_Dias]],"A tiempo","Fuera de SLA")</f>
        <v>A tiempo</v>
      </c>
    </row>
    <row r="669" spans="1:18" x14ac:dyDescent="0.25">
      <c r="A669" t="s">
        <v>39</v>
      </c>
      <c r="B669" s="1">
        <v>46237</v>
      </c>
      <c r="C669" t="s">
        <v>20</v>
      </c>
      <c r="D669" t="s">
        <v>21</v>
      </c>
      <c r="E669" t="s">
        <v>22</v>
      </c>
      <c r="F669" t="s">
        <v>31</v>
      </c>
      <c r="G669" t="s">
        <v>40</v>
      </c>
      <c r="H669">
        <v>3</v>
      </c>
      <c r="I669" s="12">
        <v>150</v>
      </c>
      <c r="J669" s="12">
        <v>85</v>
      </c>
      <c r="K669">
        <v>2</v>
      </c>
      <c r="L669">
        <v>2</v>
      </c>
      <c r="M669">
        <v>400</v>
      </c>
      <c r="N669" s="12">
        <f>+gemini_code_1787702791259[[#This Row],[Cantidad]]*gemini_code_1787702791259[[#This Row],[Precio_Unitario_USD]]</f>
        <v>450</v>
      </c>
      <c r="O669" s="12">
        <f>+gemini_code_1787702791259[[#This Row],[Cantidad]]*gemini_code_1787702791259[[#This Row],[Costo_Unitario_USD]]</f>
        <v>255</v>
      </c>
      <c r="P669" s="12">
        <f>+gemini_code_1787702791259[[#This Row],[venta total]]-gemini_code_1787702791259[[#This Row],[Costo total]]</f>
        <v>195</v>
      </c>
      <c r="Q669" s="2">
        <f>gemini_code_1787702791259[[#This Row],[Ganancia bruta]]/gemini_code_1787702791259[[#This Row],[venta total]]</f>
        <v>0.43333333333333335</v>
      </c>
      <c r="R669" t="str">
        <f>IF(gemini_code_1787702791259[[#This Row],[Dias_Entrega]]&lt;=gemini_code_1787702791259[[#This Row],[Promesa_SLA_Dias]],"A tiempo","Fuera de SLA")</f>
        <v>A tiempo</v>
      </c>
    </row>
    <row r="670" spans="1:18" x14ac:dyDescent="0.25">
      <c r="A670" t="s">
        <v>41</v>
      </c>
      <c r="B670" s="1">
        <v>46237</v>
      </c>
      <c r="C670" t="s">
        <v>26</v>
      </c>
      <c r="D670" t="s">
        <v>27</v>
      </c>
      <c r="E670" t="s">
        <v>16</v>
      </c>
      <c r="F670" t="s">
        <v>17</v>
      </c>
      <c r="G670" t="s">
        <v>42</v>
      </c>
      <c r="H670">
        <v>2</v>
      </c>
      <c r="I670" s="12">
        <v>520</v>
      </c>
      <c r="J670" s="12">
        <v>380</v>
      </c>
      <c r="K670">
        <v>7</v>
      </c>
      <c r="L670">
        <v>4</v>
      </c>
      <c r="M670">
        <v>1000</v>
      </c>
      <c r="N670" s="12">
        <f>+gemini_code_1787702791259[[#This Row],[Cantidad]]*gemini_code_1787702791259[[#This Row],[Precio_Unitario_USD]]</f>
        <v>1040</v>
      </c>
      <c r="O670" s="12">
        <f>+gemini_code_1787702791259[[#This Row],[Cantidad]]*gemini_code_1787702791259[[#This Row],[Costo_Unitario_USD]]</f>
        <v>760</v>
      </c>
      <c r="P670" s="12">
        <f>+gemini_code_1787702791259[[#This Row],[venta total]]-gemini_code_1787702791259[[#This Row],[Costo total]]</f>
        <v>280</v>
      </c>
      <c r="Q670" s="2">
        <f>gemini_code_1787702791259[[#This Row],[Ganancia bruta]]/gemini_code_1787702791259[[#This Row],[venta total]]</f>
        <v>0.26923076923076922</v>
      </c>
      <c r="R670" t="str">
        <f>IF(gemini_code_1787702791259[[#This Row],[Dias_Entrega]]&lt;=gemini_code_1787702791259[[#This Row],[Promesa_SLA_Dias]],"A tiempo","Fuera de SLA")</f>
        <v>Fuera de SLA</v>
      </c>
    </row>
    <row r="671" spans="1:18" x14ac:dyDescent="0.25">
      <c r="A671" t="s">
        <v>43</v>
      </c>
      <c r="B671" s="1">
        <v>46238</v>
      </c>
      <c r="C671" t="s">
        <v>14</v>
      </c>
      <c r="D671" t="s">
        <v>15</v>
      </c>
      <c r="E671" t="s">
        <v>22</v>
      </c>
      <c r="F671" t="s">
        <v>23</v>
      </c>
      <c r="G671" t="s">
        <v>44</v>
      </c>
      <c r="H671">
        <v>6</v>
      </c>
      <c r="I671" s="12">
        <v>55</v>
      </c>
      <c r="J671" s="12">
        <v>25</v>
      </c>
      <c r="K671">
        <v>2</v>
      </c>
      <c r="L671">
        <v>3</v>
      </c>
      <c r="M671">
        <v>300</v>
      </c>
      <c r="N671" s="12">
        <f>+gemini_code_1787702791259[[#This Row],[Cantidad]]*gemini_code_1787702791259[[#This Row],[Precio_Unitario_USD]]</f>
        <v>330</v>
      </c>
      <c r="O671" s="12">
        <f>+gemini_code_1787702791259[[#This Row],[Cantidad]]*gemini_code_1787702791259[[#This Row],[Costo_Unitario_USD]]</f>
        <v>150</v>
      </c>
      <c r="P671" s="12">
        <f>+gemini_code_1787702791259[[#This Row],[venta total]]-gemini_code_1787702791259[[#This Row],[Costo total]]</f>
        <v>180</v>
      </c>
      <c r="Q671" s="2">
        <f>gemini_code_1787702791259[[#This Row],[Ganancia bruta]]/gemini_code_1787702791259[[#This Row],[venta total]]</f>
        <v>0.54545454545454541</v>
      </c>
      <c r="R671" t="str">
        <f>IF(gemini_code_1787702791259[[#This Row],[Dias_Entrega]]&lt;=gemini_code_1787702791259[[#This Row],[Promesa_SLA_Dias]],"A tiempo","Fuera de SLA")</f>
        <v>A tiempo</v>
      </c>
    </row>
    <row r="672" spans="1:18" x14ac:dyDescent="0.25">
      <c r="A672" t="s">
        <v>45</v>
      </c>
      <c r="B672" s="1">
        <v>46238</v>
      </c>
      <c r="C672" t="s">
        <v>20</v>
      </c>
      <c r="D672" t="s">
        <v>21</v>
      </c>
      <c r="E672" t="s">
        <v>16</v>
      </c>
      <c r="F672" t="s">
        <v>28</v>
      </c>
      <c r="G672" t="s">
        <v>46</v>
      </c>
      <c r="H672">
        <v>1</v>
      </c>
      <c r="I672" s="12">
        <v>450</v>
      </c>
      <c r="J672" s="12">
        <v>290</v>
      </c>
      <c r="K672">
        <v>4</v>
      </c>
      <c r="L672">
        <v>3</v>
      </c>
      <c r="M672">
        <v>400</v>
      </c>
      <c r="N672" s="12">
        <f>+gemini_code_1787702791259[[#This Row],[Cantidad]]*gemini_code_1787702791259[[#This Row],[Precio_Unitario_USD]]</f>
        <v>450</v>
      </c>
      <c r="O672" s="12">
        <f>+gemini_code_1787702791259[[#This Row],[Cantidad]]*gemini_code_1787702791259[[#This Row],[Costo_Unitario_USD]]</f>
        <v>290</v>
      </c>
      <c r="P672" s="12">
        <f>+gemini_code_1787702791259[[#This Row],[venta total]]-gemini_code_1787702791259[[#This Row],[Costo total]]</f>
        <v>160</v>
      </c>
      <c r="Q672" s="2">
        <f>gemini_code_1787702791259[[#This Row],[Ganancia bruta]]/gemini_code_1787702791259[[#This Row],[venta total]]</f>
        <v>0.35555555555555557</v>
      </c>
      <c r="R672" t="str">
        <f>IF(gemini_code_1787702791259[[#This Row],[Dias_Entrega]]&lt;=gemini_code_1787702791259[[#This Row],[Promesa_SLA_Dias]],"A tiempo","Fuera de SLA")</f>
        <v>Fuera de SLA</v>
      </c>
    </row>
    <row r="673" spans="1:18" x14ac:dyDescent="0.25">
      <c r="A673" t="s">
        <v>47</v>
      </c>
      <c r="B673" s="1">
        <v>46238</v>
      </c>
      <c r="C673" t="s">
        <v>26</v>
      </c>
      <c r="D673" t="s">
        <v>27</v>
      </c>
      <c r="E673" t="s">
        <v>22</v>
      </c>
      <c r="F673" t="s">
        <v>31</v>
      </c>
      <c r="G673" t="s">
        <v>48</v>
      </c>
      <c r="H673">
        <v>10</v>
      </c>
      <c r="I673" s="12">
        <v>35</v>
      </c>
      <c r="J673" s="12">
        <v>15</v>
      </c>
      <c r="K673">
        <v>4</v>
      </c>
      <c r="L673">
        <v>3</v>
      </c>
      <c r="M673">
        <v>300</v>
      </c>
      <c r="N673" s="12">
        <f>+gemini_code_1787702791259[[#This Row],[Cantidad]]*gemini_code_1787702791259[[#This Row],[Precio_Unitario_USD]]</f>
        <v>350</v>
      </c>
      <c r="O673" s="12">
        <f>+gemini_code_1787702791259[[#This Row],[Cantidad]]*gemini_code_1787702791259[[#This Row],[Costo_Unitario_USD]]</f>
        <v>150</v>
      </c>
      <c r="P673" s="12">
        <f>+gemini_code_1787702791259[[#This Row],[venta total]]-gemini_code_1787702791259[[#This Row],[Costo total]]</f>
        <v>200</v>
      </c>
      <c r="Q673" s="2">
        <f>gemini_code_1787702791259[[#This Row],[Ganancia bruta]]/gemini_code_1787702791259[[#This Row],[venta total]]</f>
        <v>0.5714285714285714</v>
      </c>
      <c r="R673" t="str">
        <f>IF(gemini_code_1787702791259[[#This Row],[Dias_Entrega]]&lt;=gemini_code_1787702791259[[#This Row],[Promesa_SLA_Dias]],"A tiempo","Fuera de SLA")</f>
        <v>Fuera de SLA</v>
      </c>
    </row>
    <row r="674" spans="1:18" x14ac:dyDescent="0.25">
      <c r="A674" t="s">
        <v>49</v>
      </c>
      <c r="B674" s="1">
        <v>46239</v>
      </c>
      <c r="C674" t="s">
        <v>14</v>
      </c>
      <c r="D674" t="s">
        <v>15</v>
      </c>
      <c r="E674" t="s">
        <v>16</v>
      </c>
      <c r="F674" t="s">
        <v>17</v>
      </c>
      <c r="G674" t="s">
        <v>50</v>
      </c>
      <c r="H674">
        <v>4</v>
      </c>
      <c r="I674" s="12">
        <v>220</v>
      </c>
      <c r="J674" s="12">
        <v>140</v>
      </c>
      <c r="K674">
        <v>2</v>
      </c>
      <c r="L674">
        <v>3</v>
      </c>
      <c r="M674">
        <v>800</v>
      </c>
      <c r="N674" s="12">
        <f>+gemini_code_1787702791259[[#This Row],[Cantidad]]*gemini_code_1787702791259[[#This Row],[Precio_Unitario_USD]]</f>
        <v>880</v>
      </c>
      <c r="O674" s="12">
        <f>+gemini_code_1787702791259[[#This Row],[Cantidad]]*gemini_code_1787702791259[[#This Row],[Costo_Unitario_USD]]</f>
        <v>560</v>
      </c>
      <c r="P674" s="12">
        <f>+gemini_code_1787702791259[[#This Row],[venta total]]-gemini_code_1787702791259[[#This Row],[Costo total]]</f>
        <v>320</v>
      </c>
      <c r="Q674" s="2">
        <f>gemini_code_1787702791259[[#This Row],[Ganancia bruta]]/gemini_code_1787702791259[[#This Row],[venta total]]</f>
        <v>0.36363636363636365</v>
      </c>
      <c r="R674" t="str">
        <f>IF(gemini_code_1787702791259[[#This Row],[Dias_Entrega]]&lt;=gemini_code_1787702791259[[#This Row],[Promesa_SLA_Dias]],"A tiempo","Fuera de SLA")</f>
        <v>A tiempo</v>
      </c>
    </row>
    <row r="675" spans="1:18" x14ac:dyDescent="0.25">
      <c r="A675" t="s">
        <v>51</v>
      </c>
      <c r="B675" s="1">
        <v>46239</v>
      </c>
      <c r="C675" t="s">
        <v>20</v>
      </c>
      <c r="D675" t="s">
        <v>21</v>
      </c>
      <c r="E675" t="s">
        <v>16</v>
      </c>
      <c r="F675" t="s">
        <v>23</v>
      </c>
      <c r="G675" t="s">
        <v>52</v>
      </c>
      <c r="H675">
        <v>5</v>
      </c>
      <c r="I675" s="12">
        <v>65</v>
      </c>
      <c r="J675" s="12">
        <v>30</v>
      </c>
      <c r="K675">
        <v>2</v>
      </c>
      <c r="L675">
        <v>3</v>
      </c>
      <c r="M675">
        <v>300</v>
      </c>
      <c r="N675" s="12">
        <f>+gemini_code_1787702791259[[#This Row],[Cantidad]]*gemini_code_1787702791259[[#This Row],[Precio_Unitario_USD]]</f>
        <v>325</v>
      </c>
      <c r="O675" s="12">
        <f>+gemini_code_1787702791259[[#This Row],[Cantidad]]*gemini_code_1787702791259[[#This Row],[Costo_Unitario_USD]]</f>
        <v>150</v>
      </c>
      <c r="P675" s="12">
        <f>+gemini_code_1787702791259[[#This Row],[venta total]]-gemini_code_1787702791259[[#This Row],[Costo total]]</f>
        <v>175</v>
      </c>
      <c r="Q675" s="2">
        <f>gemini_code_1787702791259[[#This Row],[Ganancia bruta]]/gemini_code_1787702791259[[#This Row],[venta total]]</f>
        <v>0.53846153846153844</v>
      </c>
      <c r="R675" t="str">
        <f>IF(gemini_code_1787702791259[[#This Row],[Dias_Entrega]]&lt;=gemini_code_1787702791259[[#This Row],[Promesa_SLA_Dias]],"A tiempo","Fuera de SLA")</f>
        <v>A tiempo</v>
      </c>
    </row>
    <row r="676" spans="1:18" x14ac:dyDescent="0.25">
      <c r="A676" t="s">
        <v>53</v>
      </c>
      <c r="B676" s="1">
        <v>46239</v>
      </c>
      <c r="C676" t="s">
        <v>26</v>
      </c>
      <c r="D676" t="s">
        <v>27</v>
      </c>
      <c r="E676" t="s">
        <v>16</v>
      </c>
      <c r="F676" t="s">
        <v>28</v>
      </c>
      <c r="G676" t="s">
        <v>54</v>
      </c>
      <c r="H676">
        <v>2</v>
      </c>
      <c r="I676" s="12">
        <v>180</v>
      </c>
      <c r="J676" s="12">
        <v>110</v>
      </c>
      <c r="K676">
        <v>6</v>
      </c>
      <c r="L676">
        <v>3</v>
      </c>
      <c r="M676">
        <v>350</v>
      </c>
      <c r="N676" s="12">
        <f>+gemini_code_1787702791259[[#This Row],[Cantidad]]*gemini_code_1787702791259[[#This Row],[Precio_Unitario_USD]]</f>
        <v>360</v>
      </c>
      <c r="O676" s="12">
        <f>+gemini_code_1787702791259[[#This Row],[Cantidad]]*gemini_code_1787702791259[[#This Row],[Costo_Unitario_USD]]</f>
        <v>220</v>
      </c>
      <c r="P676" s="12">
        <f>+gemini_code_1787702791259[[#This Row],[venta total]]-gemini_code_1787702791259[[#This Row],[Costo total]]</f>
        <v>140</v>
      </c>
      <c r="Q676" s="2">
        <f>gemini_code_1787702791259[[#This Row],[Ganancia bruta]]/gemini_code_1787702791259[[#This Row],[venta total]]</f>
        <v>0.3888888888888889</v>
      </c>
      <c r="R676" t="str">
        <f>IF(gemini_code_1787702791259[[#This Row],[Dias_Entrega]]&lt;=gemini_code_1787702791259[[#This Row],[Promesa_SLA_Dias]],"A tiempo","Fuera de SLA")</f>
        <v>Fuera de SLA</v>
      </c>
    </row>
    <row r="677" spans="1:18" x14ac:dyDescent="0.25">
      <c r="A677" t="s">
        <v>55</v>
      </c>
      <c r="B677" s="1">
        <v>46240</v>
      </c>
      <c r="C677" t="s">
        <v>14</v>
      </c>
      <c r="D677" t="s">
        <v>15</v>
      </c>
      <c r="E677" t="s">
        <v>22</v>
      </c>
      <c r="F677" t="s">
        <v>31</v>
      </c>
      <c r="G677" t="s">
        <v>56</v>
      </c>
      <c r="H677">
        <v>6</v>
      </c>
      <c r="I677" s="12">
        <v>85</v>
      </c>
      <c r="J677" s="12">
        <v>45</v>
      </c>
      <c r="K677">
        <v>1</v>
      </c>
      <c r="L677">
        <v>2</v>
      </c>
      <c r="M677">
        <v>500</v>
      </c>
      <c r="N677" s="12">
        <f>+gemini_code_1787702791259[[#This Row],[Cantidad]]*gemini_code_1787702791259[[#This Row],[Precio_Unitario_USD]]</f>
        <v>510</v>
      </c>
      <c r="O677" s="12">
        <f>+gemini_code_1787702791259[[#This Row],[Cantidad]]*gemini_code_1787702791259[[#This Row],[Costo_Unitario_USD]]</f>
        <v>270</v>
      </c>
      <c r="P677" s="12">
        <f>+gemini_code_1787702791259[[#This Row],[venta total]]-gemini_code_1787702791259[[#This Row],[Costo total]]</f>
        <v>240</v>
      </c>
      <c r="Q677" s="2">
        <f>gemini_code_1787702791259[[#This Row],[Ganancia bruta]]/gemini_code_1787702791259[[#This Row],[venta total]]</f>
        <v>0.47058823529411764</v>
      </c>
      <c r="R677" t="str">
        <f>IF(gemini_code_1787702791259[[#This Row],[Dias_Entrega]]&lt;=gemini_code_1787702791259[[#This Row],[Promesa_SLA_Dias]],"A tiempo","Fuera de SLA")</f>
        <v>A tiempo</v>
      </c>
    </row>
    <row r="678" spans="1:18" x14ac:dyDescent="0.25">
      <c r="A678" t="s">
        <v>57</v>
      </c>
      <c r="B678" s="1">
        <v>46240</v>
      </c>
      <c r="C678" t="s">
        <v>20</v>
      </c>
      <c r="D678" t="s">
        <v>21</v>
      </c>
      <c r="E678" t="s">
        <v>16</v>
      </c>
      <c r="F678" t="s">
        <v>17</v>
      </c>
      <c r="G678" t="s">
        <v>58</v>
      </c>
      <c r="H678">
        <v>12</v>
      </c>
      <c r="I678" s="12">
        <v>75</v>
      </c>
      <c r="J678" s="12">
        <v>35</v>
      </c>
      <c r="K678">
        <v>1</v>
      </c>
      <c r="L678">
        <v>2</v>
      </c>
      <c r="M678">
        <v>800</v>
      </c>
      <c r="N678" s="12">
        <f>+gemini_code_1787702791259[[#This Row],[Cantidad]]*gemini_code_1787702791259[[#This Row],[Precio_Unitario_USD]]</f>
        <v>900</v>
      </c>
      <c r="O678" s="12">
        <f>+gemini_code_1787702791259[[#This Row],[Cantidad]]*gemini_code_1787702791259[[#This Row],[Costo_Unitario_USD]]</f>
        <v>420</v>
      </c>
      <c r="P678" s="12">
        <f>+gemini_code_1787702791259[[#This Row],[venta total]]-gemini_code_1787702791259[[#This Row],[Costo total]]</f>
        <v>480</v>
      </c>
      <c r="Q678" s="2">
        <f>gemini_code_1787702791259[[#This Row],[Ganancia bruta]]/gemini_code_1787702791259[[#This Row],[venta total]]</f>
        <v>0.53333333333333333</v>
      </c>
      <c r="R678" t="str">
        <f>IF(gemini_code_1787702791259[[#This Row],[Dias_Entrega]]&lt;=gemini_code_1787702791259[[#This Row],[Promesa_SLA_Dias]],"A tiempo","Fuera de SLA")</f>
        <v>A tiempo</v>
      </c>
    </row>
    <row r="679" spans="1:18" x14ac:dyDescent="0.25">
      <c r="A679" t="s">
        <v>59</v>
      </c>
      <c r="B679" s="1">
        <v>46240</v>
      </c>
      <c r="C679" t="s">
        <v>26</v>
      </c>
      <c r="D679" t="s">
        <v>27</v>
      </c>
      <c r="E679" t="s">
        <v>22</v>
      </c>
      <c r="F679" t="s">
        <v>23</v>
      </c>
      <c r="G679" t="s">
        <v>60</v>
      </c>
      <c r="H679">
        <v>4</v>
      </c>
      <c r="I679" s="12">
        <v>110</v>
      </c>
      <c r="J679" s="12">
        <v>55</v>
      </c>
      <c r="K679">
        <v>5</v>
      </c>
      <c r="L679">
        <v>3</v>
      </c>
      <c r="M679">
        <v>400</v>
      </c>
      <c r="N679" s="12">
        <f>+gemini_code_1787702791259[[#This Row],[Cantidad]]*gemini_code_1787702791259[[#This Row],[Precio_Unitario_USD]]</f>
        <v>440</v>
      </c>
      <c r="O679" s="12">
        <f>+gemini_code_1787702791259[[#This Row],[Cantidad]]*gemini_code_1787702791259[[#This Row],[Costo_Unitario_USD]]</f>
        <v>220</v>
      </c>
      <c r="P679" s="12">
        <f>+gemini_code_1787702791259[[#This Row],[venta total]]-gemini_code_1787702791259[[#This Row],[Costo total]]</f>
        <v>220</v>
      </c>
      <c r="Q679" s="2">
        <f>gemini_code_1787702791259[[#This Row],[Ganancia bruta]]/gemini_code_1787702791259[[#This Row],[venta total]]</f>
        <v>0.5</v>
      </c>
      <c r="R679" t="str">
        <f>IF(gemini_code_1787702791259[[#This Row],[Dias_Entrega]]&lt;=gemini_code_1787702791259[[#This Row],[Promesa_SLA_Dias]],"A tiempo","Fuera de SLA")</f>
        <v>Fuera de SLA</v>
      </c>
    </row>
    <row r="680" spans="1:18" x14ac:dyDescent="0.25">
      <c r="A680" t="s">
        <v>61</v>
      </c>
      <c r="B680" s="1">
        <v>46241</v>
      </c>
      <c r="C680" t="s">
        <v>14</v>
      </c>
      <c r="D680" t="s">
        <v>15</v>
      </c>
      <c r="E680" t="s">
        <v>16</v>
      </c>
      <c r="F680" t="s">
        <v>28</v>
      </c>
      <c r="G680" t="s">
        <v>62</v>
      </c>
      <c r="H680">
        <v>15</v>
      </c>
      <c r="I680" s="12">
        <v>25</v>
      </c>
      <c r="J680" s="12">
        <v>10</v>
      </c>
      <c r="K680">
        <v>2</v>
      </c>
      <c r="L680">
        <v>3</v>
      </c>
      <c r="M680">
        <v>300</v>
      </c>
      <c r="N680" s="12">
        <f>+gemini_code_1787702791259[[#This Row],[Cantidad]]*gemini_code_1787702791259[[#This Row],[Precio_Unitario_USD]]</f>
        <v>375</v>
      </c>
      <c r="O680" s="12">
        <f>+gemini_code_1787702791259[[#This Row],[Cantidad]]*gemini_code_1787702791259[[#This Row],[Costo_Unitario_USD]]</f>
        <v>150</v>
      </c>
      <c r="P680" s="12">
        <f>+gemini_code_1787702791259[[#This Row],[venta total]]-gemini_code_1787702791259[[#This Row],[Costo total]]</f>
        <v>225</v>
      </c>
      <c r="Q680" s="2">
        <f>gemini_code_1787702791259[[#This Row],[Ganancia bruta]]/gemini_code_1787702791259[[#This Row],[venta total]]</f>
        <v>0.6</v>
      </c>
      <c r="R680" t="str">
        <f>IF(gemini_code_1787702791259[[#This Row],[Dias_Entrega]]&lt;=gemini_code_1787702791259[[#This Row],[Promesa_SLA_Dias]],"A tiempo","Fuera de SLA")</f>
        <v>A tiempo</v>
      </c>
    </row>
    <row r="681" spans="1:18" x14ac:dyDescent="0.25">
      <c r="A681" t="s">
        <v>63</v>
      </c>
      <c r="B681" s="1">
        <v>46241</v>
      </c>
      <c r="C681" t="s">
        <v>20</v>
      </c>
      <c r="D681" t="s">
        <v>21</v>
      </c>
      <c r="E681" t="s">
        <v>22</v>
      </c>
      <c r="F681" t="s">
        <v>31</v>
      </c>
      <c r="G681" t="s">
        <v>64</v>
      </c>
      <c r="H681">
        <v>5</v>
      </c>
      <c r="I681" s="12">
        <v>130</v>
      </c>
      <c r="J681" s="12">
        <v>70</v>
      </c>
      <c r="K681">
        <v>3</v>
      </c>
      <c r="L681">
        <v>3</v>
      </c>
      <c r="M681">
        <v>600</v>
      </c>
      <c r="N681" s="12">
        <f>+gemini_code_1787702791259[[#This Row],[Cantidad]]*gemini_code_1787702791259[[#This Row],[Precio_Unitario_USD]]</f>
        <v>650</v>
      </c>
      <c r="O681" s="12">
        <f>+gemini_code_1787702791259[[#This Row],[Cantidad]]*gemini_code_1787702791259[[#This Row],[Costo_Unitario_USD]]</f>
        <v>350</v>
      </c>
      <c r="P681" s="12">
        <f>+gemini_code_1787702791259[[#This Row],[venta total]]-gemini_code_1787702791259[[#This Row],[Costo total]]</f>
        <v>300</v>
      </c>
      <c r="Q681" s="2">
        <f>gemini_code_1787702791259[[#This Row],[Ganancia bruta]]/gemini_code_1787702791259[[#This Row],[venta total]]</f>
        <v>0.46153846153846156</v>
      </c>
      <c r="R681" t="str">
        <f>IF(gemini_code_1787702791259[[#This Row],[Dias_Entrega]]&lt;=gemini_code_1787702791259[[#This Row],[Promesa_SLA_Dias]],"A tiempo","Fuera de SLA")</f>
        <v>A tiempo</v>
      </c>
    </row>
    <row r="682" spans="1:18" x14ac:dyDescent="0.25">
      <c r="A682" t="s">
        <v>65</v>
      </c>
      <c r="B682" s="1">
        <v>46241</v>
      </c>
      <c r="C682" t="s">
        <v>26</v>
      </c>
      <c r="D682" t="s">
        <v>27</v>
      </c>
      <c r="E682" t="s">
        <v>16</v>
      </c>
      <c r="F682" t="s">
        <v>17</v>
      </c>
      <c r="G682" t="s">
        <v>66</v>
      </c>
      <c r="H682">
        <v>2</v>
      </c>
      <c r="I682" s="12">
        <v>500</v>
      </c>
      <c r="J682" s="12">
        <v>380</v>
      </c>
      <c r="K682">
        <v>6</v>
      </c>
      <c r="L682">
        <v>4</v>
      </c>
      <c r="M682">
        <v>900</v>
      </c>
      <c r="N682" s="12">
        <f>+gemini_code_1787702791259[[#This Row],[Cantidad]]*gemini_code_1787702791259[[#This Row],[Precio_Unitario_USD]]</f>
        <v>1000</v>
      </c>
      <c r="O682" s="12">
        <f>+gemini_code_1787702791259[[#This Row],[Cantidad]]*gemini_code_1787702791259[[#This Row],[Costo_Unitario_USD]]</f>
        <v>760</v>
      </c>
      <c r="P682" s="12">
        <f>+gemini_code_1787702791259[[#This Row],[venta total]]-gemini_code_1787702791259[[#This Row],[Costo total]]</f>
        <v>240</v>
      </c>
      <c r="Q682" s="2">
        <f>gemini_code_1787702791259[[#This Row],[Ganancia bruta]]/gemini_code_1787702791259[[#This Row],[venta total]]</f>
        <v>0.24</v>
      </c>
      <c r="R682" t="str">
        <f>IF(gemini_code_1787702791259[[#This Row],[Dias_Entrega]]&lt;=gemini_code_1787702791259[[#This Row],[Promesa_SLA_Dias]],"A tiempo","Fuera de SLA")</f>
        <v>Fuera de SLA</v>
      </c>
    </row>
    <row r="683" spans="1:18" x14ac:dyDescent="0.25">
      <c r="A683" t="s">
        <v>67</v>
      </c>
      <c r="B683" s="1">
        <v>46242</v>
      </c>
      <c r="C683" t="s">
        <v>14</v>
      </c>
      <c r="D683" t="s">
        <v>15</v>
      </c>
      <c r="E683" t="s">
        <v>16</v>
      </c>
      <c r="F683" t="s">
        <v>23</v>
      </c>
      <c r="G683" t="s">
        <v>68</v>
      </c>
      <c r="H683">
        <v>3</v>
      </c>
      <c r="I683" s="12">
        <v>95</v>
      </c>
      <c r="J683" s="12">
        <v>45</v>
      </c>
      <c r="K683">
        <v>2</v>
      </c>
      <c r="L683">
        <v>3</v>
      </c>
      <c r="M683">
        <v>300</v>
      </c>
      <c r="N683" s="12">
        <f>+gemini_code_1787702791259[[#This Row],[Cantidad]]*gemini_code_1787702791259[[#This Row],[Precio_Unitario_USD]]</f>
        <v>285</v>
      </c>
      <c r="O683" s="12">
        <f>+gemini_code_1787702791259[[#This Row],[Cantidad]]*gemini_code_1787702791259[[#This Row],[Costo_Unitario_USD]]</f>
        <v>135</v>
      </c>
      <c r="P683" s="12">
        <f>+gemini_code_1787702791259[[#This Row],[venta total]]-gemini_code_1787702791259[[#This Row],[Costo total]]</f>
        <v>150</v>
      </c>
      <c r="Q683" s="2">
        <f>gemini_code_1787702791259[[#This Row],[Ganancia bruta]]/gemini_code_1787702791259[[#This Row],[venta total]]</f>
        <v>0.52631578947368418</v>
      </c>
      <c r="R683" t="str">
        <f>IF(gemini_code_1787702791259[[#This Row],[Dias_Entrega]]&lt;=gemini_code_1787702791259[[#This Row],[Promesa_SLA_Dias]],"A tiempo","Fuera de SLA")</f>
        <v>A tiempo</v>
      </c>
    </row>
    <row r="684" spans="1:18" x14ac:dyDescent="0.25">
      <c r="A684" t="s">
        <v>69</v>
      </c>
      <c r="B684" s="1">
        <v>46242</v>
      </c>
      <c r="C684" t="s">
        <v>20</v>
      </c>
      <c r="D684" t="s">
        <v>21</v>
      </c>
      <c r="E684" t="s">
        <v>16</v>
      </c>
      <c r="F684" t="s">
        <v>28</v>
      </c>
      <c r="G684" t="s">
        <v>70</v>
      </c>
      <c r="H684">
        <v>4</v>
      </c>
      <c r="I684" s="12">
        <v>160</v>
      </c>
      <c r="J684" s="12">
        <v>95</v>
      </c>
      <c r="K684">
        <v>2</v>
      </c>
      <c r="L684">
        <v>3</v>
      </c>
      <c r="M684">
        <v>600</v>
      </c>
      <c r="N684" s="12">
        <f>+gemini_code_1787702791259[[#This Row],[Cantidad]]*gemini_code_1787702791259[[#This Row],[Precio_Unitario_USD]]</f>
        <v>640</v>
      </c>
      <c r="O684" s="12">
        <f>+gemini_code_1787702791259[[#This Row],[Cantidad]]*gemini_code_1787702791259[[#This Row],[Costo_Unitario_USD]]</f>
        <v>380</v>
      </c>
      <c r="P684" s="12">
        <f>+gemini_code_1787702791259[[#This Row],[venta total]]-gemini_code_1787702791259[[#This Row],[Costo total]]</f>
        <v>260</v>
      </c>
      <c r="Q684" s="2">
        <f>gemini_code_1787702791259[[#This Row],[Ganancia bruta]]/gemini_code_1787702791259[[#This Row],[venta total]]</f>
        <v>0.40625</v>
      </c>
      <c r="R684" t="str">
        <f>IF(gemini_code_1787702791259[[#This Row],[Dias_Entrega]]&lt;=gemini_code_1787702791259[[#This Row],[Promesa_SLA_Dias]],"A tiempo","Fuera de SLA")</f>
        <v>A tiempo</v>
      </c>
    </row>
    <row r="685" spans="1:18" x14ac:dyDescent="0.25">
      <c r="A685" t="s">
        <v>71</v>
      </c>
      <c r="B685" s="1">
        <v>46242</v>
      </c>
      <c r="C685" t="s">
        <v>26</v>
      </c>
      <c r="D685" t="s">
        <v>27</v>
      </c>
      <c r="E685" t="s">
        <v>22</v>
      </c>
      <c r="F685" t="s">
        <v>31</v>
      </c>
      <c r="G685" t="s">
        <v>72</v>
      </c>
      <c r="H685">
        <v>7</v>
      </c>
      <c r="I685" s="12">
        <v>90</v>
      </c>
      <c r="J685" s="12">
        <v>45</v>
      </c>
      <c r="K685">
        <v>4</v>
      </c>
      <c r="L685">
        <v>3</v>
      </c>
      <c r="M685">
        <v>600</v>
      </c>
      <c r="N685" s="12">
        <f>+gemini_code_1787702791259[[#This Row],[Cantidad]]*gemini_code_1787702791259[[#This Row],[Precio_Unitario_USD]]</f>
        <v>630</v>
      </c>
      <c r="O685" s="12">
        <f>+gemini_code_1787702791259[[#This Row],[Cantidad]]*gemini_code_1787702791259[[#This Row],[Costo_Unitario_USD]]</f>
        <v>315</v>
      </c>
      <c r="P685" s="12">
        <f>+gemini_code_1787702791259[[#This Row],[venta total]]-gemini_code_1787702791259[[#This Row],[Costo total]]</f>
        <v>315</v>
      </c>
      <c r="Q685" s="2">
        <f>gemini_code_1787702791259[[#This Row],[Ganancia bruta]]/gemini_code_1787702791259[[#This Row],[venta total]]</f>
        <v>0.5</v>
      </c>
      <c r="R685" t="str">
        <f>IF(gemini_code_1787702791259[[#This Row],[Dias_Entrega]]&lt;=gemini_code_1787702791259[[#This Row],[Promesa_SLA_Dias]],"A tiempo","Fuera de SLA")</f>
        <v>Fuera de SLA</v>
      </c>
    </row>
    <row r="686" spans="1:18" x14ac:dyDescent="0.25">
      <c r="A686" t="s">
        <v>73</v>
      </c>
      <c r="B686" s="1">
        <v>46243</v>
      </c>
      <c r="C686" t="s">
        <v>14</v>
      </c>
      <c r="D686" t="s">
        <v>15</v>
      </c>
      <c r="E686" t="s">
        <v>22</v>
      </c>
      <c r="F686" t="s">
        <v>17</v>
      </c>
      <c r="G686" t="s">
        <v>74</v>
      </c>
      <c r="H686">
        <v>3</v>
      </c>
      <c r="I686" s="12">
        <v>310</v>
      </c>
      <c r="J686" s="12">
        <v>210</v>
      </c>
      <c r="K686">
        <v>2</v>
      </c>
      <c r="L686">
        <v>3</v>
      </c>
      <c r="M686">
        <v>900</v>
      </c>
      <c r="N686" s="12">
        <f>+gemini_code_1787702791259[[#This Row],[Cantidad]]*gemini_code_1787702791259[[#This Row],[Precio_Unitario_USD]]</f>
        <v>930</v>
      </c>
      <c r="O686" s="12">
        <f>+gemini_code_1787702791259[[#This Row],[Cantidad]]*gemini_code_1787702791259[[#This Row],[Costo_Unitario_USD]]</f>
        <v>630</v>
      </c>
      <c r="P686" s="12">
        <f>+gemini_code_1787702791259[[#This Row],[venta total]]-gemini_code_1787702791259[[#This Row],[Costo total]]</f>
        <v>300</v>
      </c>
      <c r="Q686" s="2">
        <f>gemini_code_1787702791259[[#This Row],[Ganancia bruta]]/gemini_code_1787702791259[[#This Row],[venta total]]</f>
        <v>0.32258064516129031</v>
      </c>
      <c r="R686" t="str">
        <f>IF(gemini_code_1787702791259[[#This Row],[Dias_Entrega]]&lt;=gemini_code_1787702791259[[#This Row],[Promesa_SLA_Dias]],"A tiempo","Fuera de SLA")</f>
        <v>A tiempo</v>
      </c>
    </row>
    <row r="687" spans="1:18" x14ac:dyDescent="0.25">
      <c r="A687" t="s">
        <v>75</v>
      </c>
      <c r="B687" s="1">
        <v>46243</v>
      </c>
      <c r="C687" t="s">
        <v>20</v>
      </c>
      <c r="D687" t="s">
        <v>21</v>
      </c>
      <c r="E687" t="s">
        <v>16</v>
      </c>
      <c r="F687" t="s">
        <v>23</v>
      </c>
      <c r="G687" t="s">
        <v>76</v>
      </c>
      <c r="H687">
        <v>8</v>
      </c>
      <c r="I687" s="12">
        <v>50</v>
      </c>
      <c r="J687" s="12">
        <v>22</v>
      </c>
      <c r="K687">
        <v>2</v>
      </c>
      <c r="L687">
        <v>3</v>
      </c>
      <c r="M687">
        <v>400</v>
      </c>
      <c r="N687" s="12">
        <f>+gemini_code_1787702791259[[#This Row],[Cantidad]]*gemini_code_1787702791259[[#This Row],[Precio_Unitario_USD]]</f>
        <v>400</v>
      </c>
      <c r="O687" s="12">
        <f>+gemini_code_1787702791259[[#This Row],[Cantidad]]*gemini_code_1787702791259[[#This Row],[Costo_Unitario_USD]]</f>
        <v>176</v>
      </c>
      <c r="P687" s="12">
        <f>+gemini_code_1787702791259[[#This Row],[venta total]]-gemini_code_1787702791259[[#This Row],[Costo total]]</f>
        <v>224</v>
      </c>
      <c r="Q687" s="2">
        <f>gemini_code_1787702791259[[#This Row],[Ganancia bruta]]/gemini_code_1787702791259[[#This Row],[venta total]]</f>
        <v>0.56000000000000005</v>
      </c>
      <c r="R687" t="str">
        <f>IF(gemini_code_1787702791259[[#This Row],[Dias_Entrega]]&lt;=gemini_code_1787702791259[[#This Row],[Promesa_SLA_Dias]],"A tiempo","Fuera de SLA")</f>
        <v>A tiempo</v>
      </c>
    </row>
    <row r="688" spans="1:18" x14ac:dyDescent="0.25">
      <c r="A688" t="s">
        <v>77</v>
      </c>
      <c r="B688" s="1">
        <v>46243</v>
      </c>
      <c r="C688" t="s">
        <v>26</v>
      </c>
      <c r="D688" t="s">
        <v>27</v>
      </c>
      <c r="E688" t="s">
        <v>16</v>
      </c>
      <c r="F688" t="s">
        <v>28</v>
      </c>
      <c r="G688" t="s">
        <v>78</v>
      </c>
      <c r="H688">
        <v>1</v>
      </c>
      <c r="I688" s="12">
        <v>750</v>
      </c>
      <c r="J688" s="12">
        <v>480</v>
      </c>
      <c r="K688">
        <v>8</v>
      </c>
      <c r="L688">
        <v>4</v>
      </c>
      <c r="M688">
        <v>700</v>
      </c>
      <c r="N688" s="12">
        <f>+gemini_code_1787702791259[[#This Row],[Cantidad]]*gemini_code_1787702791259[[#This Row],[Precio_Unitario_USD]]</f>
        <v>750</v>
      </c>
      <c r="O688" s="12">
        <f>+gemini_code_1787702791259[[#This Row],[Cantidad]]*gemini_code_1787702791259[[#This Row],[Costo_Unitario_USD]]</f>
        <v>480</v>
      </c>
      <c r="P688" s="12">
        <f>+gemini_code_1787702791259[[#This Row],[venta total]]-gemini_code_1787702791259[[#This Row],[Costo total]]</f>
        <v>270</v>
      </c>
      <c r="Q688" s="2">
        <f>gemini_code_1787702791259[[#This Row],[Ganancia bruta]]/gemini_code_1787702791259[[#This Row],[venta total]]</f>
        <v>0.36</v>
      </c>
      <c r="R688" t="str">
        <f>IF(gemini_code_1787702791259[[#This Row],[Dias_Entrega]]&lt;=gemini_code_1787702791259[[#This Row],[Promesa_SLA_Dias]],"A tiempo","Fuera de SLA")</f>
        <v>Fuera de SLA</v>
      </c>
    </row>
    <row r="689" spans="1:18" x14ac:dyDescent="0.25">
      <c r="A689" t="s">
        <v>79</v>
      </c>
      <c r="B689" s="1">
        <v>46244</v>
      </c>
      <c r="C689" t="s">
        <v>14</v>
      </c>
      <c r="D689" t="s">
        <v>15</v>
      </c>
      <c r="E689" t="s">
        <v>16</v>
      </c>
      <c r="F689" t="s">
        <v>31</v>
      </c>
      <c r="G689" t="s">
        <v>80</v>
      </c>
      <c r="H689">
        <v>4</v>
      </c>
      <c r="I689" s="12">
        <v>140</v>
      </c>
      <c r="J689" s="12">
        <v>75</v>
      </c>
      <c r="K689">
        <v>3</v>
      </c>
      <c r="L689">
        <v>3</v>
      </c>
      <c r="M689">
        <v>500</v>
      </c>
      <c r="N689" s="12">
        <f>+gemini_code_1787702791259[[#This Row],[Cantidad]]*gemini_code_1787702791259[[#This Row],[Precio_Unitario_USD]]</f>
        <v>560</v>
      </c>
      <c r="O689" s="12">
        <f>+gemini_code_1787702791259[[#This Row],[Cantidad]]*gemini_code_1787702791259[[#This Row],[Costo_Unitario_USD]]</f>
        <v>300</v>
      </c>
      <c r="P689" s="12">
        <f>+gemini_code_1787702791259[[#This Row],[venta total]]-gemini_code_1787702791259[[#This Row],[Costo total]]</f>
        <v>260</v>
      </c>
      <c r="Q689" s="2">
        <f>gemini_code_1787702791259[[#This Row],[Ganancia bruta]]/gemini_code_1787702791259[[#This Row],[venta total]]</f>
        <v>0.4642857142857143</v>
      </c>
      <c r="R689" t="str">
        <f>IF(gemini_code_1787702791259[[#This Row],[Dias_Entrega]]&lt;=gemini_code_1787702791259[[#This Row],[Promesa_SLA_Dias]],"A tiempo","Fuera de SLA")</f>
        <v>A tiempo</v>
      </c>
    </row>
    <row r="690" spans="1:18" x14ac:dyDescent="0.25">
      <c r="A690" t="s">
        <v>81</v>
      </c>
      <c r="B690" s="1">
        <v>46244</v>
      </c>
      <c r="C690" t="s">
        <v>20</v>
      </c>
      <c r="D690" t="s">
        <v>21</v>
      </c>
      <c r="E690" t="s">
        <v>22</v>
      </c>
      <c r="F690" t="s">
        <v>17</v>
      </c>
      <c r="G690" t="s">
        <v>82</v>
      </c>
      <c r="H690">
        <v>6</v>
      </c>
      <c r="I690" s="12">
        <v>90</v>
      </c>
      <c r="J690" s="12">
        <v>50</v>
      </c>
      <c r="K690">
        <v>1</v>
      </c>
      <c r="L690">
        <v>2</v>
      </c>
      <c r="M690">
        <v>500</v>
      </c>
      <c r="N690" s="12">
        <f>+gemini_code_1787702791259[[#This Row],[Cantidad]]*gemini_code_1787702791259[[#This Row],[Precio_Unitario_USD]]</f>
        <v>540</v>
      </c>
      <c r="O690" s="12">
        <f>+gemini_code_1787702791259[[#This Row],[Cantidad]]*gemini_code_1787702791259[[#This Row],[Costo_Unitario_USD]]</f>
        <v>300</v>
      </c>
      <c r="P690" s="12">
        <f>+gemini_code_1787702791259[[#This Row],[venta total]]-gemini_code_1787702791259[[#This Row],[Costo total]]</f>
        <v>240</v>
      </c>
      <c r="Q690" s="2">
        <f>gemini_code_1787702791259[[#This Row],[Ganancia bruta]]/gemini_code_1787702791259[[#This Row],[venta total]]</f>
        <v>0.44444444444444442</v>
      </c>
      <c r="R690" t="str">
        <f>IF(gemini_code_1787702791259[[#This Row],[Dias_Entrega]]&lt;=gemini_code_1787702791259[[#This Row],[Promesa_SLA_Dias]],"A tiempo","Fuera de SLA")</f>
        <v>A tiempo</v>
      </c>
    </row>
    <row r="691" spans="1:18" x14ac:dyDescent="0.25">
      <c r="A691" t="s">
        <v>83</v>
      </c>
      <c r="B691" s="1">
        <v>46244</v>
      </c>
      <c r="C691" t="s">
        <v>26</v>
      </c>
      <c r="D691" t="s">
        <v>27</v>
      </c>
      <c r="E691" t="s">
        <v>16</v>
      </c>
      <c r="F691" t="s">
        <v>23</v>
      </c>
      <c r="G691" t="s">
        <v>84</v>
      </c>
      <c r="H691">
        <v>6</v>
      </c>
      <c r="I691" s="12">
        <v>60</v>
      </c>
      <c r="J691" s="12">
        <v>28</v>
      </c>
      <c r="K691">
        <v>5</v>
      </c>
      <c r="L691">
        <v>3</v>
      </c>
      <c r="M691">
        <v>350</v>
      </c>
      <c r="N691" s="12">
        <f>+gemini_code_1787702791259[[#This Row],[Cantidad]]*gemini_code_1787702791259[[#This Row],[Precio_Unitario_USD]]</f>
        <v>360</v>
      </c>
      <c r="O691" s="12">
        <f>+gemini_code_1787702791259[[#This Row],[Cantidad]]*gemini_code_1787702791259[[#This Row],[Costo_Unitario_USD]]</f>
        <v>168</v>
      </c>
      <c r="P691" s="12">
        <f>+gemini_code_1787702791259[[#This Row],[venta total]]-gemini_code_1787702791259[[#This Row],[Costo total]]</f>
        <v>192</v>
      </c>
      <c r="Q691" s="2">
        <f>gemini_code_1787702791259[[#This Row],[Ganancia bruta]]/gemini_code_1787702791259[[#This Row],[venta total]]</f>
        <v>0.53333333333333333</v>
      </c>
      <c r="R691" t="str">
        <f>IF(gemini_code_1787702791259[[#This Row],[Dias_Entrega]]&lt;=gemini_code_1787702791259[[#This Row],[Promesa_SLA_Dias]],"A tiempo","Fuera de SLA")</f>
        <v>Fuera de SLA</v>
      </c>
    </row>
    <row r="692" spans="1:18" x14ac:dyDescent="0.25">
      <c r="A692" t="s">
        <v>13</v>
      </c>
      <c r="B692" s="1">
        <v>46235</v>
      </c>
      <c r="C692" t="s">
        <v>14</v>
      </c>
      <c r="D692" t="s">
        <v>15</v>
      </c>
      <c r="E692" t="s">
        <v>16</v>
      </c>
      <c r="F692" t="s">
        <v>17</v>
      </c>
      <c r="G692" t="s">
        <v>18</v>
      </c>
      <c r="H692">
        <v>2</v>
      </c>
      <c r="I692" s="12">
        <v>850</v>
      </c>
      <c r="J692" s="12">
        <v>600</v>
      </c>
      <c r="K692">
        <v>2</v>
      </c>
      <c r="L692">
        <v>3</v>
      </c>
      <c r="M692">
        <v>1500</v>
      </c>
      <c r="N692" s="12">
        <f>+gemini_code_1787702791259[[#This Row],[Cantidad]]*gemini_code_1787702791259[[#This Row],[Precio_Unitario_USD]]</f>
        <v>1700</v>
      </c>
      <c r="O692" s="12">
        <f>+gemini_code_1787702791259[[#This Row],[Cantidad]]*gemini_code_1787702791259[[#This Row],[Costo_Unitario_USD]]</f>
        <v>1200</v>
      </c>
      <c r="P692" s="12">
        <f>+gemini_code_1787702791259[[#This Row],[venta total]]-gemini_code_1787702791259[[#This Row],[Costo total]]</f>
        <v>500</v>
      </c>
      <c r="Q692" s="2">
        <f>gemini_code_1787702791259[[#This Row],[Ganancia bruta]]/gemini_code_1787702791259[[#This Row],[venta total]]</f>
        <v>0.29411764705882354</v>
      </c>
      <c r="R692" t="str">
        <f>IF(gemini_code_1787702791259[[#This Row],[Dias_Entrega]]&lt;=gemini_code_1787702791259[[#This Row],[Promesa_SLA_Dias]],"A tiempo","Fuera de SLA")</f>
        <v>A tiempo</v>
      </c>
    </row>
    <row r="693" spans="1:18" x14ac:dyDescent="0.25">
      <c r="A693" t="s">
        <v>19</v>
      </c>
      <c r="B693" s="1">
        <v>46235</v>
      </c>
      <c r="C693" t="s">
        <v>20</v>
      </c>
      <c r="D693" t="s">
        <v>21</v>
      </c>
      <c r="E693" t="s">
        <v>22</v>
      </c>
      <c r="F693" t="s">
        <v>23</v>
      </c>
      <c r="G693" t="s">
        <v>24</v>
      </c>
      <c r="H693">
        <v>5</v>
      </c>
      <c r="I693" s="12">
        <v>120</v>
      </c>
      <c r="J693" s="12">
        <v>70</v>
      </c>
      <c r="K693">
        <v>3</v>
      </c>
      <c r="L693">
        <v>3</v>
      </c>
      <c r="M693">
        <v>500</v>
      </c>
      <c r="N693" s="12">
        <f>+gemini_code_1787702791259[[#This Row],[Cantidad]]*gemini_code_1787702791259[[#This Row],[Precio_Unitario_USD]]</f>
        <v>600</v>
      </c>
      <c r="O693" s="12">
        <f>+gemini_code_1787702791259[[#This Row],[Cantidad]]*gemini_code_1787702791259[[#This Row],[Costo_Unitario_USD]]</f>
        <v>350</v>
      </c>
      <c r="P693" s="12">
        <f>+gemini_code_1787702791259[[#This Row],[venta total]]-gemini_code_1787702791259[[#This Row],[Costo total]]</f>
        <v>250</v>
      </c>
      <c r="Q693" s="2">
        <f>gemini_code_1787702791259[[#This Row],[Ganancia bruta]]/gemini_code_1787702791259[[#This Row],[venta total]]</f>
        <v>0.41666666666666669</v>
      </c>
      <c r="R693" t="str">
        <f>IF(gemini_code_1787702791259[[#This Row],[Dias_Entrega]]&lt;=gemini_code_1787702791259[[#This Row],[Promesa_SLA_Dias]],"A tiempo","Fuera de SLA")</f>
        <v>A tiempo</v>
      </c>
    </row>
    <row r="694" spans="1:18" x14ac:dyDescent="0.25">
      <c r="A694" t="s">
        <v>25</v>
      </c>
      <c r="B694" s="1">
        <v>46235</v>
      </c>
      <c r="C694" t="s">
        <v>26</v>
      </c>
      <c r="D694" t="s">
        <v>27</v>
      </c>
      <c r="E694" t="s">
        <v>16</v>
      </c>
      <c r="F694" t="s">
        <v>28</v>
      </c>
      <c r="G694" t="s">
        <v>29</v>
      </c>
      <c r="H694">
        <v>3</v>
      </c>
      <c r="I694" s="12">
        <v>90</v>
      </c>
      <c r="J694" s="12">
        <v>50</v>
      </c>
      <c r="K694">
        <v>6</v>
      </c>
      <c r="L694">
        <v>4</v>
      </c>
      <c r="M694">
        <v>300</v>
      </c>
      <c r="N694" s="12">
        <f>+gemini_code_1787702791259[[#This Row],[Cantidad]]*gemini_code_1787702791259[[#This Row],[Precio_Unitario_USD]]</f>
        <v>270</v>
      </c>
      <c r="O694" s="12">
        <f>+gemini_code_1787702791259[[#This Row],[Cantidad]]*gemini_code_1787702791259[[#This Row],[Costo_Unitario_USD]]</f>
        <v>150</v>
      </c>
      <c r="P694" s="12">
        <f>+gemini_code_1787702791259[[#This Row],[venta total]]-gemini_code_1787702791259[[#This Row],[Costo total]]</f>
        <v>120</v>
      </c>
      <c r="Q694" s="2">
        <f>gemini_code_1787702791259[[#This Row],[Ganancia bruta]]/gemini_code_1787702791259[[#This Row],[venta total]]</f>
        <v>0.44444444444444442</v>
      </c>
      <c r="R694" t="str">
        <f>IF(gemini_code_1787702791259[[#This Row],[Dias_Entrega]]&lt;=gemini_code_1787702791259[[#This Row],[Promesa_SLA_Dias]],"A tiempo","Fuera de SLA")</f>
        <v>Fuera de SLA</v>
      </c>
    </row>
    <row r="695" spans="1:18" x14ac:dyDescent="0.25">
      <c r="A695" t="s">
        <v>30</v>
      </c>
      <c r="B695" s="1">
        <v>46236</v>
      </c>
      <c r="C695" t="s">
        <v>14</v>
      </c>
      <c r="D695" t="s">
        <v>15</v>
      </c>
      <c r="E695" t="s">
        <v>22</v>
      </c>
      <c r="F695" t="s">
        <v>31</v>
      </c>
      <c r="G695" t="s">
        <v>32</v>
      </c>
      <c r="H695">
        <v>4</v>
      </c>
      <c r="I695" s="12">
        <v>110</v>
      </c>
      <c r="J695" s="12">
        <v>60</v>
      </c>
      <c r="K695">
        <v>1</v>
      </c>
      <c r="L695">
        <v>2</v>
      </c>
      <c r="M695">
        <v>400</v>
      </c>
      <c r="N695" s="12">
        <f>+gemini_code_1787702791259[[#This Row],[Cantidad]]*gemini_code_1787702791259[[#This Row],[Precio_Unitario_USD]]</f>
        <v>440</v>
      </c>
      <c r="O695" s="12">
        <f>+gemini_code_1787702791259[[#This Row],[Cantidad]]*gemini_code_1787702791259[[#This Row],[Costo_Unitario_USD]]</f>
        <v>240</v>
      </c>
      <c r="P695" s="12">
        <f>+gemini_code_1787702791259[[#This Row],[venta total]]-gemini_code_1787702791259[[#This Row],[Costo total]]</f>
        <v>200</v>
      </c>
      <c r="Q695" s="2">
        <f>gemini_code_1787702791259[[#This Row],[Ganancia bruta]]/gemini_code_1787702791259[[#This Row],[venta total]]</f>
        <v>0.45454545454545453</v>
      </c>
      <c r="R695" t="str">
        <f>IF(gemini_code_1787702791259[[#This Row],[Dias_Entrega]]&lt;=gemini_code_1787702791259[[#This Row],[Promesa_SLA_Dias]],"A tiempo","Fuera de SLA")</f>
        <v>A tiempo</v>
      </c>
    </row>
    <row r="696" spans="1:18" x14ac:dyDescent="0.25">
      <c r="A696" t="s">
        <v>33</v>
      </c>
      <c r="B696" s="1">
        <v>46236</v>
      </c>
      <c r="C696" t="s">
        <v>20</v>
      </c>
      <c r="D696" t="s">
        <v>21</v>
      </c>
      <c r="E696" t="s">
        <v>16</v>
      </c>
      <c r="F696" t="s">
        <v>17</v>
      </c>
      <c r="G696" t="s">
        <v>34</v>
      </c>
      <c r="H696">
        <v>3</v>
      </c>
      <c r="I696" s="12">
        <v>650</v>
      </c>
      <c r="J696" s="12">
        <v>450</v>
      </c>
      <c r="K696">
        <v>2</v>
      </c>
      <c r="L696">
        <v>3</v>
      </c>
      <c r="M696">
        <v>1800</v>
      </c>
      <c r="N696" s="12">
        <f>+gemini_code_1787702791259[[#This Row],[Cantidad]]*gemini_code_1787702791259[[#This Row],[Precio_Unitario_USD]]</f>
        <v>1950</v>
      </c>
      <c r="O696" s="12">
        <f>+gemini_code_1787702791259[[#This Row],[Cantidad]]*gemini_code_1787702791259[[#This Row],[Costo_Unitario_USD]]</f>
        <v>1350</v>
      </c>
      <c r="P696" s="12">
        <f>+gemini_code_1787702791259[[#This Row],[venta total]]-gemini_code_1787702791259[[#This Row],[Costo total]]</f>
        <v>600</v>
      </c>
      <c r="Q696" s="2">
        <f>gemini_code_1787702791259[[#This Row],[Ganancia bruta]]/gemini_code_1787702791259[[#This Row],[venta total]]</f>
        <v>0.30769230769230771</v>
      </c>
      <c r="R696" t="str">
        <f>IF(gemini_code_1787702791259[[#This Row],[Dias_Entrega]]&lt;=gemini_code_1787702791259[[#This Row],[Promesa_SLA_Dias]],"A tiempo","Fuera de SLA")</f>
        <v>A tiempo</v>
      </c>
    </row>
    <row r="697" spans="1:18" x14ac:dyDescent="0.25">
      <c r="A697" t="s">
        <v>35</v>
      </c>
      <c r="B697" s="1">
        <v>46236</v>
      </c>
      <c r="C697" t="s">
        <v>26</v>
      </c>
      <c r="D697" t="s">
        <v>27</v>
      </c>
      <c r="E697" t="s">
        <v>16</v>
      </c>
      <c r="F697" t="s">
        <v>23</v>
      </c>
      <c r="G697" t="s">
        <v>36</v>
      </c>
      <c r="H697">
        <v>8</v>
      </c>
      <c r="I697" s="12">
        <v>45</v>
      </c>
      <c r="J697" s="12">
        <v>20</v>
      </c>
      <c r="K697">
        <v>5</v>
      </c>
      <c r="L697">
        <v>3</v>
      </c>
      <c r="M697">
        <v>400</v>
      </c>
      <c r="N697" s="12">
        <f>+gemini_code_1787702791259[[#This Row],[Cantidad]]*gemini_code_1787702791259[[#This Row],[Precio_Unitario_USD]]</f>
        <v>360</v>
      </c>
      <c r="O697" s="12">
        <f>+gemini_code_1787702791259[[#This Row],[Cantidad]]*gemini_code_1787702791259[[#This Row],[Costo_Unitario_USD]]</f>
        <v>160</v>
      </c>
      <c r="P697" s="12">
        <f>+gemini_code_1787702791259[[#This Row],[venta total]]-gemini_code_1787702791259[[#This Row],[Costo total]]</f>
        <v>200</v>
      </c>
      <c r="Q697" s="2">
        <f>gemini_code_1787702791259[[#This Row],[Ganancia bruta]]/gemini_code_1787702791259[[#This Row],[venta total]]</f>
        <v>0.55555555555555558</v>
      </c>
      <c r="R697" t="str">
        <f>IF(gemini_code_1787702791259[[#This Row],[Dias_Entrega]]&lt;=gemini_code_1787702791259[[#This Row],[Promesa_SLA_Dias]],"A tiempo","Fuera de SLA")</f>
        <v>Fuera de SLA</v>
      </c>
    </row>
    <row r="698" spans="1:18" x14ac:dyDescent="0.25">
      <c r="A698" t="s">
        <v>37</v>
      </c>
      <c r="B698" s="1">
        <v>46237</v>
      </c>
      <c r="C698" t="s">
        <v>14</v>
      </c>
      <c r="D698" t="s">
        <v>15</v>
      </c>
      <c r="E698" t="s">
        <v>16</v>
      </c>
      <c r="F698" t="s">
        <v>28</v>
      </c>
      <c r="G698" t="s">
        <v>38</v>
      </c>
      <c r="H698">
        <v>2</v>
      </c>
      <c r="I698" s="12">
        <v>280</v>
      </c>
      <c r="J698" s="12">
        <v>180</v>
      </c>
      <c r="K698">
        <v>3</v>
      </c>
      <c r="L698">
        <v>3</v>
      </c>
      <c r="M698">
        <v>500</v>
      </c>
      <c r="N698" s="12">
        <f>+gemini_code_1787702791259[[#This Row],[Cantidad]]*gemini_code_1787702791259[[#This Row],[Precio_Unitario_USD]]</f>
        <v>560</v>
      </c>
      <c r="O698" s="12">
        <f>+gemini_code_1787702791259[[#This Row],[Cantidad]]*gemini_code_1787702791259[[#This Row],[Costo_Unitario_USD]]</f>
        <v>360</v>
      </c>
      <c r="P698" s="12">
        <f>+gemini_code_1787702791259[[#This Row],[venta total]]-gemini_code_1787702791259[[#This Row],[Costo total]]</f>
        <v>200</v>
      </c>
      <c r="Q698" s="2">
        <f>gemini_code_1787702791259[[#This Row],[Ganancia bruta]]/gemini_code_1787702791259[[#This Row],[venta total]]</f>
        <v>0.35714285714285715</v>
      </c>
      <c r="R698" t="str">
        <f>IF(gemini_code_1787702791259[[#This Row],[Dias_Entrega]]&lt;=gemini_code_1787702791259[[#This Row],[Promesa_SLA_Dias]],"A tiempo","Fuera de SLA")</f>
        <v>A tiempo</v>
      </c>
    </row>
    <row r="699" spans="1:18" x14ac:dyDescent="0.25">
      <c r="A699" t="s">
        <v>39</v>
      </c>
      <c r="B699" s="1">
        <v>46237</v>
      </c>
      <c r="C699" t="s">
        <v>20</v>
      </c>
      <c r="D699" t="s">
        <v>21</v>
      </c>
      <c r="E699" t="s">
        <v>22</v>
      </c>
      <c r="F699" t="s">
        <v>31</v>
      </c>
      <c r="G699" t="s">
        <v>40</v>
      </c>
      <c r="H699">
        <v>3</v>
      </c>
      <c r="I699" s="12">
        <v>150</v>
      </c>
      <c r="J699" s="12">
        <v>85</v>
      </c>
      <c r="K699">
        <v>2</v>
      </c>
      <c r="L699">
        <v>2</v>
      </c>
      <c r="M699">
        <v>400</v>
      </c>
      <c r="N699" s="12">
        <f>+gemini_code_1787702791259[[#This Row],[Cantidad]]*gemini_code_1787702791259[[#This Row],[Precio_Unitario_USD]]</f>
        <v>450</v>
      </c>
      <c r="O699" s="12">
        <f>+gemini_code_1787702791259[[#This Row],[Cantidad]]*gemini_code_1787702791259[[#This Row],[Costo_Unitario_USD]]</f>
        <v>255</v>
      </c>
      <c r="P699" s="12">
        <f>+gemini_code_1787702791259[[#This Row],[venta total]]-gemini_code_1787702791259[[#This Row],[Costo total]]</f>
        <v>195</v>
      </c>
      <c r="Q699" s="2">
        <f>gemini_code_1787702791259[[#This Row],[Ganancia bruta]]/gemini_code_1787702791259[[#This Row],[venta total]]</f>
        <v>0.43333333333333335</v>
      </c>
      <c r="R699" t="str">
        <f>IF(gemini_code_1787702791259[[#This Row],[Dias_Entrega]]&lt;=gemini_code_1787702791259[[#This Row],[Promesa_SLA_Dias]],"A tiempo","Fuera de SLA")</f>
        <v>A tiempo</v>
      </c>
    </row>
    <row r="700" spans="1:18" x14ac:dyDescent="0.25">
      <c r="A700" t="s">
        <v>41</v>
      </c>
      <c r="B700" s="1">
        <v>46237</v>
      </c>
      <c r="C700" t="s">
        <v>26</v>
      </c>
      <c r="D700" t="s">
        <v>27</v>
      </c>
      <c r="E700" t="s">
        <v>16</v>
      </c>
      <c r="F700" t="s">
        <v>17</v>
      </c>
      <c r="G700" t="s">
        <v>42</v>
      </c>
      <c r="H700">
        <v>2</v>
      </c>
      <c r="I700" s="12">
        <v>520</v>
      </c>
      <c r="J700" s="12">
        <v>380</v>
      </c>
      <c r="K700">
        <v>7</v>
      </c>
      <c r="L700">
        <v>4</v>
      </c>
      <c r="M700">
        <v>1000</v>
      </c>
      <c r="N700" s="12">
        <f>+gemini_code_1787702791259[[#This Row],[Cantidad]]*gemini_code_1787702791259[[#This Row],[Precio_Unitario_USD]]</f>
        <v>1040</v>
      </c>
      <c r="O700" s="12">
        <f>+gemini_code_1787702791259[[#This Row],[Cantidad]]*gemini_code_1787702791259[[#This Row],[Costo_Unitario_USD]]</f>
        <v>760</v>
      </c>
      <c r="P700" s="12">
        <f>+gemini_code_1787702791259[[#This Row],[venta total]]-gemini_code_1787702791259[[#This Row],[Costo total]]</f>
        <v>280</v>
      </c>
      <c r="Q700" s="2">
        <f>gemini_code_1787702791259[[#This Row],[Ganancia bruta]]/gemini_code_1787702791259[[#This Row],[venta total]]</f>
        <v>0.26923076923076922</v>
      </c>
      <c r="R700" t="str">
        <f>IF(gemini_code_1787702791259[[#This Row],[Dias_Entrega]]&lt;=gemini_code_1787702791259[[#This Row],[Promesa_SLA_Dias]],"A tiempo","Fuera de SLA")</f>
        <v>Fuera de SLA</v>
      </c>
    </row>
    <row r="701" spans="1:18" x14ac:dyDescent="0.25">
      <c r="A701" t="s">
        <v>43</v>
      </c>
      <c r="B701" s="1">
        <v>46238</v>
      </c>
      <c r="C701" t="s">
        <v>14</v>
      </c>
      <c r="D701" t="s">
        <v>15</v>
      </c>
      <c r="E701" t="s">
        <v>22</v>
      </c>
      <c r="F701" t="s">
        <v>23</v>
      </c>
      <c r="G701" t="s">
        <v>44</v>
      </c>
      <c r="H701">
        <v>6</v>
      </c>
      <c r="I701" s="12">
        <v>55</v>
      </c>
      <c r="J701" s="12">
        <v>25</v>
      </c>
      <c r="K701">
        <v>2</v>
      </c>
      <c r="L701">
        <v>3</v>
      </c>
      <c r="M701">
        <v>300</v>
      </c>
      <c r="N701" s="12">
        <f>+gemini_code_1787702791259[[#This Row],[Cantidad]]*gemini_code_1787702791259[[#This Row],[Precio_Unitario_USD]]</f>
        <v>330</v>
      </c>
      <c r="O701" s="12">
        <f>+gemini_code_1787702791259[[#This Row],[Cantidad]]*gemini_code_1787702791259[[#This Row],[Costo_Unitario_USD]]</f>
        <v>150</v>
      </c>
      <c r="P701" s="12">
        <f>+gemini_code_1787702791259[[#This Row],[venta total]]-gemini_code_1787702791259[[#This Row],[Costo total]]</f>
        <v>180</v>
      </c>
      <c r="Q701" s="2">
        <f>gemini_code_1787702791259[[#This Row],[Ganancia bruta]]/gemini_code_1787702791259[[#This Row],[venta total]]</f>
        <v>0.54545454545454541</v>
      </c>
      <c r="R701" t="str">
        <f>IF(gemini_code_1787702791259[[#This Row],[Dias_Entrega]]&lt;=gemini_code_1787702791259[[#This Row],[Promesa_SLA_Dias]],"A tiempo","Fuera de SLA")</f>
        <v>A tiempo</v>
      </c>
    </row>
    <row r="702" spans="1:18" x14ac:dyDescent="0.25">
      <c r="A702" t="s">
        <v>45</v>
      </c>
      <c r="B702" s="1">
        <v>46238</v>
      </c>
      <c r="C702" t="s">
        <v>20</v>
      </c>
      <c r="D702" t="s">
        <v>21</v>
      </c>
      <c r="E702" t="s">
        <v>16</v>
      </c>
      <c r="F702" t="s">
        <v>28</v>
      </c>
      <c r="G702" t="s">
        <v>46</v>
      </c>
      <c r="H702">
        <v>1</v>
      </c>
      <c r="I702" s="12">
        <v>450</v>
      </c>
      <c r="J702" s="12">
        <v>290</v>
      </c>
      <c r="K702">
        <v>4</v>
      </c>
      <c r="L702">
        <v>3</v>
      </c>
      <c r="M702">
        <v>400</v>
      </c>
      <c r="N702" s="12">
        <f>+gemini_code_1787702791259[[#This Row],[Cantidad]]*gemini_code_1787702791259[[#This Row],[Precio_Unitario_USD]]</f>
        <v>450</v>
      </c>
      <c r="O702" s="12">
        <f>+gemini_code_1787702791259[[#This Row],[Cantidad]]*gemini_code_1787702791259[[#This Row],[Costo_Unitario_USD]]</f>
        <v>290</v>
      </c>
      <c r="P702" s="12">
        <f>+gemini_code_1787702791259[[#This Row],[venta total]]-gemini_code_1787702791259[[#This Row],[Costo total]]</f>
        <v>160</v>
      </c>
      <c r="Q702" s="2">
        <f>gemini_code_1787702791259[[#This Row],[Ganancia bruta]]/gemini_code_1787702791259[[#This Row],[venta total]]</f>
        <v>0.35555555555555557</v>
      </c>
      <c r="R702" t="str">
        <f>IF(gemini_code_1787702791259[[#This Row],[Dias_Entrega]]&lt;=gemini_code_1787702791259[[#This Row],[Promesa_SLA_Dias]],"A tiempo","Fuera de SLA")</f>
        <v>Fuera de SLA</v>
      </c>
    </row>
    <row r="703" spans="1:18" x14ac:dyDescent="0.25">
      <c r="A703" t="s">
        <v>47</v>
      </c>
      <c r="B703" s="1">
        <v>46238</v>
      </c>
      <c r="C703" t="s">
        <v>26</v>
      </c>
      <c r="D703" t="s">
        <v>27</v>
      </c>
      <c r="E703" t="s">
        <v>22</v>
      </c>
      <c r="F703" t="s">
        <v>31</v>
      </c>
      <c r="G703" t="s">
        <v>48</v>
      </c>
      <c r="H703">
        <v>10</v>
      </c>
      <c r="I703" s="12">
        <v>35</v>
      </c>
      <c r="J703" s="12">
        <v>15</v>
      </c>
      <c r="K703">
        <v>4</v>
      </c>
      <c r="L703">
        <v>3</v>
      </c>
      <c r="M703">
        <v>300</v>
      </c>
      <c r="N703" s="12">
        <f>+gemini_code_1787702791259[[#This Row],[Cantidad]]*gemini_code_1787702791259[[#This Row],[Precio_Unitario_USD]]</f>
        <v>350</v>
      </c>
      <c r="O703" s="12">
        <f>+gemini_code_1787702791259[[#This Row],[Cantidad]]*gemini_code_1787702791259[[#This Row],[Costo_Unitario_USD]]</f>
        <v>150</v>
      </c>
      <c r="P703" s="12">
        <f>+gemini_code_1787702791259[[#This Row],[venta total]]-gemini_code_1787702791259[[#This Row],[Costo total]]</f>
        <v>200</v>
      </c>
      <c r="Q703" s="2">
        <f>gemini_code_1787702791259[[#This Row],[Ganancia bruta]]/gemini_code_1787702791259[[#This Row],[venta total]]</f>
        <v>0.5714285714285714</v>
      </c>
      <c r="R703" t="str">
        <f>IF(gemini_code_1787702791259[[#This Row],[Dias_Entrega]]&lt;=gemini_code_1787702791259[[#This Row],[Promesa_SLA_Dias]],"A tiempo","Fuera de SLA")</f>
        <v>Fuera de SLA</v>
      </c>
    </row>
    <row r="704" spans="1:18" x14ac:dyDescent="0.25">
      <c r="A704" t="s">
        <v>49</v>
      </c>
      <c r="B704" s="1">
        <v>46239</v>
      </c>
      <c r="C704" t="s">
        <v>14</v>
      </c>
      <c r="D704" t="s">
        <v>15</v>
      </c>
      <c r="E704" t="s">
        <v>16</v>
      </c>
      <c r="F704" t="s">
        <v>17</v>
      </c>
      <c r="G704" t="s">
        <v>50</v>
      </c>
      <c r="H704">
        <v>4</v>
      </c>
      <c r="I704" s="12">
        <v>220</v>
      </c>
      <c r="J704" s="12">
        <v>140</v>
      </c>
      <c r="K704">
        <v>2</v>
      </c>
      <c r="L704">
        <v>3</v>
      </c>
      <c r="M704">
        <v>800</v>
      </c>
      <c r="N704" s="12">
        <f>+gemini_code_1787702791259[[#This Row],[Cantidad]]*gemini_code_1787702791259[[#This Row],[Precio_Unitario_USD]]</f>
        <v>880</v>
      </c>
      <c r="O704" s="12">
        <f>+gemini_code_1787702791259[[#This Row],[Cantidad]]*gemini_code_1787702791259[[#This Row],[Costo_Unitario_USD]]</f>
        <v>560</v>
      </c>
      <c r="P704" s="12">
        <f>+gemini_code_1787702791259[[#This Row],[venta total]]-gemini_code_1787702791259[[#This Row],[Costo total]]</f>
        <v>320</v>
      </c>
      <c r="Q704" s="2">
        <f>gemini_code_1787702791259[[#This Row],[Ganancia bruta]]/gemini_code_1787702791259[[#This Row],[venta total]]</f>
        <v>0.36363636363636365</v>
      </c>
      <c r="R704" t="str">
        <f>IF(gemini_code_1787702791259[[#This Row],[Dias_Entrega]]&lt;=gemini_code_1787702791259[[#This Row],[Promesa_SLA_Dias]],"A tiempo","Fuera de SLA")</f>
        <v>A tiempo</v>
      </c>
    </row>
    <row r="705" spans="1:18" x14ac:dyDescent="0.25">
      <c r="A705" t="s">
        <v>51</v>
      </c>
      <c r="B705" s="1">
        <v>46239</v>
      </c>
      <c r="C705" t="s">
        <v>20</v>
      </c>
      <c r="D705" t="s">
        <v>21</v>
      </c>
      <c r="E705" t="s">
        <v>16</v>
      </c>
      <c r="F705" t="s">
        <v>23</v>
      </c>
      <c r="G705" t="s">
        <v>52</v>
      </c>
      <c r="H705">
        <v>5</v>
      </c>
      <c r="I705" s="12">
        <v>65</v>
      </c>
      <c r="J705" s="12">
        <v>30</v>
      </c>
      <c r="K705">
        <v>2</v>
      </c>
      <c r="L705">
        <v>3</v>
      </c>
      <c r="M705">
        <v>300</v>
      </c>
      <c r="N705" s="12">
        <f>+gemini_code_1787702791259[[#This Row],[Cantidad]]*gemini_code_1787702791259[[#This Row],[Precio_Unitario_USD]]</f>
        <v>325</v>
      </c>
      <c r="O705" s="12">
        <f>+gemini_code_1787702791259[[#This Row],[Cantidad]]*gemini_code_1787702791259[[#This Row],[Costo_Unitario_USD]]</f>
        <v>150</v>
      </c>
      <c r="P705" s="12">
        <f>+gemini_code_1787702791259[[#This Row],[venta total]]-gemini_code_1787702791259[[#This Row],[Costo total]]</f>
        <v>175</v>
      </c>
      <c r="Q705" s="2">
        <f>gemini_code_1787702791259[[#This Row],[Ganancia bruta]]/gemini_code_1787702791259[[#This Row],[venta total]]</f>
        <v>0.53846153846153844</v>
      </c>
      <c r="R705" t="str">
        <f>IF(gemini_code_1787702791259[[#This Row],[Dias_Entrega]]&lt;=gemini_code_1787702791259[[#This Row],[Promesa_SLA_Dias]],"A tiempo","Fuera de SLA")</f>
        <v>A tiempo</v>
      </c>
    </row>
    <row r="706" spans="1:18" x14ac:dyDescent="0.25">
      <c r="A706" t="s">
        <v>53</v>
      </c>
      <c r="B706" s="1">
        <v>46239</v>
      </c>
      <c r="C706" t="s">
        <v>26</v>
      </c>
      <c r="D706" t="s">
        <v>27</v>
      </c>
      <c r="E706" t="s">
        <v>16</v>
      </c>
      <c r="F706" t="s">
        <v>28</v>
      </c>
      <c r="G706" t="s">
        <v>54</v>
      </c>
      <c r="H706">
        <v>2</v>
      </c>
      <c r="I706" s="12">
        <v>180</v>
      </c>
      <c r="J706" s="12">
        <v>110</v>
      </c>
      <c r="K706">
        <v>6</v>
      </c>
      <c r="L706">
        <v>3</v>
      </c>
      <c r="M706">
        <v>350</v>
      </c>
      <c r="N706" s="12">
        <f>+gemini_code_1787702791259[[#This Row],[Cantidad]]*gemini_code_1787702791259[[#This Row],[Precio_Unitario_USD]]</f>
        <v>360</v>
      </c>
      <c r="O706" s="12">
        <f>+gemini_code_1787702791259[[#This Row],[Cantidad]]*gemini_code_1787702791259[[#This Row],[Costo_Unitario_USD]]</f>
        <v>220</v>
      </c>
      <c r="P706" s="12">
        <f>+gemini_code_1787702791259[[#This Row],[venta total]]-gemini_code_1787702791259[[#This Row],[Costo total]]</f>
        <v>140</v>
      </c>
      <c r="Q706" s="2">
        <f>gemini_code_1787702791259[[#This Row],[Ganancia bruta]]/gemini_code_1787702791259[[#This Row],[venta total]]</f>
        <v>0.3888888888888889</v>
      </c>
      <c r="R706" t="str">
        <f>IF(gemini_code_1787702791259[[#This Row],[Dias_Entrega]]&lt;=gemini_code_1787702791259[[#This Row],[Promesa_SLA_Dias]],"A tiempo","Fuera de SLA")</f>
        <v>Fuera de SLA</v>
      </c>
    </row>
    <row r="707" spans="1:18" x14ac:dyDescent="0.25">
      <c r="A707" t="s">
        <v>55</v>
      </c>
      <c r="B707" s="1">
        <v>46240</v>
      </c>
      <c r="C707" t="s">
        <v>14</v>
      </c>
      <c r="D707" t="s">
        <v>15</v>
      </c>
      <c r="E707" t="s">
        <v>22</v>
      </c>
      <c r="F707" t="s">
        <v>31</v>
      </c>
      <c r="G707" t="s">
        <v>56</v>
      </c>
      <c r="H707">
        <v>6</v>
      </c>
      <c r="I707" s="12">
        <v>85</v>
      </c>
      <c r="J707" s="12">
        <v>45</v>
      </c>
      <c r="K707">
        <v>1</v>
      </c>
      <c r="L707">
        <v>2</v>
      </c>
      <c r="M707">
        <v>500</v>
      </c>
      <c r="N707" s="12">
        <f>+gemini_code_1787702791259[[#This Row],[Cantidad]]*gemini_code_1787702791259[[#This Row],[Precio_Unitario_USD]]</f>
        <v>510</v>
      </c>
      <c r="O707" s="12">
        <f>+gemini_code_1787702791259[[#This Row],[Cantidad]]*gemini_code_1787702791259[[#This Row],[Costo_Unitario_USD]]</f>
        <v>270</v>
      </c>
      <c r="P707" s="12">
        <f>+gemini_code_1787702791259[[#This Row],[venta total]]-gemini_code_1787702791259[[#This Row],[Costo total]]</f>
        <v>240</v>
      </c>
      <c r="Q707" s="2">
        <f>gemini_code_1787702791259[[#This Row],[Ganancia bruta]]/gemini_code_1787702791259[[#This Row],[venta total]]</f>
        <v>0.47058823529411764</v>
      </c>
      <c r="R707" t="str">
        <f>IF(gemini_code_1787702791259[[#This Row],[Dias_Entrega]]&lt;=gemini_code_1787702791259[[#This Row],[Promesa_SLA_Dias]],"A tiempo","Fuera de SLA")</f>
        <v>A tiempo</v>
      </c>
    </row>
    <row r="708" spans="1:18" x14ac:dyDescent="0.25">
      <c r="A708" t="s">
        <v>57</v>
      </c>
      <c r="B708" s="1">
        <v>46240</v>
      </c>
      <c r="C708" t="s">
        <v>20</v>
      </c>
      <c r="D708" t="s">
        <v>21</v>
      </c>
      <c r="E708" t="s">
        <v>16</v>
      </c>
      <c r="F708" t="s">
        <v>17</v>
      </c>
      <c r="G708" t="s">
        <v>58</v>
      </c>
      <c r="H708">
        <v>12</v>
      </c>
      <c r="I708" s="12">
        <v>75</v>
      </c>
      <c r="J708" s="12">
        <v>35</v>
      </c>
      <c r="K708">
        <v>1</v>
      </c>
      <c r="L708">
        <v>2</v>
      </c>
      <c r="M708">
        <v>800</v>
      </c>
      <c r="N708" s="12">
        <f>+gemini_code_1787702791259[[#This Row],[Cantidad]]*gemini_code_1787702791259[[#This Row],[Precio_Unitario_USD]]</f>
        <v>900</v>
      </c>
      <c r="O708" s="12">
        <f>+gemini_code_1787702791259[[#This Row],[Cantidad]]*gemini_code_1787702791259[[#This Row],[Costo_Unitario_USD]]</f>
        <v>420</v>
      </c>
      <c r="P708" s="12">
        <f>+gemini_code_1787702791259[[#This Row],[venta total]]-gemini_code_1787702791259[[#This Row],[Costo total]]</f>
        <v>480</v>
      </c>
      <c r="Q708" s="2">
        <f>gemini_code_1787702791259[[#This Row],[Ganancia bruta]]/gemini_code_1787702791259[[#This Row],[venta total]]</f>
        <v>0.53333333333333333</v>
      </c>
      <c r="R708" t="str">
        <f>IF(gemini_code_1787702791259[[#This Row],[Dias_Entrega]]&lt;=gemini_code_1787702791259[[#This Row],[Promesa_SLA_Dias]],"A tiempo","Fuera de SLA")</f>
        <v>A tiempo</v>
      </c>
    </row>
    <row r="709" spans="1:18" x14ac:dyDescent="0.25">
      <c r="A709" t="s">
        <v>59</v>
      </c>
      <c r="B709" s="1">
        <v>46240</v>
      </c>
      <c r="C709" t="s">
        <v>26</v>
      </c>
      <c r="D709" t="s">
        <v>27</v>
      </c>
      <c r="E709" t="s">
        <v>22</v>
      </c>
      <c r="F709" t="s">
        <v>23</v>
      </c>
      <c r="G709" t="s">
        <v>60</v>
      </c>
      <c r="H709">
        <v>4</v>
      </c>
      <c r="I709" s="12">
        <v>110</v>
      </c>
      <c r="J709" s="12">
        <v>55</v>
      </c>
      <c r="K709">
        <v>5</v>
      </c>
      <c r="L709">
        <v>3</v>
      </c>
      <c r="M709">
        <v>400</v>
      </c>
      <c r="N709" s="12">
        <f>+gemini_code_1787702791259[[#This Row],[Cantidad]]*gemini_code_1787702791259[[#This Row],[Precio_Unitario_USD]]</f>
        <v>440</v>
      </c>
      <c r="O709" s="12">
        <f>+gemini_code_1787702791259[[#This Row],[Cantidad]]*gemini_code_1787702791259[[#This Row],[Costo_Unitario_USD]]</f>
        <v>220</v>
      </c>
      <c r="P709" s="12">
        <f>+gemini_code_1787702791259[[#This Row],[venta total]]-gemini_code_1787702791259[[#This Row],[Costo total]]</f>
        <v>220</v>
      </c>
      <c r="Q709" s="2">
        <f>gemini_code_1787702791259[[#This Row],[Ganancia bruta]]/gemini_code_1787702791259[[#This Row],[venta total]]</f>
        <v>0.5</v>
      </c>
      <c r="R709" t="str">
        <f>IF(gemini_code_1787702791259[[#This Row],[Dias_Entrega]]&lt;=gemini_code_1787702791259[[#This Row],[Promesa_SLA_Dias]],"A tiempo","Fuera de SLA")</f>
        <v>Fuera de SLA</v>
      </c>
    </row>
    <row r="710" spans="1:18" x14ac:dyDescent="0.25">
      <c r="A710" t="s">
        <v>61</v>
      </c>
      <c r="B710" s="1">
        <v>46241</v>
      </c>
      <c r="C710" t="s">
        <v>14</v>
      </c>
      <c r="D710" t="s">
        <v>15</v>
      </c>
      <c r="E710" t="s">
        <v>16</v>
      </c>
      <c r="F710" t="s">
        <v>28</v>
      </c>
      <c r="G710" t="s">
        <v>62</v>
      </c>
      <c r="H710">
        <v>15</v>
      </c>
      <c r="I710" s="12">
        <v>25</v>
      </c>
      <c r="J710" s="12">
        <v>10</v>
      </c>
      <c r="K710">
        <v>2</v>
      </c>
      <c r="L710">
        <v>3</v>
      </c>
      <c r="M710">
        <v>300</v>
      </c>
      <c r="N710" s="12">
        <f>+gemini_code_1787702791259[[#This Row],[Cantidad]]*gemini_code_1787702791259[[#This Row],[Precio_Unitario_USD]]</f>
        <v>375</v>
      </c>
      <c r="O710" s="12">
        <f>+gemini_code_1787702791259[[#This Row],[Cantidad]]*gemini_code_1787702791259[[#This Row],[Costo_Unitario_USD]]</f>
        <v>150</v>
      </c>
      <c r="P710" s="12">
        <f>+gemini_code_1787702791259[[#This Row],[venta total]]-gemini_code_1787702791259[[#This Row],[Costo total]]</f>
        <v>225</v>
      </c>
      <c r="Q710" s="2">
        <f>gemini_code_1787702791259[[#This Row],[Ganancia bruta]]/gemini_code_1787702791259[[#This Row],[venta total]]</f>
        <v>0.6</v>
      </c>
      <c r="R710" t="str">
        <f>IF(gemini_code_1787702791259[[#This Row],[Dias_Entrega]]&lt;=gemini_code_1787702791259[[#This Row],[Promesa_SLA_Dias]],"A tiempo","Fuera de SLA")</f>
        <v>A tiempo</v>
      </c>
    </row>
    <row r="711" spans="1:18" x14ac:dyDescent="0.25">
      <c r="A711" t="s">
        <v>63</v>
      </c>
      <c r="B711" s="1">
        <v>46241</v>
      </c>
      <c r="C711" t="s">
        <v>20</v>
      </c>
      <c r="D711" t="s">
        <v>21</v>
      </c>
      <c r="E711" t="s">
        <v>22</v>
      </c>
      <c r="F711" t="s">
        <v>31</v>
      </c>
      <c r="G711" t="s">
        <v>64</v>
      </c>
      <c r="H711">
        <v>5</v>
      </c>
      <c r="I711" s="12">
        <v>130</v>
      </c>
      <c r="J711" s="12">
        <v>70</v>
      </c>
      <c r="K711">
        <v>3</v>
      </c>
      <c r="L711">
        <v>3</v>
      </c>
      <c r="M711">
        <v>600</v>
      </c>
      <c r="N711" s="12">
        <f>+gemini_code_1787702791259[[#This Row],[Cantidad]]*gemini_code_1787702791259[[#This Row],[Precio_Unitario_USD]]</f>
        <v>650</v>
      </c>
      <c r="O711" s="12">
        <f>+gemini_code_1787702791259[[#This Row],[Cantidad]]*gemini_code_1787702791259[[#This Row],[Costo_Unitario_USD]]</f>
        <v>350</v>
      </c>
      <c r="P711" s="12">
        <f>+gemini_code_1787702791259[[#This Row],[venta total]]-gemini_code_1787702791259[[#This Row],[Costo total]]</f>
        <v>300</v>
      </c>
      <c r="Q711" s="2">
        <f>gemini_code_1787702791259[[#This Row],[Ganancia bruta]]/gemini_code_1787702791259[[#This Row],[venta total]]</f>
        <v>0.46153846153846156</v>
      </c>
      <c r="R711" t="str">
        <f>IF(gemini_code_1787702791259[[#This Row],[Dias_Entrega]]&lt;=gemini_code_1787702791259[[#This Row],[Promesa_SLA_Dias]],"A tiempo","Fuera de SLA")</f>
        <v>A tiempo</v>
      </c>
    </row>
    <row r="712" spans="1:18" x14ac:dyDescent="0.25">
      <c r="A712" t="s">
        <v>65</v>
      </c>
      <c r="B712" s="1">
        <v>46241</v>
      </c>
      <c r="C712" t="s">
        <v>26</v>
      </c>
      <c r="D712" t="s">
        <v>27</v>
      </c>
      <c r="E712" t="s">
        <v>16</v>
      </c>
      <c r="F712" t="s">
        <v>17</v>
      </c>
      <c r="G712" t="s">
        <v>66</v>
      </c>
      <c r="H712">
        <v>2</v>
      </c>
      <c r="I712" s="12">
        <v>500</v>
      </c>
      <c r="J712" s="12">
        <v>380</v>
      </c>
      <c r="K712">
        <v>6</v>
      </c>
      <c r="L712">
        <v>4</v>
      </c>
      <c r="M712">
        <v>900</v>
      </c>
      <c r="N712" s="12">
        <f>+gemini_code_1787702791259[[#This Row],[Cantidad]]*gemini_code_1787702791259[[#This Row],[Precio_Unitario_USD]]</f>
        <v>1000</v>
      </c>
      <c r="O712" s="12">
        <f>+gemini_code_1787702791259[[#This Row],[Cantidad]]*gemini_code_1787702791259[[#This Row],[Costo_Unitario_USD]]</f>
        <v>760</v>
      </c>
      <c r="P712" s="12">
        <f>+gemini_code_1787702791259[[#This Row],[venta total]]-gemini_code_1787702791259[[#This Row],[Costo total]]</f>
        <v>240</v>
      </c>
      <c r="Q712" s="2">
        <f>gemini_code_1787702791259[[#This Row],[Ganancia bruta]]/gemini_code_1787702791259[[#This Row],[venta total]]</f>
        <v>0.24</v>
      </c>
      <c r="R712" t="str">
        <f>IF(gemini_code_1787702791259[[#This Row],[Dias_Entrega]]&lt;=gemini_code_1787702791259[[#This Row],[Promesa_SLA_Dias]],"A tiempo","Fuera de SLA")</f>
        <v>Fuera de SLA</v>
      </c>
    </row>
    <row r="713" spans="1:18" x14ac:dyDescent="0.25">
      <c r="A713" t="s">
        <v>67</v>
      </c>
      <c r="B713" s="1">
        <v>46242</v>
      </c>
      <c r="C713" t="s">
        <v>14</v>
      </c>
      <c r="D713" t="s">
        <v>15</v>
      </c>
      <c r="E713" t="s">
        <v>16</v>
      </c>
      <c r="F713" t="s">
        <v>23</v>
      </c>
      <c r="G713" t="s">
        <v>68</v>
      </c>
      <c r="H713">
        <v>3</v>
      </c>
      <c r="I713" s="12">
        <v>95</v>
      </c>
      <c r="J713" s="12">
        <v>45</v>
      </c>
      <c r="K713">
        <v>2</v>
      </c>
      <c r="L713">
        <v>3</v>
      </c>
      <c r="M713">
        <v>300</v>
      </c>
      <c r="N713" s="12">
        <f>+gemini_code_1787702791259[[#This Row],[Cantidad]]*gemini_code_1787702791259[[#This Row],[Precio_Unitario_USD]]</f>
        <v>285</v>
      </c>
      <c r="O713" s="12">
        <f>+gemini_code_1787702791259[[#This Row],[Cantidad]]*gemini_code_1787702791259[[#This Row],[Costo_Unitario_USD]]</f>
        <v>135</v>
      </c>
      <c r="P713" s="12">
        <f>+gemini_code_1787702791259[[#This Row],[venta total]]-gemini_code_1787702791259[[#This Row],[Costo total]]</f>
        <v>150</v>
      </c>
      <c r="Q713" s="2">
        <f>gemini_code_1787702791259[[#This Row],[Ganancia bruta]]/gemini_code_1787702791259[[#This Row],[venta total]]</f>
        <v>0.52631578947368418</v>
      </c>
      <c r="R713" t="str">
        <f>IF(gemini_code_1787702791259[[#This Row],[Dias_Entrega]]&lt;=gemini_code_1787702791259[[#This Row],[Promesa_SLA_Dias]],"A tiempo","Fuera de SLA")</f>
        <v>A tiempo</v>
      </c>
    </row>
    <row r="714" spans="1:18" x14ac:dyDescent="0.25">
      <c r="A714" t="s">
        <v>69</v>
      </c>
      <c r="B714" s="1">
        <v>46242</v>
      </c>
      <c r="C714" t="s">
        <v>20</v>
      </c>
      <c r="D714" t="s">
        <v>21</v>
      </c>
      <c r="E714" t="s">
        <v>16</v>
      </c>
      <c r="F714" t="s">
        <v>28</v>
      </c>
      <c r="G714" t="s">
        <v>70</v>
      </c>
      <c r="H714">
        <v>4</v>
      </c>
      <c r="I714" s="12">
        <v>160</v>
      </c>
      <c r="J714" s="12">
        <v>95</v>
      </c>
      <c r="K714">
        <v>2</v>
      </c>
      <c r="L714">
        <v>3</v>
      </c>
      <c r="M714">
        <v>600</v>
      </c>
      <c r="N714" s="12">
        <f>+gemini_code_1787702791259[[#This Row],[Cantidad]]*gemini_code_1787702791259[[#This Row],[Precio_Unitario_USD]]</f>
        <v>640</v>
      </c>
      <c r="O714" s="12">
        <f>+gemini_code_1787702791259[[#This Row],[Cantidad]]*gemini_code_1787702791259[[#This Row],[Costo_Unitario_USD]]</f>
        <v>380</v>
      </c>
      <c r="P714" s="12">
        <f>+gemini_code_1787702791259[[#This Row],[venta total]]-gemini_code_1787702791259[[#This Row],[Costo total]]</f>
        <v>260</v>
      </c>
      <c r="Q714" s="2">
        <f>gemini_code_1787702791259[[#This Row],[Ganancia bruta]]/gemini_code_1787702791259[[#This Row],[venta total]]</f>
        <v>0.40625</v>
      </c>
      <c r="R714" t="str">
        <f>IF(gemini_code_1787702791259[[#This Row],[Dias_Entrega]]&lt;=gemini_code_1787702791259[[#This Row],[Promesa_SLA_Dias]],"A tiempo","Fuera de SLA")</f>
        <v>A tiempo</v>
      </c>
    </row>
    <row r="715" spans="1:18" x14ac:dyDescent="0.25">
      <c r="A715" t="s">
        <v>71</v>
      </c>
      <c r="B715" s="1">
        <v>46242</v>
      </c>
      <c r="C715" t="s">
        <v>26</v>
      </c>
      <c r="D715" t="s">
        <v>27</v>
      </c>
      <c r="E715" t="s">
        <v>22</v>
      </c>
      <c r="F715" t="s">
        <v>31</v>
      </c>
      <c r="G715" t="s">
        <v>72</v>
      </c>
      <c r="H715">
        <v>7</v>
      </c>
      <c r="I715" s="12">
        <v>90</v>
      </c>
      <c r="J715" s="12">
        <v>45</v>
      </c>
      <c r="K715">
        <v>4</v>
      </c>
      <c r="L715">
        <v>3</v>
      </c>
      <c r="M715">
        <v>600</v>
      </c>
      <c r="N715" s="12">
        <f>+gemini_code_1787702791259[[#This Row],[Cantidad]]*gemini_code_1787702791259[[#This Row],[Precio_Unitario_USD]]</f>
        <v>630</v>
      </c>
      <c r="O715" s="12">
        <f>+gemini_code_1787702791259[[#This Row],[Cantidad]]*gemini_code_1787702791259[[#This Row],[Costo_Unitario_USD]]</f>
        <v>315</v>
      </c>
      <c r="P715" s="12">
        <f>+gemini_code_1787702791259[[#This Row],[venta total]]-gemini_code_1787702791259[[#This Row],[Costo total]]</f>
        <v>315</v>
      </c>
      <c r="Q715" s="2">
        <f>gemini_code_1787702791259[[#This Row],[Ganancia bruta]]/gemini_code_1787702791259[[#This Row],[venta total]]</f>
        <v>0.5</v>
      </c>
      <c r="R715" t="str">
        <f>IF(gemini_code_1787702791259[[#This Row],[Dias_Entrega]]&lt;=gemini_code_1787702791259[[#This Row],[Promesa_SLA_Dias]],"A tiempo","Fuera de SLA")</f>
        <v>Fuera de SLA</v>
      </c>
    </row>
    <row r="716" spans="1:18" x14ac:dyDescent="0.25">
      <c r="A716" t="s">
        <v>73</v>
      </c>
      <c r="B716" s="1">
        <v>46243</v>
      </c>
      <c r="C716" t="s">
        <v>14</v>
      </c>
      <c r="D716" t="s">
        <v>15</v>
      </c>
      <c r="E716" t="s">
        <v>22</v>
      </c>
      <c r="F716" t="s">
        <v>17</v>
      </c>
      <c r="G716" t="s">
        <v>74</v>
      </c>
      <c r="H716">
        <v>3</v>
      </c>
      <c r="I716" s="12">
        <v>310</v>
      </c>
      <c r="J716" s="12">
        <v>210</v>
      </c>
      <c r="K716">
        <v>2</v>
      </c>
      <c r="L716">
        <v>3</v>
      </c>
      <c r="M716">
        <v>900</v>
      </c>
      <c r="N716" s="12">
        <f>+gemini_code_1787702791259[[#This Row],[Cantidad]]*gemini_code_1787702791259[[#This Row],[Precio_Unitario_USD]]</f>
        <v>930</v>
      </c>
      <c r="O716" s="12">
        <f>+gemini_code_1787702791259[[#This Row],[Cantidad]]*gemini_code_1787702791259[[#This Row],[Costo_Unitario_USD]]</f>
        <v>630</v>
      </c>
      <c r="P716" s="12">
        <f>+gemini_code_1787702791259[[#This Row],[venta total]]-gemini_code_1787702791259[[#This Row],[Costo total]]</f>
        <v>300</v>
      </c>
      <c r="Q716" s="2">
        <f>gemini_code_1787702791259[[#This Row],[Ganancia bruta]]/gemini_code_1787702791259[[#This Row],[venta total]]</f>
        <v>0.32258064516129031</v>
      </c>
      <c r="R716" t="str">
        <f>IF(gemini_code_1787702791259[[#This Row],[Dias_Entrega]]&lt;=gemini_code_1787702791259[[#This Row],[Promesa_SLA_Dias]],"A tiempo","Fuera de SLA")</f>
        <v>A tiempo</v>
      </c>
    </row>
    <row r="717" spans="1:18" x14ac:dyDescent="0.25">
      <c r="A717" t="s">
        <v>75</v>
      </c>
      <c r="B717" s="1">
        <v>46243</v>
      </c>
      <c r="C717" t="s">
        <v>20</v>
      </c>
      <c r="D717" t="s">
        <v>21</v>
      </c>
      <c r="E717" t="s">
        <v>16</v>
      </c>
      <c r="F717" t="s">
        <v>23</v>
      </c>
      <c r="G717" t="s">
        <v>76</v>
      </c>
      <c r="H717">
        <v>8</v>
      </c>
      <c r="I717" s="12">
        <v>50</v>
      </c>
      <c r="J717" s="12">
        <v>22</v>
      </c>
      <c r="K717">
        <v>2</v>
      </c>
      <c r="L717">
        <v>3</v>
      </c>
      <c r="M717">
        <v>400</v>
      </c>
      <c r="N717" s="12">
        <f>+gemini_code_1787702791259[[#This Row],[Cantidad]]*gemini_code_1787702791259[[#This Row],[Precio_Unitario_USD]]</f>
        <v>400</v>
      </c>
      <c r="O717" s="12">
        <f>+gemini_code_1787702791259[[#This Row],[Cantidad]]*gemini_code_1787702791259[[#This Row],[Costo_Unitario_USD]]</f>
        <v>176</v>
      </c>
      <c r="P717" s="12">
        <f>+gemini_code_1787702791259[[#This Row],[venta total]]-gemini_code_1787702791259[[#This Row],[Costo total]]</f>
        <v>224</v>
      </c>
      <c r="Q717" s="2">
        <f>gemini_code_1787702791259[[#This Row],[Ganancia bruta]]/gemini_code_1787702791259[[#This Row],[venta total]]</f>
        <v>0.56000000000000005</v>
      </c>
      <c r="R717" t="str">
        <f>IF(gemini_code_1787702791259[[#This Row],[Dias_Entrega]]&lt;=gemini_code_1787702791259[[#This Row],[Promesa_SLA_Dias]],"A tiempo","Fuera de SLA")</f>
        <v>A tiempo</v>
      </c>
    </row>
    <row r="718" spans="1:18" x14ac:dyDescent="0.25">
      <c r="A718" t="s">
        <v>77</v>
      </c>
      <c r="B718" s="1">
        <v>46243</v>
      </c>
      <c r="C718" t="s">
        <v>26</v>
      </c>
      <c r="D718" t="s">
        <v>27</v>
      </c>
      <c r="E718" t="s">
        <v>16</v>
      </c>
      <c r="F718" t="s">
        <v>28</v>
      </c>
      <c r="G718" t="s">
        <v>78</v>
      </c>
      <c r="H718">
        <v>1</v>
      </c>
      <c r="I718" s="12">
        <v>750</v>
      </c>
      <c r="J718" s="12">
        <v>480</v>
      </c>
      <c r="K718">
        <v>8</v>
      </c>
      <c r="L718">
        <v>4</v>
      </c>
      <c r="M718">
        <v>700</v>
      </c>
      <c r="N718" s="12">
        <f>+gemini_code_1787702791259[[#This Row],[Cantidad]]*gemini_code_1787702791259[[#This Row],[Precio_Unitario_USD]]</f>
        <v>750</v>
      </c>
      <c r="O718" s="12">
        <f>+gemini_code_1787702791259[[#This Row],[Cantidad]]*gemini_code_1787702791259[[#This Row],[Costo_Unitario_USD]]</f>
        <v>480</v>
      </c>
      <c r="P718" s="12">
        <f>+gemini_code_1787702791259[[#This Row],[venta total]]-gemini_code_1787702791259[[#This Row],[Costo total]]</f>
        <v>270</v>
      </c>
      <c r="Q718" s="2">
        <f>gemini_code_1787702791259[[#This Row],[Ganancia bruta]]/gemini_code_1787702791259[[#This Row],[venta total]]</f>
        <v>0.36</v>
      </c>
      <c r="R718" t="str">
        <f>IF(gemini_code_1787702791259[[#This Row],[Dias_Entrega]]&lt;=gemini_code_1787702791259[[#This Row],[Promesa_SLA_Dias]],"A tiempo","Fuera de SLA")</f>
        <v>Fuera de SLA</v>
      </c>
    </row>
    <row r="719" spans="1:18" x14ac:dyDescent="0.25">
      <c r="A719" t="s">
        <v>79</v>
      </c>
      <c r="B719" s="1">
        <v>46244</v>
      </c>
      <c r="C719" t="s">
        <v>14</v>
      </c>
      <c r="D719" t="s">
        <v>15</v>
      </c>
      <c r="E719" t="s">
        <v>16</v>
      </c>
      <c r="F719" t="s">
        <v>31</v>
      </c>
      <c r="G719" t="s">
        <v>80</v>
      </c>
      <c r="H719">
        <v>4</v>
      </c>
      <c r="I719" s="12">
        <v>140</v>
      </c>
      <c r="J719" s="12">
        <v>75</v>
      </c>
      <c r="K719">
        <v>3</v>
      </c>
      <c r="L719">
        <v>3</v>
      </c>
      <c r="M719">
        <v>500</v>
      </c>
      <c r="N719" s="12">
        <f>+gemini_code_1787702791259[[#This Row],[Cantidad]]*gemini_code_1787702791259[[#This Row],[Precio_Unitario_USD]]</f>
        <v>560</v>
      </c>
      <c r="O719" s="12">
        <f>+gemini_code_1787702791259[[#This Row],[Cantidad]]*gemini_code_1787702791259[[#This Row],[Costo_Unitario_USD]]</f>
        <v>300</v>
      </c>
      <c r="P719" s="12">
        <f>+gemini_code_1787702791259[[#This Row],[venta total]]-gemini_code_1787702791259[[#This Row],[Costo total]]</f>
        <v>260</v>
      </c>
      <c r="Q719" s="2">
        <f>gemini_code_1787702791259[[#This Row],[Ganancia bruta]]/gemini_code_1787702791259[[#This Row],[venta total]]</f>
        <v>0.4642857142857143</v>
      </c>
      <c r="R719" t="str">
        <f>IF(gemini_code_1787702791259[[#This Row],[Dias_Entrega]]&lt;=gemini_code_1787702791259[[#This Row],[Promesa_SLA_Dias]],"A tiempo","Fuera de SLA")</f>
        <v>A tiempo</v>
      </c>
    </row>
    <row r="720" spans="1:18" x14ac:dyDescent="0.25">
      <c r="A720" t="s">
        <v>81</v>
      </c>
      <c r="B720" s="1">
        <v>46244</v>
      </c>
      <c r="C720" t="s">
        <v>20</v>
      </c>
      <c r="D720" t="s">
        <v>21</v>
      </c>
      <c r="E720" t="s">
        <v>22</v>
      </c>
      <c r="F720" t="s">
        <v>17</v>
      </c>
      <c r="G720" t="s">
        <v>82</v>
      </c>
      <c r="H720">
        <v>6</v>
      </c>
      <c r="I720" s="12">
        <v>90</v>
      </c>
      <c r="J720" s="12">
        <v>50</v>
      </c>
      <c r="K720">
        <v>1</v>
      </c>
      <c r="L720">
        <v>2</v>
      </c>
      <c r="M720">
        <v>500</v>
      </c>
      <c r="N720" s="12">
        <f>+gemini_code_1787702791259[[#This Row],[Cantidad]]*gemini_code_1787702791259[[#This Row],[Precio_Unitario_USD]]</f>
        <v>540</v>
      </c>
      <c r="O720" s="12">
        <f>+gemini_code_1787702791259[[#This Row],[Cantidad]]*gemini_code_1787702791259[[#This Row],[Costo_Unitario_USD]]</f>
        <v>300</v>
      </c>
      <c r="P720" s="12">
        <f>+gemini_code_1787702791259[[#This Row],[venta total]]-gemini_code_1787702791259[[#This Row],[Costo total]]</f>
        <v>240</v>
      </c>
      <c r="Q720" s="2">
        <f>gemini_code_1787702791259[[#This Row],[Ganancia bruta]]/gemini_code_1787702791259[[#This Row],[venta total]]</f>
        <v>0.44444444444444442</v>
      </c>
      <c r="R720" t="str">
        <f>IF(gemini_code_1787702791259[[#This Row],[Dias_Entrega]]&lt;=gemini_code_1787702791259[[#This Row],[Promesa_SLA_Dias]],"A tiempo","Fuera de SLA")</f>
        <v>A tiempo</v>
      </c>
    </row>
    <row r="721" spans="1:18" x14ac:dyDescent="0.25">
      <c r="A721" t="s">
        <v>83</v>
      </c>
      <c r="B721" s="1">
        <v>46244</v>
      </c>
      <c r="C721" t="s">
        <v>26</v>
      </c>
      <c r="D721" t="s">
        <v>27</v>
      </c>
      <c r="E721" t="s">
        <v>16</v>
      </c>
      <c r="F721" t="s">
        <v>23</v>
      </c>
      <c r="G721" t="s">
        <v>84</v>
      </c>
      <c r="H721">
        <v>6</v>
      </c>
      <c r="I721" s="12">
        <v>60</v>
      </c>
      <c r="J721" s="12">
        <v>28</v>
      </c>
      <c r="K721">
        <v>5</v>
      </c>
      <c r="L721">
        <v>3</v>
      </c>
      <c r="M721">
        <v>350</v>
      </c>
      <c r="N721" s="12">
        <f>+gemini_code_1787702791259[[#This Row],[Cantidad]]*gemini_code_1787702791259[[#This Row],[Precio_Unitario_USD]]</f>
        <v>360</v>
      </c>
      <c r="O721" s="12">
        <f>+gemini_code_1787702791259[[#This Row],[Cantidad]]*gemini_code_1787702791259[[#This Row],[Costo_Unitario_USD]]</f>
        <v>168</v>
      </c>
      <c r="P721" s="12">
        <f>+gemini_code_1787702791259[[#This Row],[venta total]]-gemini_code_1787702791259[[#This Row],[Costo total]]</f>
        <v>192</v>
      </c>
      <c r="Q721" s="2">
        <f>gemini_code_1787702791259[[#This Row],[Ganancia bruta]]/gemini_code_1787702791259[[#This Row],[venta total]]</f>
        <v>0.53333333333333333</v>
      </c>
      <c r="R721" t="str">
        <f>IF(gemini_code_1787702791259[[#This Row],[Dias_Entrega]]&lt;=gemini_code_1787702791259[[#This Row],[Promesa_SLA_Dias]],"A tiempo","Fuera de SLA")</f>
        <v>Fuera de SLA</v>
      </c>
    </row>
    <row r="722" spans="1:18" x14ac:dyDescent="0.25">
      <c r="A722" t="s">
        <v>13</v>
      </c>
      <c r="B722" s="1">
        <v>46235</v>
      </c>
      <c r="C722" t="s">
        <v>14</v>
      </c>
      <c r="D722" t="s">
        <v>15</v>
      </c>
      <c r="E722" t="s">
        <v>16</v>
      </c>
      <c r="F722" t="s">
        <v>17</v>
      </c>
      <c r="G722" t="s">
        <v>18</v>
      </c>
      <c r="H722">
        <v>2</v>
      </c>
      <c r="I722" s="12">
        <v>850</v>
      </c>
      <c r="J722" s="12">
        <v>600</v>
      </c>
      <c r="K722">
        <v>2</v>
      </c>
      <c r="L722">
        <v>3</v>
      </c>
      <c r="M722">
        <v>1500</v>
      </c>
      <c r="N722" s="12">
        <f>+gemini_code_1787702791259[[#This Row],[Cantidad]]*gemini_code_1787702791259[[#This Row],[Precio_Unitario_USD]]</f>
        <v>1700</v>
      </c>
      <c r="O722" s="12">
        <f>+gemini_code_1787702791259[[#This Row],[Cantidad]]*gemini_code_1787702791259[[#This Row],[Costo_Unitario_USD]]</f>
        <v>1200</v>
      </c>
      <c r="P722" s="12">
        <f>+gemini_code_1787702791259[[#This Row],[venta total]]-gemini_code_1787702791259[[#This Row],[Costo total]]</f>
        <v>500</v>
      </c>
      <c r="Q722" s="2">
        <f>gemini_code_1787702791259[[#This Row],[Ganancia bruta]]/gemini_code_1787702791259[[#This Row],[venta total]]</f>
        <v>0.29411764705882354</v>
      </c>
      <c r="R722" t="str">
        <f>IF(gemini_code_1787702791259[[#This Row],[Dias_Entrega]]&lt;=gemini_code_1787702791259[[#This Row],[Promesa_SLA_Dias]],"A tiempo","Fuera de SLA")</f>
        <v>A tiempo</v>
      </c>
    </row>
    <row r="723" spans="1:18" x14ac:dyDescent="0.25">
      <c r="A723" t="s">
        <v>19</v>
      </c>
      <c r="B723" s="1">
        <v>46235</v>
      </c>
      <c r="C723" t="s">
        <v>20</v>
      </c>
      <c r="D723" t="s">
        <v>21</v>
      </c>
      <c r="E723" t="s">
        <v>22</v>
      </c>
      <c r="F723" t="s">
        <v>23</v>
      </c>
      <c r="G723" t="s">
        <v>24</v>
      </c>
      <c r="H723">
        <v>5</v>
      </c>
      <c r="I723" s="12">
        <v>120</v>
      </c>
      <c r="J723" s="12">
        <v>70</v>
      </c>
      <c r="K723">
        <v>3</v>
      </c>
      <c r="L723">
        <v>3</v>
      </c>
      <c r="M723">
        <v>500</v>
      </c>
      <c r="N723" s="12">
        <f>+gemini_code_1787702791259[[#This Row],[Cantidad]]*gemini_code_1787702791259[[#This Row],[Precio_Unitario_USD]]</f>
        <v>600</v>
      </c>
      <c r="O723" s="12">
        <f>+gemini_code_1787702791259[[#This Row],[Cantidad]]*gemini_code_1787702791259[[#This Row],[Costo_Unitario_USD]]</f>
        <v>350</v>
      </c>
      <c r="P723" s="12">
        <f>+gemini_code_1787702791259[[#This Row],[venta total]]-gemini_code_1787702791259[[#This Row],[Costo total]]</f>
        <v>250</v>
      </c>
      <c r="Q723" s="2">
        <f>gemini_code_1787702791259[[#This Row],[Ganancia bruta]]/gemini_code_1787702791259[[#This Row],[venta total]]</f>
        <v>0.41666666666666669</v>
      </c>
      <c r="R723" t="str">
        <f>IF(gemini_code_1787702791259[[#This Row],[Dias_Entrega]]&lt;=gemini_code_1787702791259[[#This Row],[Promesa_SLA_Dias]],"A tiempo","Fuera de SLA")</f>
        <v>A tiempo</v>
      </c>
    </row>
    <row r="724" spans="1:18" x14ac:dyDescent="0.25">
      <c r="A724" t="s">
        <v>25</v>
      </c>
      <c r="B724" s="1">
        <v>46235</v>
      </c>
      <c r="C724" t="s">
        <v>26</v>
      </c>
      <c r="D724" t="s">
        <v>27</v>
      </c>
      <c r="E724" t="s">
        <v>16</v>
      </c>
      <c r="F724" t="s">
        <v>28</v>
      </c>
      <c r="G724" t="s">
        <v>29</v>
      </c>
      <c r="H724">
        <v>3</v>
      </c>
      <c r="I724" s="12">
        <v>90</v>
      </c>
      <c r="J724" s="12">
        <v>50</v>
      </c>
      <c r="K724">
        <v>6</v>
      </c>
      <c r="L724">
        <v>4</v>
      </c>
      <c r="M724">
        <v>300</v>
      </c>
      <c r="N724" s="12">
        <f>+gemini_code_1787702791259[[#This Row],[Cantidad]]*gemini_code_1787702791259[[#This Row],[Precio_Unitario_USD]]</f>
        <v>270</v>
      </c>
      <c r="O724" s="12">
        <f>+gemini_code_1787702791259[[#This Row],[Cantidad]]*gemini_code_1787702791259[[#This Row],[Costo_Unitario_USD]]</f>
        <v>150</v>
      </c>
      <c r="P724" s="12">
        <f>+gemini_code_1787702791259[[#This Row],[venta total]]-gemini_code_1787702791259[[#This Row],[Costo total]]</f>
        <v>120</v>
      </c>
      <c r="Q724" s="2">
        <f>gemini_code_1787702791259[[#This Row],[Ganancia bruta]]/gemini_code_1787702791259[[#This Row],[venta total]]</f>
        <v>0.44444444444444442</v>
      </c>
      <c r="R724" t="str">
        <f>IF(gemini_code_1787702791259[[#This Row],[Dias_Entrega]]&lt;=gemini_code_1787702791259[[#This Row],[Promesa_SLA_Dias]],"A tiempo","Fuera de SLA")</f>
        <v>Fuera de SLA</v>
      </c>
    </row>
    <row r="725" spans="1:18" x14ac:dyDescent="0.25">
      <c r="A725" t="s">
        <v>30</v>
      </c>
      <c r="B725" s="1">
        <v>46236</v>
      </c>
      <c r="C725" t="s">
        <v>14</v>
      </c>
      <c r="D725" t="s">
        <v>15</v>
      </c>
      <c r="E725" t="s">
        <v>22</v>
      </c>
      <c r="F725" t="s">
        <v>31</v>
      </c>
      <c r="G725" t="s">
        <v>32</v>
      </c>
      <c r="H725">
        <v>4</v>
      </c>
      <c r="I725" s="12">
        <v>110</v>
      </c>
      <c r="J725" s="12">
        <v>60</v>
      </c>
      <c r="K725">
        <v>1</v>
      </c>
      <c r="L725">
        <v>2</v>
      </c>
      <c r="M725">
        <v>400</v>
      </c>
      <c r="N725" s="12">
        <f>+gemini_code_1787702791259[[#This Row],[Cantidad]]*gemini_code_1787702791259[[#This Row],[Precio_Unitario_USD]]</f>
        <v>440</v>
      </c>
      <c r="O725" s="12">
        <f>+gemini_code_1787702791259[[#This Row],[Cantidad]]*gemini_code_1787702791259[[#This Row],[Costo_Unitario_USD]]</f>
        <v>240</v>
      </c>
      <c r="P725" s="12">
        <f>+gemini_code_1787702791259[[#This Row],[venta total]]-gemini_code_1787702791259[[#This Row],[Costo total]]</f>
        <v>200</v>
      </c>
      <c r="Q725" s="2">
        <f>gemini_code_1787702791259[[#This Row],[Ganancia bruta]]/gemini_code_1787702791259[[#This Row],[venta total]]</f>
        <v>0.45454545454545453</v>
      </c>
      <c r="R725" t="str">
        <f>IF(gemini_code_1787702791259[[#This Row],[Dias_Entrega]]&lt;=gemini_code_1787702791259[[#This Row],[Promesa_SLA_Dias]],"A tiempo","Fuera de SLA")</f>
        <v>A tiempo</v>
      </c>
    </row>
    <row r="726" spans="1:18" x14ac:dyDescent="0.25">
      <c r="A726" t="s">
        <v>33</v>
      </c>
      <c r="B726" s="1">
        <v>46236</v>
      </c>
      <c r="C726" t="s">
        <v>20</v>
      </c>
      <c r="D726" t="s">
        <v>21</v>
      </c>
      <c r="E726" t="s">
        <v>16</v>
      </c>
      <c r="F726" t="s">
        <v>17</v>
      </c>
      <c r="G726" t="s">
        <v>34</v>
      </c>
      <c r="H726">
        <v>3</v>
      </c>
      <c r="I726" s="12">
        <v>650</v>
      </c>
      <c r="J726" s="12">
        <v>450</v>
      </c>
      <c r="K726">
        <v>2</v>
      </c>
      <c r="L726">
        <v>3</v>
      </c>
      <c r="M726">
        <v>1800</v>
      </c>
      <c r="N726" s="12">
        <f>+gemini_code_1787702791259[[#This Row],[Cantidad]]*gemini_code_1787702791259[[#This Row],[Precio_Unitario_USD]]</f>
        <v>1950</v>
      </c>
      <c r="O726" s="12">
        <f>+gemini_code_1787702791259[[#This Row],[Cantidad]]*gemini_code_1787702791259[[#This Row],[Costo_Unitario_USD]]</f>
        <v>1350</v>
      </c>
      <c r="P726" s="12">
        <f>+gemini_code_1787702791259[[#This Row],[venta total]]-gemini_code_1787702791259[[#This Row],[Costo total]]</f>
        <v>600</v>
      </c>
      <c r="Q726" s="2">
        <f>gemini_code_1787702791259[[#This Row],[Ganancia bruta]]/gemini_code_1787702791259[[#This Row],[venta total]]</f>
        <v>0.30769230769230771</v>
      </c>
      <c r="R726" t="str">
        <f>IF(gemini_code_1787702791259[[#This Row],[Dias_Entrega]]&lt;=gemini_code_1787702791259[[#This Row],[Promesa_SLA_Dias]],"A tiempo","Fuera de SLA")</f>
        <v>A tiempo</v>
      </c>
    </row>
    <row r="727" spans="1:18" x14ac:dyDescent="0.25">
      <c r="A727" t="s">
        <v>35</v>
      </c>
      <c r="B727" s="1">
        <v>46236</v>
      </c>
      <c r="C727" t="s">
        <v>26</v>
      </c>
      <c r="D727" t="s">
        <v>27</v>
      </c>
      <c r="E727" t="s">
        <v>16</v>
      </c>
      <c r="F727" t="s">
        <v>23</v>
      </c>
      <c r="G727" t="s">
        <v>36</v>
      </c>
      <c r="H727">
        <v>8</v>
      </c>
      <c r="I727" s="12">
        <v>45</v>
      </c>
      <c r="J727" s="12">
        <v>20</v>
      </c>
      <c r="K727">
        <v>5</v>
      </c>
      <c r="L727">
        <v>3</v>
      </c>
      <c r="M727">
        <v>400</v>
      </c>
      <c r="N727" s="12">
        <f>+gemini_code_1787702791259[[#This Row],[Cantidad]]*gemini_code_1787702791259[[#This Row],[Precio_Unitario_USD]]</f>
        <v>360</v>
      </c>
      <c r="O727" s="12">
        <f>+gemini_code_1787702791259[[#This Row],[Cantidad]]*gemini_code_1787702791259[[#This Row],[Costo_Unitario_USD]]</f>
        <v>160</v>
      </c>
      <c r="P727" s="12">
        <f>+gemini_code_1787702791259[[#This Row],[venta total]]-gemini_code_1787702791259[[#This Row],[Costo total]]</f>
        <v>200</v>
      </c>
      <c r="Q727" s="2">
        <f>gemini_code_1787702791259[[#This Row],[Ganancia bruta]]/gemini_code_1787702791259[[#This Row],[venta total]]</f>
        <v>0.55555555555555558</v>
      </c>
      <c r="R727" t="str">
        <f>IF(gemini_code_1787702791259[[#This Row],[Dias_Entrega]]&lt;=gemini_code_1787702791259[[#This Row],[Promesa_SLA_Dias]],"A tiempo","Fuera de SLA")</f>
        <v>Fuera de SLA</v>
      </c>
    </row>
    <row r="728" spans="1:18" x14ac:dyDescent="0.25">
      <c r="A728" t="s">
        <v>37</v>
      </c>
      <c r="B728" s="1">
        <v>46237</v>
      </c>
      <c r="C728" t="s">
        <v>14</v>
      </c>
      <c r="D728" t="s">
        <v>15</v>
      </c>
      <c r="E728" t="s">
        <v>16</v>
      </c>
      <c r="F728" t="s">
        <v>28</v>
      </c>
      <c r="G728" t="s">
        <v>38</v>
      </c>
      <c r="H728">
        <v>2</v>
      </c>
      <c r="I728" s="12">
        <v>280</v>
      </c>
      <c r="J728" s="12">
        <v>180</v>
      </c>
      <c r="K728">
        <v>3</v>
      </c>
      <c r="L728">
        <v>3</v>
      </c>
      <c r="M728">
        <v>500</v>
      </c>
      <c r="N728" s="12">
        <f>+gemini_code_1787702791259[[#This Row],[Cantidad]]*gemini_code_1787702791259[[#This Row],[Precio_Unitario_USD]]</f>
        <v>560</v>
      </c>
      <c r="O728" s="12">
        <f>+gemini_code_1787702791259[[#This Row],[Cantidad]]*gemini_code_1787702791259[[#This Row],[Costo_Unitario_USD]]</f>
        <v>360</v>
      </c>
      <c r="P728" s="12">
        <f>+gemini_code_1787702791259[[#This Row],[venta total]]-gemini_code_1787702791259[[#This Row],[Costo total]]</f>
        <v>200</v>
      </c>
      <c r="Q728" s="2">
        <f>gemini_code_1787702791259[[#This Row],[Ganancia bruta]]/gemini_code_1787702791259[[#This Row],[venta total]]</f>
        <v>0.35714285714285715</v>
      </c>
      <c r="R728" t="str">
        <f>IF(gemini_code_1787702791259[[#This Row],[Dias_Entrega]]&lt;=gemini_code_1787702791259[[#This Row],[Promesa_SLA_Dias]],"A tiempo","Fuera de SLA")</f>
        <v>A tiempo</v>
      </c>
    </row>
    <row r="729" spans="1:18" x14ac:dyDescent="0.25">
      <c r="A729" t="s">
        <v>39</v>
      </c>
      <c r="B729" s="1">
        <v>46237</v>
      </c>
      <c r="C729" t="s">
        <v>20</v>
      </c>
      <c r="D729" t="s">
        <v>21</v>
      </c>
      <c r="E729" t="s">
        <v>22</v>
      </c>
      <c r="F729" t="s">
        <v>31</v>
      </c>
      <c r="G729" t="s">
        <v>40</v>
      </c>
      <c r="H729">
        <v>3</v>
      </c>
      <c r="I729" s="12">
        <v>150</v>
      </c>
      <c r="J729" s="12">
        <v>85</v>
      </c>
      <c r="K729">
        <v>2</v>
      </c>
      <c r="L729">
        <v>2</v>
      </c>
      <c r="M729">
        <v>400</v>
      </c>
      <c r="N729" s="12">
        <f>+gemini_code_1787702791259[[#This Row],[Cantidad]]*gemini_code_1787702791259[[#This Row],[Precio_Unitario_USD]]</f>
        <v>450</v>
      </c>
      <c r="O729" s="12">
        <f>+gemini_code_1787702791259[[#This Row],[Cantidad]]*gemini_code_1787702791259[[#This Row],[Costo_Unitario_USD]]</f>
        <v>255</v>
      </c>
      <c r="P729" s="12">
        <f>+gemini_code_1787702791259[[#This Row],[venta total]]-gemini_code_1787702791259[[#This Row],[Costo total]]</f>
        <v>195</v>
      </c>
      <c r="Q729" s="2">
        <f>gemini_code_1787702791259[[#This Row],[Ganancia bruta]]/gemini_code_1787702791259[[#This Row],[venta total]]</f>
        <v>0.43333333333333335</v>
      </c>
      <c r="R729" t="str">
        <f>IF(gemini_code_1787702791259[[#This Row],[Dias_Entrega]]&lt;=gemini_code_1787702791259[[#This Row],[Promesa_SLA_Dias]],"A tiempo","Fuera de SLA")</f>
        <v>A tiempo</v>
      </c>
    </row>
    <row r="730" spans="1:18" x14ac:dyDescent="0.25">
      <c r="A730" t="s">
        <v>41</v>
      </c>
      <c r="B730" s="1">
        <v>46237</v>
      </c>
      <c r="C730" t="s">
        <v>26</v>
      </c>
      <c r="D730" t="s">
        <v>27</v>
      </c>
      <c r="E730" t="s">
        <v>16</v>
      </c>
      <c r="F730" t="s">
        <v>17</v>
      </c>
      <c r="G730" t="s">
        <v>42</v>
      </c>
      <c r="H730">
        <v>2</v>
      </c>
      <c r="I730" s="12">
        <v>520</v>
      </c>
      <c r="J730" s="12">
        <v>380</v>
      </c>
      <c r="K730">
        <v>7</v>
      </c>
      <c r="L730">
        <v>4</v>
      </c>
      <c r="M730">
        <v>1000</v>
      </c>
      <c r="N730" s="12">
        <f>+gemini_code_1787702791259[[#This Row],[Cantidad]]*gemini_code_1787702791259[[#This Row],[Precio_Unitario_USD]]</f>
        <v>1040</v>
      </c>
      <c r="O730" s="12">
        <f>+gemini_code_1787702791259[[#This Row],[Cantidad]]*gemini_code_1787702791259[[#This Row],[Costo_Unitario_USD]]</f>
        <v>760</v>
      </c>
      <c r="P730" s="12">
        <f>+gemini_code_1787702791259[[#This Row],[venta total]]-gemini_code_1787702791259[[#This Row],[Costo total]]</f>
        <v>280</v>
      </c>
      <c r="Q730" s="2">
        <f>gemini_code_1787702791259[[#This Row],[Ganancia bruta]]/gemini_code_1787702791259[[#This Row],[venta total]]</f>
        <v>0.26923076923076922</v>
      </c>
      <c r="R730" t="str">
        <f>IF(gemini_code_1787702791259[[#This Row],[Dias_Entrega]]&lt;=gemini_code_1787702791259[[#This Row],[Promesa_SLA_Dias]],"A tiempo","Fuera de SLA")</f>
        <v>Fuera de SLA</v>
      </c>
    </row>
    <row r="731" spans="1:18" x14ac:dyDescent="0.25">
      <c r="A731" t="s">
        <v>43</v>
      </c>
      <c r="B731" s="1">
        <v>46238</v>
      </c>
      <c r="C731" t="s">
        <v>14</v>
      </c>
      <c r="D731" t="s">
        <v>15</v>
      </c>
      <c r="E731" t="s">
        <v>22</v>
      </c>
      <c r="F731" t="s">
        <v>23</v>
      </c>
      <c r="G731" t="s">
        <v>44</v>
      </c>
      <c r="H731">
        <v>6</v>
      </c>
      <c r="I731" s="12">
        <v>55</v>
      </c>
      <c r="J731" s="12">
        <v>25</v>
      </c>
      <c r="K731">
        <v>2</v>
      </c>
      <c r="L731">
        <v>3</v>
      </c>
      <c r="M731">
        <v>300</v>
      </c>
      <c r="N731" s="12">
        <f>+gemini_code_1787702791259[[#This Row],[Cantidad]]*gemini_code_1787702791259[[#This Row],[Precio_Unitario_USD]]</f>
        <v>330</v>
      </c>
      <c r="O731" s="12">
        <f>+gemini_code_1787702791259[[#This Row],[Cantidad]]*gemini_code_1787702791259[[#This Row],[Costo_Unitario_USD]]</f>
        <v>150</v>
      </c>
      <c r="P731" s="12">
        <f>+gemini_code_1787702791259[[#This Row],[venta total]]-gemini_code_1787702791259[[#This Row],[Costo total]]</f>
        <v>180</v>
      </c>
      <c r="Q731" s="2">
        <f>gemini_code_1787702791259[[#This Row],[Ganancia bruta]]/gemini_code_1787702791259[[#This Row],[venta total]]</f>
        <v>0.54545454545454541</v>
      </c>
      <c r="R731" t="str">
        <f>IF(gemini_code_1787702791259[[#This Row],[Dias_Entrega]]&lt;=gemini_code_1787702791259[[#This Row],[Promesa_SLA_Dias]],"A tiempo","Fuera de SLA")</f>
        <v>A tiempo</v>
      </c>
    </row>
    <row r="732" spans="1:18" x14ac:dyDescent="0.25">
      <c r="A732" t="s">
        <v>45</v>
      </c>
      <c r="B732" s="1">
        <v>46238</v>
      </c>
      <c r="C732" t="s">
        <v>20</v>
      </c>
      <c r="D732" t="s">
        <v>21</v>
      </c>
      <c r="E732" t="s">
        <v>16</v>
      </c>
      <c r="F732" t="s">
        <v>28</v>
      </c>
      <c r="G732" t="s">
        <v>46</v>
      </c>
      <c r="H732">
        <v>1</v>
      </c>
      <c r="I732" s="12">
        <v>450</v>
      </c>
      <c r="J732" s="12">
        <v>290</v>
      </c>
      <c r="K732">
        <v>4</v>
      </c>
      <c r="L732">
        <v>3</v>
      </c>
      <c r="M732">
        <v>400</v>
      </c>
      <c r="N732" s="12">
        <f>+gemini_code_1787702791259[[#This Row],[Cantidad]]*gemini_code_1787702791259[[#This Row],[Precio_Unitario_USD]]</f>
        <v>450</v>
      </c>
      <c r="O732" s="12">
        <f>+gemini_code_1787702791259[[#This Row],[Cantidad]]*gemini_code_1787702791259[[#This Row],[Costo_Unitario_USD]]</f>
        <v>290</v>
      </c>
      <c r="P732" s="12">
        <f>+gemini_code_1787702791259[[#This Row],[venta total]]-gemini_code_1787702791259[[#This Row],[Costo total]]</f>
        <v>160</v>
      </c>
      <c r="Q732" s="2">
        <f>gemini_code_1787702791259[[#This Row],[Ganancia bruta]]/gemini_code_1787702791259[[#This Row],[venta total]]</f>
        <v>0.35555555555555557</v>
      </c>
      <c r="R732" t="str">
        <f>IF(gemini_code_1787702791259[[#This Row],[Dias_Entrega]]&lt;=gemini_code_1787702791259[[#This Row],[Promesa_SLA_Dias]],"A tiempo","Fuera de SLA")</f>
        <v>Fuera de SLA</v>
      </c>
    </row>
    <row r="733" spans="1:18" x14ac:dyDescent="0.25">
      <c r="A733" t="s">
        <v>47</v>
      </c>
      <c r="B733" s="1">
        <v>46238</v>
      </c>
      <c r="C733" t="s">
        <v>26</v>
      </c>
      <c r="D733" t="s">
        <v>27</v>
      </c>
      <c r="E733" t="s">
        <v>22</v>
      </c>
      <c r="F733" t="s">
        <v>31</v>
      </c>
      <c r="G733" t="s">
        <v>48</v>
      </c>
      <c r="H733">
        <v>10</v>
      </c>
      <c r="I733" s="12">
        <v>35</v>
      </c>
      <c r="J733" s="12">
        <v>15</v>
      </c>
      <c r="K733">
        <v>4</v>
      </c>
      <c r="L733">
        <v>3</v>
      </c>
      <c r="M733">
        <v>300</v>
      </c>
      <c r="N733" s="12">
        <f>+gemini_code_1787702791259[[#This Row],[Cantidad]]*gemini_code_1787702791259[[#This Row],[Precio_Unitario_USD]]</f>
        <v>350</v>
      </c>
      <c r="O733" s="12">
        <f>+gemini_code_1787702791259[[#This Row],[Cantidad]]*gemini_code_1787702791259[[#This Row],[Costo_Unitario_USD]]</f>
        <v>150</v>
      </c>
      <c r="P733" s="12">
        <f>+gemini_code_1787702791259[[#This Row],[venta total]]-gemini_code_1787702791259[[#This Row],[Costo total]]</f>
        <v>200</v>
      </c>
      <c r="Q733" s="2">
        <f>gemini_code_1787702791259[[#This Row],[Ganancia bruta]]/gemini_code_1787702791259[[#This Row],[venta total]]</f>
        <v>0.5714285714285714</v>
      </c>
      <c r="R733" t="str">
        <f>IF(gemini_code_1787702791259[[#This Row],[Dias_Entrega]]&lt;=gemini_code_1787702791259[[#This Row],[Promesa_SLA_Dias]],"A tiempo","Fuera de SLA")</f>
        <v>Fuera de SLA</v>
      </c>
    </row>
    <row r="734" spans="1:18" x14ac:dyDescent="0.25">
      <c r="A734" t="s">
        <v>49</v>
      </c>
      <c r="B734" s="1">
        <v>46239</v>
      </c>
      <c r="C734" t="s">
        <v>14</v>
      </c>
      <c r="D734" t="s">
        <v>15</v>
      </c>
      <c r="E734" t="s">
        <v>16</v>
      </c>
      <c r="F734" t="s">
        <v>17</v>
      </c>
      <c r="G734" t="s">
        <v>50</v>
      </c>
      <c r="H734">
        <v>4</v>
      </c>
      <c r="I734" s="12">
        <v>220</v>
      </c>
      <c r="J734" s="12">
        <v>140</v>
      </c>
      <c r="K734">
        <v>2</v>
      </c>
      <c r="L734">
        <v>3</v>
      </c>
      <c r="M734">
        <v>800</v>
      </c>
      <c r="N734" s="12">
        <f>+gemini_code_1787702791259[[#This Row],[Cantidad]]*gemini_code_1787702791259[[#This Row],[Precio_Unitario_USD]]</f>
        <v>880</v>
      </c>
      <c r="O734" s="12">
        <f>+gemini_code_1787702791259[[#This Row],[Cantidad]]*gemini_code_1787702791259[[#This Row],[Costo_Unitario_USD]]</f>
        <v>560</v>
      </c>
      <c r="P734" s="12">
        <f>+gemini_code_1787702791259[[#This Row],[venta total]]-gemini_code_1787702791259[[#This Row],[Costo total]]</f>
        <v>320</v>
      </c>
      <c r="Q734" s="2">
        <f>gemini_code_1787702791259[[#This Row],[Ganancia bruta]]/gemini_code_1787702791259[[#This Row],[venta total]]</f>
        <v>0.36363636363636365</v>
      </c>
      <c r="R734" t="str">
        <f>IF(gemini_code_1787702791259[[#This Row],[Dias_Entrega]]&lt;=gemini_code_1787702791259[[#This Row],[Promesa_SLA_Dias]],"A tiempo","Fuera de SLA")</f>
        <v>A tiempo</v>
      </c>
    </row>
    <row r="735" spans="1:18" x14ac:dyDescent="0.25">
      <c r="A735" t="s">
        <v>51</v>
      </c>
      <c r="B735" s="1">
        <v>46239</v>
      </c>
      <c r="C735" t="s">
        <v>20</v>
      </c>
      <c r="D735" t="s">
        <v>21</v>
      </c>
      <c r="E735" t="s">
        <v>16</v>
      </c>
      <c r="F735" t="s">
        <v>23</v>
      </c>
      <c r="G735" t="s">
        <v>52</v>
      </c>
      <c r="H735">
        <v>5</v>
      </c>
      <c r="I735" s="12">
        <v>65</v>
      </c>
      <c r="J735" s="12">
        <v>30</v>
      </c>
      <c r="K735">
        <v>2</v>
      </c>
      <c r="L735">
        <v>3</v>
      </c>
      <c r="M735">
        <v>300</v>
      </c>
      <c r="N735" s="12">
        <f>+gemini_code_1787702791259[[#This Row],[Cantidad]]*gemini_code_1787702791259[[#This Row],[Precio_Unitario_USD]]</f>
        <v>325</v>
      </c>
      <c r="O735" s="12">
        <f>+gemini_code_1787702791259[[#This Row],[Cantidad]]*gemini_code_1787702791259[[#This Row],[Costo_Unitario_USD]]</f>
        <v>150</v>
      </c>
      <c r="P735" s="12">
        <f>+gemini_code_1787702791259[[#This Row],[venta total]]-gemini_code_1787702791259[[#This Row],[Costo total]]</f>
        <v>175</v>
      </c>
      <c r="Q735" s="2">
        <f>gemini_code_1787702791259[[#This Row],[Ganancia bruta]]/gemini_code_1787702791259[[#This Row],[venta total]]</f>
        <v>0.53846153846153844</v>
      </c>
      <c r="R735" t="str">
        <f>IF(gemini_code_1787702791259[[#This Row],[Dias_Entrega]]&lt;=gemini_code_1787702791259[[#This Row],[Promesa_SLA_Dias]],"A tiempo","Fuera de SLA")</f>
        <v>A tiempo</v>
      </c>
    </row>
    <row r="736" spans="1:18" x14ac:dyDescent="0.25">
      <c r="A736" t="s">
        <v>53</v>
      </c>
      <c r="B736" s="1">
        <v>46239</v>
      </c>
      <c r="C736" t="s">
        <v>26</v>
      </c>
      <c r="D736" t="s">
        <v>27</v>
      </c>
      <c r="E736" t="s">
        <v>16</v>
      </c>
      <c r="F736" t="s">
        <v>28</v>
      </c>
      <c r="G736" t="s">
        <v>54</v>
      </c>
      <c r="H736">
        <v>2</v>
      </c>
      <c r="I736" s="12">
        <v>180</v>
      </c>
      <c r="J736" s="12">
        <v>110</v>
      </c>
      <c r="K736">
        <v>6</v>
      </c>
      <c r="L736">
        <v>3</v>
      </c>
      <c r="M736">
        <v>350</v>
      </c>
      <c r="N736" s="12">
        <f>+gemini_code_1787702791259[[#This Row],[Cantidad]]*gemini_code_1787702791259[[#This Row],[Precio_Unitario_USD]]</f>
        <v>360</v>
      </c>
      <c r="O736" s="12">
        <f>+gemini_code_1787702791259[[#This Row],[Cantidad]]*gemini_code_1787702791259[[#This Row],[Costo_Unitario_USD]]</f>
        <v>220</v>
      </c>
      <c r="P736" s="12">
        <f>+gemini_code_1787702791259[[#This Row],[venta total]]-gemini_code_1787702791259[[#This Row],[Costo total]]</f>
        <v>140</v>
      </c>
      <c r="Q736" s="2">
        <f>gemini_code_1787702791259[[#This Row],[Ganancia bruta]]/gemini_code_1787702791259[[#This Row],[venta total]]</f>
        <v>0.3888888888888889</v>
      </c>
      <c r="R736" t="str">
        <f>IF(gemini_code_1787702791259[[#This Row],[Dias_Entrega]]&lt;=gemini_code_1787702791259[[#This Row],[Promesa_SLA_Dias]],"A tiempo","Fuera de SLA")</f>
        <v>Fuera de SLA</v>
      </c>
    </row>
    <row r="737" spans="1:18" x14ac:dyDescent="0.25">
      <c r="A737" t="s">
        <v>55</v>
      </c>
      <c r="B737" s="1">
        <v>46240</v>
      </c>
      <c r="C737" t="s">
        <v>14</v>
      </c>
      <c r="D737" t="s">
        <v>15</v>
      </c>
      <c r="E737" t="s">
        <v>22</v>
      </c>
      <c r="F737" t="s">
        <v>31</v>
      </c>
      <c r="G737" t="s">
        <v>56</v>
      </c>
      <c r="H737">
        <v>6</v>
      </c>
      <c r="I737" s="12">
        <v>85</v>
      </c>
      <c r="J737" s="12">
        <v>45</v>
      </c>
      <c r="K737">
        <v>1</v>
      </c>
      <c r="L737">
        <v>2</v>
      </c>
      <c r="M737">
        <v>500</v>
      </c>
      <c r="N737" s="12">
        <f>+gemini_code_1787702791259[[#This Row],[Cantidad]]*gemini_code_1787702791259[[#This Row],[Precio_Unitario_USD]]</f>
        <v>510</v>
      </c>
      <c r="O737" s="12">
        <f>+gemini_code_1787702791259[[#This Row],[Cantidad]]*gemini_code_1787702791259[[#This Row],[Costo_Unitario_USD]]</f>
        <v>270</v>
      </c>
      <c r="P737" s="12">
        <f>+gemini_code_1787702791259[[#This Row],[venta total]]-gemini_code_1787702791259[[#This Row],[Costo total]]</f>
        <v>240</v>
      </c>
      <c r="Q737" s="2">
        <f>gemini_code_1787702791259[[#This Row],[Ganancia bruta]]/gemini_code_1787702791259[[#This Row],[venta total]]</f>
        <v>0.47058823529411764</v>
      </c>
      <c r="R737" t="str">
        <f>IF(gemini_code_1787702791259[[#This Row],[Dias_Entrega]]&lt;=gemini_code_1787702791259[[#This Row],[Promesa_SLA_Dias]],"A tiempo","Fuera de SLA")</f>
        <v>A tiempo</v>
      </c>
    </row>
    <row r="738" spans="1:18" x14ac:dyDescent="0.25">
      <c r="A738" t="s">
        <v>57</v>
      </c>
      <c r="B738" s="1">
        <v>46240</v>
      </c>
      <c r="C738" t="s">
        <v>20</v>
      </c>
      <c r="D738" t="s">
        <v>21</v>
      </c>
      <c r="E738" t="s">
        <v>16</v>
      </c>
      <c r="F738" t="s">
        <v>17</v>
      </c>
      <c r="G738" t="s">
        <v>58</v>
      </c>
      <c r="H738">
        <v>12</v>
      </c>
      <c r="I738" s="12">
        <v>75</v>
      </c>
      <c r="J738" s="12">
        <v>35</v>
      </c>
      <c r="K738">
        <v>1</v>
      </c>
      <c r="L738">
        <v>2</v>
      </c>
      <c r="M738">
        <v>800</v>
      </c>
      <c r="N738" s="12">
        <f>+gemini_code_1787702791259[[#This Row],[Cantidad]]*gemini_code_1787702791259[[#This Row],[Precio_Unitario_USD]]</f>
        <v>900</v>
      </c>
      <c r="O738" s="12">
        <f>+gemini_code_1787702791259[[#This Row],[Cantidad]]*gemini_code_1787702791259[[#This Row],[Costo_Unitario_USD]]</f>
        <v>420</v>
      </c>
      <c r="P738" s="12">
        <f>+gemini_code_1787702791259[[#This Row],[venta total]]-gemini_code_1787702791259[[#This Row],[Costo total]]</f>
        <v>480</v>
      </c>
      <c r="Q738" s="2">
        <f>gemini_code_1787702791259[[#This Row],[Ganancia bruta]]/gemini_code_1787702791259[[#This Row],[venta total]]</f>
        <v>0.53333333333333333</v>
      </c>
      <c r="R738" t="str">
        <f>IF(gemini_code_1787702791259[[#This Row],[Dias_Entrega]]&lt;=gemini_code_1787702791259[[#This Row],[Promesa_SLA_Dias]],"A tiempo","Fuera de SLA")</f>
        <v>A tiempo</v>
      </c>
    </row>
    <row r="739" spans="1:18" x14ac:dyDescent="0.25">
      <c r="A739" t="s">
        <v>59</v>
      </c>
      <c r="B739" s="1">
        <v>46240</v>
      </c>
      <c r="C739" t="s">
        <v>26</v>
      </c>
      <c r="D739" t="s">
        <v>27</v>
      </c>
      <c r="E739" t="s">
        <v>22</v>
      </c>
      <c r="F739" t="s">
        <v>23</v>
      </c>
      <c r="G739" t="s">
        <v>60</v>
      </c>
      <c r="H739">
        <v>4</v>
      </c>
      <c r="I739" s="12">
        <v>110</v>
      </c>
      <c r="J739" s="12">
        <v>55</v>
      </c>
      <c r="K739">
        <v>5</v>
      </c>
      <c r="L739">
        <v>3</v>
      </c>
      <c r="M739">
        <v>400</v>
      </c>
      <c r="N739" s="12">
        <f>+gemini_code_1787702791259[[#This Row],[Cantidad]]*gemini_code_1787702791259[[#This Row],[Precio_Unitario_USD]]</f>
        <v>440</v>
      </c>
      <c r="O739" s="12">
        <f>+gemini_code_1787702791259[[#This Row],[Cantidad]]*gemini_code_1787702791259[[#This Row],[Costo_Unitario_USD]]</f>
        <v>220</v>
      </c>
      <c r="P739" s="12">
        <f>+gemini_code_1787702791259[[#This Row],[venta total]]-gemini_code_1787702791259[[#This Row],[Costo total]]</f>
        <v>220</v>
      </c>
      <c r="Q739" s="2">
        <f>gemini_code_1787702791259[[#This Row],[Ganancia bruta]]/gemini_code_1787702791259[[#This Row],[venta total]]</f>
        <v>0.5</v>
      </c>
      <c r="R739" t="str">
        <f>IF(gemini_code_1787702791259[[#This Row],[Dias_Entrega]]&lt;=gemini_code_1787702791259[[#This Row],[Promesa_SLA_Dias]],"A tiempo","Fuera de SLA")</f>
        <v>Fuera de SLA</v>
      </c>
    </row>
    <row r="740" spans="1:18" x14ac:dyDescent="0.25">
      <c r="A740" t="s">
        <v>61</v>
      </c>
      <c r="B740" s="1">
        <v>46241</v>
      </c>
      <c r="C740" t="s">
        <v>14</v>
      </c>
      <c r="D740" t="s">
        <v>15</v>
      </c>
      <c r="E740" t="s">
        <v>16</v>
      </c>
      <c r="F740" t="s">
        <v>28</v>
      </c>
      <c r="G740" t="s">
        <v>62</v>
      </c>
      <c r="H740">
        <v>15</v>
      </c>
      <c r="I740" s="12">
        <v>25</v>
      </c>
      <c r="J740" s="12">
        <v>10</v>
      </c>
      <c r="K740">
        <v>2</v>
      </c>
      <c r="L740">
        <v>3</v>
      </c>
      <c r="M740">
        <v>300</v>
      </c>
      <c r="N740" s="12">
        <f>+gemini_code_1787702791259[[#This Row],[Cantidad]]*gemini_code_1787702791259[[#This Row],[Precio_Unitario_USD]]</f>
        <v>375</v>
      </c>
      <c r="O740" s="12">
        <f>+gemini_code_1787702791259[[#This Row],[Cantidad]]*gemini_code_1787702791259[[#This Row],[Costo_Unitario_USD]]</f>
        <v>150</v>
      </c>
      <c r="P740" s="12">
        <f>+gemini_code_1787702791259[[#This Row],[venta total]]-gemini_code_1787702791259[[#This Row],[Costo total]]</f>
        <v>225</v>
      </c>
      <c r="Q740" s="2">
        <f>gemini_code_1787702791259[[#This Row],[Ganancia bruta]]/gemini_code_1787702791259[[#This Row],[venta total]]</f>
        <v>0.6</v>
      </c>
      <c r="R740" t="str">
        <f>IF(gemini_code_1787702791259[[#This Row],[Dias_Entrega]]&lt;=gemini_code_1787702791259[[#This Row],[Promesa_SLA_Dias]],"A tiempo","Fuera de SLA")</f>
        <v>A tiempo</v>
      </c>
    </row>
    <row r="741" spans="1:18" x14ac:dyDescent="0.25">
      <c r="A741" t="s">
        <v>63</v>
      </c>
      <c r="B741" s="1">
        <v>46241</v>
      </c>
      <c r="C741" t="s">
        <v>20</v>
      </c>
      <c r="D741" t="s">
        <v>21</v>
      </c>
      <c r="E741" t="s">
        <v>22</v>
      </c>
      <c r="F741" t="s">
        <v>31</v>
      </c>
      <c r="G741" t="s">
        <v>64</v>
      </c>
      <c r="H741">
        <v>5</v>
      </c>
      <c r="I741" s="12">
        <v>130</v>
      </c>
      <c r="J741" s="12">
        <v>70</v>
      </c>
      <c r="K741">
        <v>3</v>
      </c>
      <c r="L741">
        <v>3</v>
      </c>
      <c r="M741">
        <v>600</v>
      </c>
      <c r="N741" s="12">
        <f>+gemini_code_1787702791259[[#This Row],[Cantidad]]*gemini_code_1787702791259[[#This Row],[Precio_Unitario_USD]]</f>
        <v>650</v>
      </c>
      <c r="O741" s="12">
        <f>+gemini_code_1787702791259[[#This Row],[Cantidad]]*gemini_code_1787702791259[[#This Row],[Costo_Unitario_USD]]</f>
        <v>350</v>
      </c>
      <c r="P741" s="12">
        <f>+gemini_code_1787702791259[[#This Row],[venta total]]-gemini_code_1787702791259[[#This Row],[Costo total]]</f>
        <v>300</v>
      </c>
      <c r="Q741" s="2">
        <f>gemini_code_1787702791259[[#This Row],[Ganancia bruta]]/gemini_code_1787702791259[[#This Row],[venta total]]</f>
        <v>0.46153846153846156</v>
      </c>
      <c r="R741" t="str">
        <f>IF(gemini_code_1787702791259[[#This Row],[Dias_Entrega]]&lt;=gemini_code_1787702791259[[#This Row],[Promesa_SLA_Dias]],"A tiempo","Fuera de SLA")</f>
        <v>A tiempo</v>
      </c>
    </row>
    <row r="742" spans="1:18" x14ac:dyDescent="0.25">
      <c r="A742" t="s">
        <v>65</v>
      </c>
      <c r="B742" s="1">
        <v>46241</v>
      </c>
      <c r="C742" t="s">
        <v>26</v>
      </c>
      <c r="D742" t="s">
        <v>27</v>
      </c>
      <c r="E742" t="s">
        <v>16</v>
      </c>
      <c r="F742" t="s">
        <v>17</v>
      </c>
      <c r="G742" t="s">
        <v>66</v>
      </c>
      <c r="H742">
        <v>2</v>
      </c>
      <c r="I742" s="12">
        <v>500</v>
      </c>
      <c r="J742" s="12">
        <v>380</v>
      </c>
      <c r="K742">
        <v>6</v>
      </c>
      <c r="L742">
        <v>4</v>
      </c>
      <c r="M742">
        <v>900</v>
      </c>
      <c r="N742" s="12">
        <f>+gemini_code_1787702791259[[#This Row],[Cantidad]]*gemini_code_1787702791259[[#This Row],[Precio_Unitario_USD]]</f>
        <v>1000</v>
      </c>
      <c r="O742" s="12">
        <f>+gemini_code_1787702791259[[#This Row],[Cantidad]]*gemini_code_1787702791259[[#This Row],[Costo_Unitario_USD]]</f>
        <v>760</v>
      </c>
      <c r="P742" s="12">
        <f>+gemini_code_1787702791259[[#This Row],[venta total]]-gemini_code_1787702791259[[#This Row],[Costo total]]</f>
        <v>240</v>
      </c>
      <c r="Q742" s="2">
        <f>gemini_code_1787702791259[[#This Row],[Ganancia bruta]]/gemini_code_1787702791259[[#This Row],[venta total]]</f>
        <v>0.24</v>
      </c>
      <c r="R742" t="str">
        <f>IF(gemini_code_1787702791259[[#This Row],[Dias_Entrega]]&lt;=gemini_code_1787702791259[[#This Row],[Promesa_SLA_Dias]],"A tiempo","Fuera de SLA")</f>
        <v>Fuera de SLA</v>
      </c>
    </row>
    <row r="743" spans="1:18" x14ac:dyDescent="0.25">
      <c r="A743" t="s">
        <v>67</v>
      </c>
      <c r="B743" s="1">
        <v>46242</v>
      </c>
      <c r="C743" t="s">
        <v>14</v>
      </c>
      <c r="D743" t="s">
        <v>15</v>
      </c>
      <c r="E743" t="s">
        <v>16</v>
      </c>
      <c r="F743" t="s">
        <v>23</v>
      </c>
      <c r="G743" t="s">
        <v>68</v>
      </c>
      <c r="H743">
        <v>3</v>
      </c>
      <c r="I743" s="12">
        <v>95</v>
      </c>
      <c r="J743" s="12">
        <v>45</v>
      </c>
      <c r="K743">
        <v>2</v>
      </c>
      <c r="L743">
        <v>3</v>
      </c>
      <c r="M743">
        <v>300</v>
      </c>
      <c r="N743" s="12">
        <f>+gemini_code_1787702791259[[#This Row],[Cantidad]]*gemini_code_1787702791259[[#This Row],[Precio_Unitario_USD]]</f>
        <v>285</v>
      </c>
      <c r="O743" s="12">
        <f>+gemini_code_1787702791259[[#This Row],[Cantidad]]*gemini_code_1787702791259[[#This Row],[Costo_Unitario_USD]]</f>
        <v>135</v>
      </c>
      <c r="P743" s="12">
        <f>+gemini_code_1787702791259[[#This Row],[venta total]]-gemini_code_1787702791259[[#This Row],[Costo total]]</f>
        <v>150</v>
      </c>
      <c r="Q743" s="2">
        <f>gemini_code_1787702791259[[#This Row],[Ganancia bruta]]/gemini_code_1787702791259[[#This Row],[venta total]]</f>
        <v>0.52631578947368418</v>
      </c>
      <c r="R743" t="str">
        <f>IF(gemini_code_1787702791259[[#This Row],[Dias_Entrega]]&lt;=gemini_code_1787702791259[[#This Row],[Promesa_SLA_Dias]],"A tiempo","Fuera de SLA")</f>
        <v>A tiempo</v>
      </c>
    </row>
    <row r="744" spans="1:18" x14ac:dyDescent="0.25">
      <c r="A744" t="s">
        <v>69</v>
      </c>
      <c r="B744" s="1">
        <v>46242</v>
      </c>
      <c r="C744" t="s">
        <v>20</v>
      </c>
      <c r="D744" t="s">
        <v>21</v>
      </c>
      <c r="E744" t="s">
        <v>16</v>
      </c>
      <c r="F744" t="s">
        <v>28</v>
      </c>
      <c r="G744" t="s">
        <v>70</v>
      </c>
      <c r="H744">
        <v>4</v>
      </c>
      <c r="I744" s="12">
        <v>160</v>
      </c>
      <c r="J744" s="12">
        <v>95</v>
      </c>
      <c r="K744">
        <v>2</v>
      </c>
      <c r="L744">
        <v>3</v>
      </c>
      <c r="M744">
        <v>600</v>
      </c>
      <c r="N744" s="12">
        <f>+gemini_code_1787702791259[[#This Row],[Cantidad]]*gemini_code_1787702791259[[#This Row],[Precio_Unitario_USD]]</f>
        <v>640</v>
      </c>
      <c r="O744" s="12">
        <f>+gemini_code_1787702791259[[#This Row],[Cantidad]]*gemini_code_1787702791259[[#This Row],[Costo_Unitario_USD]]</f>
        <v>380</v>
      </c>
      <c r="P744" s="12">
        <f>+gemini_code_1787702791259[[#This Row],[venta total]]-gemini_code_1787702791259[[#This Row],[Costo total]]</f>
        <v>260</v>
      </c>
      <c r="Q744" s="2">
        <f>gemini_code_1787702791259[[#This Row],[Ganancia bruta]]/gemini_code_1787702791259[[#This Row],[venta total]]</f>
        <v>0.40625</v>
      </c>
      <c r="R744" t="str">
        <f>IF(gemini_code_1787702791259[[#This Row],[Dias_Entrega]]&lt;=gemini_code_1787702791259[[#This Row],[Promesa_SLA_Dias]],"A tiempo","Fuera de SLA")</f>
        <v>A tiempo</v>
      </c>
    </row>
    <row r="745" spans="1:18" x14ac:dyDescent="0.25">
      <c r="A745" t="s">
        <v>71</v>
      </c>
      <c r="B745" s="1">
        <v>46242</v>
      </c>
      <c r="C745" t="s">
        <v>26</v>
      </c>
      <c r="D745" t="s">
        <v>27</v>
      </c>
      <c r="E745" t="s">
        <v>22</v>
      </c>
      <c r="F745" t="s">
        <v>31</v>
      </c>
      <c r="G745" t="s">
        <v>72</v>
      </c>
      <c r="H745">
        <v>7</v>
      </c>
      <c r="I745" s="12">
        <v>90</v>
      </c>
      <c r="J745" s="12">
        <v>45</v>
      </c>
      <c r="K745">
        <v>4</v>
      </c>
      <c r="L745">
        <v>3</v>
      </c>
      <c r="M745">
        <v>600</v>
      </c>
      <c r="N745" s="12">
        <f>+gemini_code_1787702791259[[#This Row],[Cantidad]]*gemini_code_1787702791259[[#This Row],[Precio_Unitario_USD]]</f>
        <v>630</v>
      </c>
      <c r="O745" s="12">
        <f>+gemini_code_1787702791259[[#This Row],[Cantidad]]*gemini_code_1787702791259[[#This Row],[Costo_Unitario_USD]]</f>
        <v>315</v>
      </c>
      <c r="P745" s="12">
        <f>+gemini_code_1787702791259[[#This Row],[venta total]]-gemini_code_1787702791259[[#This Row],[Costo total]]</f>
        <v>315</v>
      </c>
      <c r="Q745" s="2">
        <f>gemini_code_1787702791259[[#This Row],[Ganancia bruta]]/gemini_code_1787702791259[[#This Row],[venta total]]</f>
        <v>0.5</v>
      </c>
      <c r="R745" t="str">
        <f>IF(gemini_code_1787702791259[[#This Row],[Dias_Entrega]]&lt;=gemini_code_1787702791259[[#This Row],[Promesa_SLA_Dias]],"A tiempo","Fuera de SLA")</f>
        <v>Fuera de SLA</v>
      </c>
    </row>
    <row r="746" spans="1:18" x14ac:dyDescent="0.25">
      <c r="A746" t="s">
        <v>73</v>
      </c>
      <c r="B746" s="1">
        <v>46243</v>
      </c>
      <c r="C746" t="s">
        <v>14</v>
      </c>
      <c r="D746" t="s">
        <v>15</v>
      </c>
      <c r="E746" t="s">
        <v>22</v>
      </c>
      <c r="F746" t="s">
        <v>17</v>
      </c>
      <c r="G746" t="s">
        <v>74</v>
      </c>
      <c r="H746">
        <v>3</v>
      </c>
      <c r="I746" s="12">
        <v>310</v>
      </c>
      <c r="J746" s="12">
        <v>210</v>
      </c>
      <c r="K746">
        <v>2</v>
      </c>
      <c r="L746">
        <v>3</v>
      </c>
      <c r="M746">
        <v>900</v>
      </c>
      <c r="N746" s="12">
        <f>+gemini_code_1787702791259[[#This Row],[Cantidad]]*gemini_code_1787702791259[[#This Row],[Precio_Unitario_USD]]</f>
        <v>930</v>
      </c>
      <c r="O746" s="12">
        <f>+gemini_code_1787702791259[[#This Row],[Cantidad]]*gemini_code_1787702791259[[#This Row],[Costo_Unitario_USD]]</f>
        <v>630</v>
      </c>
      <c r="P746" s="12">
        <f>+gemini_code_1787702791259[[#This Row],[venta total]]-gemini_code_1787702791259[[#This Row],[Costo total]]</f>
        <v>300</v>
      </c>
      <c r="Q746" s="2">
        <f>gemini_code_1787702791259[[#This Row],[Ganancia bruta]]/gemini_code_1787702791259[[#This Row],[venta total]]</f>
        <v>0.32258064516129031</v>
      </c>
      <c r="R746" t="str">
        <f>IF(gemini_code_1787702791259[[#This Row],[Dias_Entrega]]&lt;=gemini_code_1787702791259[[#This Row],[Promesa_SLA_Dias]],"A tiempo","Fuera de SLA")</f>
        <v>A tiempo</v>
      </c>
    </row>
    <row r="747" spans="1:18" x14ac:dyDescent="0.25">
      <c r="A747" t="s">
        <v>75</v>
      </c>
      <c r="B747" s="1">
        <v>46243</v>
      </c>
      <c r="C747" t="s">
        <v>20</v>
      </c>
      <c r="D747" t="s">
        <v>21</v>
      </c>
      <c r="E747" t="s">
        <v>16</v>
      </c>
      <c r="F747" t="s">
        <v>23</v>
      </c>
      <c r="G747" t="s">
        <v>76</v>
      </c>
      <c r="H747">
        <v>8</v>
      </c>
      <c r="I747" s="12">
        <v>50</v>
      </c>
      <c r="J747" s="12">
        <v>22</v>
      </c>
      <c r="K747">
        <v>2</v>
      </c>
      <c r="L747">
        <v>3</v>
      </c>
      <c r="M747">
        <v>400</v>
      </c>
      <c r="N747" s="12">
        <f>+gemini_code_1787702791259[[#This Row],[Cantidad]]*gemini_code_1787702791259[[#This Row],[Precio_Unitario_USD]]</f>
        <v>400</v>
      </c>
      <c r="O747" s="12">
        <f>+gemini_code_1787702791259[[#This Row],[Cantidad]]*gemini_code_1787702791259[[#This Row],[Costo_Unitario_USD]]</f>
        <v>176</v>
      </c>
      <c r="P747" s="12">
        <f>+gemini_code_1787702791259[[#This Row],[venta total]]-gemini_code_1787702791259[[#This Row],[Costo total]]</f>
        <v>224</v>
      </c>
      <c r="Q747" s="2">
        <f>gemini_code_1787702791259[[#This Row],[Ganancia bruta]]/gemini_code_1787702791259[[#This Row],[venta total]]</f>
        <v>0.56000000000000005</v>
      </c>
      <c r="R747" t="str">
        <f>IF(gemini_code_1787702791259[[#This Row],[Dias_Entrega]]&lt;=gemini_code_1787702791259[[#This Row],[Promesa_SLA_Dias]],"A tiempo","Fuera de SLA")</f>
        <v>A tiempo</v>
      </c>
    </row>
    <row r="748" spans="1:18" x14ac:dyDescent="0.25">
      <c r="A748" t="s">
        <v>77</v>
      </c>
      <c r="B748" s="1">
        <v>46243</v>
      </c>
      <c r="C748" t="s">
        <v>26</v>
      </c>
      <c r="D748" t="s">
        <v>27</v>
      </c>
      <c r="E748" t="s">
        <v>16</v>
      </c>
      <c r="F748" t="s">
        <v>28</v>
      </c>
      <c r="G748" t="s">
        <v>78</v>
      </c>
      <c r="H748">
        <v>1</v>
      </c>
      <c r="I748" s="12">
        <v>750</v>
      </c>
      <c r="J748" s="12">
        <v>480</v>
      </c>
      <c r="K748">
        <v>8</v>
      </c>
      <c r="L748">
        <v>4</v>
      </c>
      <c r="M748">
        <v>700</v>
      </c>
      <c r="N748" s="12">
        <f>+gemini_code_1787702791259[[#This Row],[Cantidad]]*gemini_code_1787702791259[[#This Row],[Precio_Unitario_USD]]</f>
        <v>750</v>
      </c>
      <c r="O748" s="12">
        <f>+gemini_code_1787702791259[[#This Row],[Cantidad]]*gemini_code_1787702791259[[#This Row],[Costo_Unitario_USD]]</f>
        <v>480</v>
      </c>
      <c r="P748" s="12">
        <f>+gemini_code_1787702791259[[#This Row],[venta total]]-gemini_code_1787702791259[[#This Row],[Costo total]]</f>
        <v>270</v>
      </c>
      <c r="Q748" s="2">
        <f>gemini_code_1787702791259[[#This Row],[Ganancia bruta]]/gemini_code_1787702791259[[#This Row],[venta total]]</f>
        <v>0.36</v>
      </c>
      <c r="R748" t="str">
        <f>IF(gemini_code_1787702791259[[#This Row],[Dias_Entrega]]&lt;=gemini_code_1787702791259[[#This Row],[Promesa_SLA_Dias]],"A tiempo","Fuera de SLA")</f>
        <v>Fuera de SLA</v>
      </c>
    </row>
    <row r="749" spans="1:18" x14ac:dyDescent="0.25">
      <c r="A749" t="s">
        <v>79</v>
      </c>
      <c r="B749" s="1">
        <v>46244</v>
      </c>
      <c r="C749" t="s">
        <v>14</v>
      </c>
      <c r="D749" t="s">
        <v>15</v>
      </c>
      <c r="E749" t="s">
        <v>16</v>
      </c>
      <c r="F749" t="s">
        <v>31</v>
      </c>
      <c r="G749" t="s">
        <v>80</v>
      </c>
      <c r="H749">
        <v>4</v>
      </c>
      <c r="I749" s="12">
        <v>140</v>
      </c>
      <c r="J749" s="12">
        <v>75</v>
      </c>
      <c r="K749">
        <v>3</v>
      </c>
      <c r="L749">
        <v>3</v>
      </c>
      <c r="M749">
        <v>500</v>
      </c>
      <c r="N749" s="12">
        <f>+gemini_code_1787702791259[[#This Row],[Cantidad]]*gemini_code_1787702791259[[#This Row],[Precio_Unitario_USD]]</f>
        <v>560</v>
      </c>
      <c r="O749" s="12">
        <f>+gemini_code_1787702791259[[#This Row],[Cantidad]]*gemini_code_1787702791259[[#This Row],[Costo_Unitario_USD]]</f>
        <v>300</v>
      </c>
      <c r="P749" s="12">
        <f>+gemini_code_1787702791259[[#This Row],[venta total]]-gemini_code_1787702791259[[#This Row],[Costo total]]</f>
        <v>260</v>
      </c>
      <c r="Q749" s="2">
        <f>gemini_code_1787702791259[[#This Row],[Ganancia bruta]]/gemini_code_1787702791259[[#This Row],[venta total]]</f>
        <v>0.4642857142857143</v>
      </c>
      <c r="R749" t="str">
        <f>IF(gemini_code_1787702791259[[#This Row],[Dias_Entrega]]&lt;=gemini_code_1787702791259[[#This Row],[Promesa_SLA_Dias]],"A tiempo","Fuera de SLA")</f>
        <v>A tiempo</v>
      </c>
    </row>
    <row r="750" spans="1:18" x14ac:dyDescent="0.25">
      <c r="A750" t="s">
        <v>81</v>
      </c>
      <c r="B750" s="1">
        <v>46244</v>
      </c>
      <c r="C750" t="s">
        <v>20</v>
      </c>
      <c r="D750" t="s">
        <v>21</v>
      </c>
      <c r="E750" t="s">
        <v>22</v>
      </c>
      <c r="F750" t="s">
        <v>17</v>
      </c>
      <c r="G750" t="s">
        <v>82</v>
      </c>
      <c r="H750">
        <v>6</v>
      </c>
      <c r="I750" s="12">
        <v>90</v>
      </c>
      <c r="J750" s="12">
        <v>50</v>
      </c>
      <c r="K750">
        <v>1</v>
      </c>
      <c r="L750">
        <v>2</v>
      </c>
      <c r="M750">
        <v>500</v>
      </c>
      <c r="N750" s="12">
        <f>+gemini_code_1787702791259[[#This Row],[Cantidad]]*gemini_code_1787702791259[[#This Row],[Precio_Unitario_USD]]</f>
        <v>540</v>
      </c>
      <c r="O750" s="12">
        <f>+gemini_code_1787702791259[[#This Row],[Cantidad]]*gemini_code_1787702791259[[#This Row],[Costo_Unitario_USD]]</f>
        <v>300</v>
      </c>
      <c r="P750" s="12">
        <f>+gemini_code_1787702791259[[#This Row],[venta total]]-gemini_code_1787702791259[[#This Row],[Costo total]]</f>
        <v>240</v>
      </c>
      <c r="Q750" s="2">
        <f>gemini_code_1787702791259[[#This Row],[Ganancia bruta]]/gemini_code_1787702791259[[#This Row],[venta total]]</f>
        <v>0.44444444444444442</v>
      </c>
      <c r="R750" t="str">
        <f>IF(gemini_code_1787702791259[[#This Row],[Dias_Entrega]]&lt;=gemini_code_1787702791259[[#This Row],[Promesa_SLA_Dias]],"A tiempo","Fuera de SLA")</f>
        <v>A tiempo</v>
      </c>
    </row>
    <row r="751" spans="1:18" x14ac:dyDescent="0.25">
      <c r="A751" t="s">
        <v>83</v>
      </c>
      <c r="B751" s="1">
        <v>46244</v>
      </c>
      <c r="C751" t="s">
        <v>26</v>
      </c>
      <c r="D751" t="s">
        <v>27</v>
      </c>
      <c r="E751" t="s">
        <v>16</v>
      </c>
      <c r="F751" t="s">
        <v>23</v>
      </c>
      <c r="G751" t="s">
        <v>84</v>
      </c>
      <c r="H751">
        <v>6</v>
      </c>
      <c r="I751" s="12">
        <v>60</v>
      </c>
      <c r="J751" s="12">
        <v>28</v>
      </c>
      <c r="K751">
        <v>5</v>
      </c>
      <c r="L751">
        <v>3</v>
      </c>
      <c r="M751">
        <v>350</v>
      </c>
      <c r="N751" s="12">
        <f>+gemini_code_1787702791259[[#This Row],[Cantidad]]*gemini_code_1787702791259[[#This Row],[Precio_Unitario_USD]]</f>
        <v>360</v>
      </c>
      <c r="O751" s="12">
        <f>+gemini_code_1787702791259[[#This Row],[Cantidad]]*gemini_code_1787702791259[[#This Row],[Costo_Unitario_USD]]</f>
        <v>168</v>
      </c>
      <c r="P751" s="12">
        <f>+gemini_code_1787702791259[[#This Row],[venta total]]-gemini_code_1787702791259[[#This Row],[Costo total]]</f>
        <v>192</v>
      </c>
      <c r="Q751" s="2">
        <f>gemini_code_1787702791259[[#This Row],[Ganancia bruta]]/gemini_code_1787702791259[[#This Row],[venta total]]</f>
        <v>0.53333333333333333</v>
      </c>
      <c r="R751" t="str">
        <f>IF(gemini_code_1787702791259[[#This Row],[Dias_Entrega]]&lt;=gemini_code_1787702791259[[#This Row],[Promesa_SLA_Dias]],"A tiempo","Fuera de SLA")</f>
        <v>Fuera de SLA</v>
      </c>
    </row>
    <row r="752" spans="1:18" x14ac:dyDescent="0.25">
      <c r="A752" t="s">
        <v>13</v>
      </c>
      <c r="B752" s="1">
        <v>46235</v>
      </c>
      <c r="C752" t="s">
        <v>14</v>
      </c>
      <c r="D752" t="s">
        <v>15</v>
      </c>
      <c r="E752" t="s">
        <v>16</v>
      </c>
      <c r="F752" t="s">
        <v>17</v>
      </c>
      <c r="G752" t="s">
        <v>18</v>
      </c>
      <c r="H752">
        <v>2</v>
      </c>
      <c r="I752" s="12">
        <v>850</v>
      </c>
      <c r="J752" s="12">
        <v>600</v>
      </c>
      <c r="K752">
        <v>2</v>
      </c>
      <c r="L752">
        <v>3</v>
      </c>
      <c r="M752">
        <v>1500</v>
      </c>
      <c r="N752" s="12">
        <f>+gemini_code_1787702791259[[#This Row],[Cantidad]]*gemini_code_1787702791259[[#This Row],[Precio_Unitario_USD]]</f>
        <v>1700</v>
      </c>
      <c r="O752" s="12">
        <f>+gemini_code_1787702791259[[#This Row],[Cantidad]]*gemini_code_1787702791259[[#This Row],[Costo_Unitario_USD]]</f>
        <v>1200</v>
      </c>
      <c r="P752" s="12">
        <f>+gemini_code_1787702791259[[#This Row],[venta total]]-gemini_code_1787702791259[[#This Row],[Costo total]]</f>
        <v>500</v>
      </c>
      <c r="Q752" s="2">
        <f>gemini_code_1787702791259[[#This Row],[Ganancia bruta]]/gemini_code_1787702791259[[#This Row],[venta total]]</f>
        <v>0.29411764705882354</v>
      </c>
      <c r="R752" t="str">
        <f>IF(gemini_code_1787702791259[[#This Row],[Dias_Entrega]]&lt;=gemini_code_1787702791259[[#This Row],[Promesa_SLA_Dias]],"A tiempo","Fuera de SLA")</f>
        <v>A tiempo</v>
      </c>
    </row>
    <row r="753" spans="1:18" x14ac:dyDescent="0.25">
      <c r="A753" t="s">
        <v>19</v>
      </c>
      <c r="B753" s="1">
        <v>46235</v>
      </c>
      <c r="C753" t="s">
        <v>20</v>
      </c>
      <c r="D753" t="s">
        <v>21</v>
      </c>
      <c r="E753" t="s">
        <v>22</v>
      </c>
      <c r="F753" t="s">
        <v>23</v>
      </c>
      <c r="G753" t="s">
        <v>24</v>
      </c>
      <c r="H753">
        <v>5</v>
      </c>
      <c r="I753" s="12">
        <v>120</v>
      </c>
      <c r="J753" s="12">
        <v>70</v>
      </c>
      <c r="K753">
        <v>3</v>
      </c>
      <c r="L753">
        <v>3</v>
      </c>
      <c r="M753">
        <v>500</v>
      </c>
      <c r="N753" s="12">
        <f>+gemini_code_1787702791259[[#This Row],[Cantidad]]*gemini_code_1787702791259[[#This Row],[Precio_Unitario_USD]]</f>
        <v>600</v>
      </c>
      <c r="O753" s="12">
        <f>+gemini_code_1787702791259[[#This Row],[Cantidad]]*gemini_code_1787702791259[[#This Row],[Costo_Unitario_USD]]</f>
        <v>350</v>
      </c>
      <c r="P753" s="12">
        <f>+gemini_code_1787702791259[[#This Row],[venta total]]-gemini_code_1787702791259[[#This Row],[Costo total]]</f>
        <v>250</v>
      </c>
      <c r="Q753" s="2">
        <f>gemini_code_1787702791259[[#This Row],[Ganancia bruta]]/gemini_code_1787702791259[[#This Row],[venta total]]</f>
        <v>0.41666666666666669</v>
      </c>
      <c r="R753" t="str">
        <f>IF(gemini_code_1787702791259[[#This Row],[Dias_Entrega]]&lt;=gemini_code_1787702791259[[#This Row],[Promesa_SLA_Dias]],"A tiempo","Fuera de SLA")</f>
        <v>A tiempo</v>
      </c>
    </row>
    <row r="754" spans="1:18" x14ac:dyDescent="0.25">
      <c r="A754" t="s">
        <v>25</v>
      </c>
      <c r="B754" s="1">
        <v>46235</v>
      </c>
      <c r="C754" t="s">
        <v>26</v>
      </c>
      <c r="D754" t="s">
        <v>27</v>
      </c>
      <c r="E754" t="s">
        <v>16</v>
      </c>
      <c r="F754" t="s">
        <v>28</v>
      </c>
      <c r="G754" t="s">
        <v>29</v>
      </c>
      <c r="H754">
        <v>3</v>
      </c>
      <c r="I754" s="12">
        <v>90</v>
      </c>
      <c r="J754" s="12">
        <v>50</v>
      </c>
      <c r="K754">
        <v>6</v>
      </c>
      <c r="L754">
        <v>4</v>
      </c>
      <c r="M754">
        <v>300</v>
      </c>
      <c r="N754" s="12">
        <f>+gemini_code_1787702791259[[#This Row],[Cantidad]]*gemini_code_1787702791259[[#This Row],[Precio_Unitario_USD]]</f>
        <v>270</v>
      </c>
      <c r="O754" s="12">
        <f>+gemini_code_1787702791259[[#This Row],[Cantidad]]*gemini_code_1787702791259[[#This Row],[Costo_Unitario_USD]]</f>
        <v>150</v>
      </c>
      <c r="P754" s="12">
        <f>+gemini_code_1787702791259[[#This Row],[venta total]]-gemini_code_1787702791259[[#This Row],[Costo total]]</f>
        <v>120</v>
      </c>
      <c r="Q754" s="2">
        <f>gemini_code_1787702791259[[#This Row],[Ganancia bruta]]/gemini_code_1787702791259[[#This Row],[venta total]]</f>
        <v>0.44444444444444442</v>
      </c>
      <c r="R754" t="str">
        <f>IF(gemini_code_1787702791259[[#This Row],[Dias_Entrega]]&lt;=gemini_code_1787702791259[[#This Row],[Promesa_SLA_Dias]],"A tiempo","Fuera de SLA")</f>
        <v>Fuera de SLA</v>
      </c>
    </row>
    <row r="755" spans="1:18" x14ac:dyDescent="0.25">
      <c r="A755" t="s">
        <v>30</v>
      </c>
      <c r="B755" s="1">
        <v>46236</v>
      </c>
      <c r="C755" t="s">
        <v>14</v>
      </c>
      <c r="D755" t="s">
        <v>15</v>
      </c>
      <c r="E755" t="s">
        <v>22</v>
      </c>
      <c r="F755" t="s">
        <v>31</v>
      </c>
      <c r="G755" t="s">
        <v>32</v>
      </c>
      <c r="H755">
        <v>4</v>
      </c>
      <c r="I755" s="12">
        <v>110</v>
      </c>
      <c r="J755" s="12">
        <v>60</v>
      </c>
      <c r="K755">
        <v>1</v>
      </c>
      <c r="L755">
        <v>2</v>
      </c>
      <c r="M755">
        <v>400</v>
      </c>
      <c r="N755" s="12">
        <f>+gemini_code_1787702791259[[#This Row],[Cantidad]]*gemini_code_1787702791259[[#This Row],[Precio_Unitario_USD]]</f>
        <v>440</v>
      </c>
      <c r="O755" s="12">
        <f>+gemini_code_1787702791259[[#This Row],[Cantidad]]*gemini_code_1787702791259[[#This Row],[Costo_Unitario_USD]]</f>
        <v>240</v>
      </c>
      <c r="P755" s="12">
        <f>+gemini_code_1787702791259[[#This Row],[venta total]]-gemini_code_1787702791259[[#This Row],[Costo total]]</f>
        <v>200</v>
      </c>
      <c r="Q755" s="2">
        <f>gemini_code_1787702791259[[#This Row],[Ganancia bruta]]/gemini_code_1787702791259[[#This Row],[venta total]]</f>
        <v>0.45454545454545453</v>
      </c>
      <c r="R755" t="str">
        <f>IF(gemini_code_1787702791259[[#This Row],[Dias_Entrega]]&lt;=gemini_code_1787702791259[[#This Row],[Promesa_SLA_Dias]],"A tiempo","Fuera de SLA")</f>
        <v>A tiempo</v>
      </c>
    </row>
    <row r="756" spans="1:18" x14ac:dyDescent="0.25">
      <c r="A756" t="s">
        <v>33</v>
      </c>
      <c r="B756" s="1">
        <v>46236</v>
      </c>
      <c r="C756" t="s">
        <v>20</v>
      </c>
      <c r="D756" t="s">
        <v>21</v>
      </c>
      <c r="E756" t="s">
        <v>16</v>
      </c>
      <c r="F756" t="s">
        <v>17</v>
      </c>
      <c r="G756" t="s">
        <v>34</v>
      </c>
      <c r="H756">
        <v>3</v>
      </c>
      <c r="I756" s="12">
        <v>650</v>
      </c>
      <c r="J756" s="12">
        <v>450</v>
      </c>
      <c r="K756">
        <v>2</v>
      </c>
      <c r="L756">
        <v>3</v>
      </c>
      <c r="M756">
        <v>1800</v>
      </c>
      <c r="N756" s="12">
        <f>+gemini_code_1787702791259[[#This Row],[Cantidad]]*gemini_code_1787702791259[[#This Row],[Precio_Unitario_USD]]</f>
        <v>1950</v>
      </c>
      <c r="O756" s="12">
        <f>+gemini_code_1787702791259[[#This Row],[Cantidad]]*gemini_code_1787702791259[[#This Row],[Costo_Unitario_USD]]</f>
        <v>1350</v>
      </c>
      <c r="P756" s="12">
        <f>+gemini_code_1787702791259[[#This Row],[venta total]]-gemini_code_1787702791259[[#This Row],[Costo total]]</f>
        <v>600</v>
      </c>
      <c r="Q756" s="2">
        <f>gemini_code_1787702791259[[#This Row],[Ganancia bruta]]/gemini_code_1787702791259[[#This Row],[venta total]]</f>
        <v>0.30769230769230771</v>
      </c>
      <c r="R756" t="str">
        <f>IF(gemini_code_1787702791259[[#This Row],[Dias_Entrega]]&lt;=gemini_code_1787702791259[[#This Row],[Promesa_SLA_Dias]],"A tiempo","Fuera de SLA")</f>
        <v>A tiempo</v>
      </c>
    </row>
    <row r="757" spans="1:18" x14ac:dyDescent="0.25">
      <c r="A757" t="s">
        <v>35</v>
      </c>
      <c r="B757" s="1">
        <v>46236</v>
      </c>
      <c r="C757" t="s">
        <v>26</v>
      </c>
      <c r="D757" t="s">
        <v>27</v>
      </c>
      <c r="E757" t="s">
        <v>16</v>
      </c>
      <c r="F757" t="s">
        <v>23</v>
      </c>
      <c r="G757" t="s">
        <v>36</v>
      </c>
      <c r="H757">
        <v>8</v>
      </c>
      <c r="I757" s="12">
        <v>45</v>
      </c>
      <c r="J757" s="12">
        <v>20</v>
      </c>
      <c r="K757">
        <v>5</v>
      </c>
      <c r="L757">
        <v>3</v>
      </c>
      <c r="M757">
        <v>400</v>
      </c>
      <c r="N757" s="12">
        <f>+gemini_code_1787702791259[[#This Row],[Cantidad]]*gemini_code_1787702791259[[#This Row],[Precio_Unitario_USD]]</f>
        <v>360</v>
      </c>
      <c r="O757" s="12">
        <f>+gemini_code_1787702791259[[#This Row],[Cantidad]]*gemini_code_1787702791259[[#This Row],[Costo_Unitario_USD]]</f>
        <v>160</v>
      </c>
      <c r="P757" s="12">
        <f>+gemini_code_1787702791259[[#This Row],[venta total]]-gemini_code_1787702791259[[#This Row],[Costo total]]</f>
        <v>200</v>
      </c>
      <c r="Q757" s="2">
        <f>gemini_code_1787702791259[[#This Row],[Ganancia bruta]]/gemini_code_1787702791259[[#This Row],[venta total]]</f>
        <v>0.55555555555555558</v>
      </c>
      <c r="R757" t="str">
        <f>IF(gemini_code_1787702791259[[#This Row],[Dias_Entrega]]&lt;=gemini_code_1787702791259[[#This Row],[Promesa_SLA_Dias]],"A tiempo","Fuera de SLA")</f>
        <v>Fuera de SLA</v>
      </c>
    </row>
    <row r="758" spans="1:18" x14ac:dyDescent="0.25">
      <c r="A758" t="s">
        <v>37</v>
      </c>
      <c r="B758" s="1">
        <v>46237</v>
      </c>
      <c r="C758" t="s">
        <v>14</v>
      </c>
      <c r="D758" t="s">
        <v>15</v>
      </c>
      <c r="E758" t="s">
        <v>16</v>
      </c>
      <c r="F758" t="s">
        <v>28</v>
      </c>
      <c r="G758" t="s">
        <v>38</v>
      </c>
      <c r="H758">
        <v>2</v>
      </c>
      <c r="I758" s="12">
        <v>280</v>
      </c>
      <c r="J758" s="12">
        <v>180</v>
      </c>
      <c r="K758">
        <v>3</v>
      </c>
      <c r="L758">
        <v>3</v>
      </c>
      <c r="M758">
        <v>500</v>
      </c>
      <c r="N758" s="12">
        <f>+gemini_code_1787702791259[[#This Row],[Cantidad]]*gemini_code_1787702791259[[#This Row],[Precio_Unitario_USD]]</f>
        <v>560</v>
      </c>
      <c r="O758" s="12">
        <f>+gemini_code_1787702791259[[#This Row],[Cantidad]]*gemini_code_1787702791259[[#This Row],[Costo_Unitario_USD]]</f>
        <v>360</v>
      </c>
      <c r="P758" s="12">
        <f>+gemini_code_1787702791259[[#This Row],[venta total]]-gemini_code_1787702791259[[#This Row],[Costo total]]</f>
        <v>200</v>
      </c>
      <c r="Q758" s="2">
        <f>gemini_code_1787702791259[[#This Row],[Ganancia bruta]]/gemini_code_1787702791259[[#This Row],[venta total]]</f>
        <v>0.35714285714285715</v>
      </c>
      <c r="R758" t="str">
        <f>IF(gemini_code_1787702791259[[#This Row],[Dias_Entrega]]&lt;=gemini_code_1787702791259[[#This Row],[Promesa_SLA_Dias]],"A tiempo","Fuera de SLA")</f>
        <v>A tiempo</v>
      </c>
    </row>
    <row r="759" spans="1:18" x14ac:dyDescent="0.25">
      <c r="A759" t="s">
        <v>39</v>
      </c>
      <c r="B759" s="1">
        <v>46237</v>
      </c>
      <c r="C759" t="s">
        <v>20</v>
      </c>
      <c r="D759" t="s">
        <v>21</v>
      </c>
      <c r="E759" t="s">
        <v>22</v>
      </c>
      <c r="F759" t="s">
        <v>31</v>
      </c>
      <c r="G759" t="s">
        <v>40</v>
      </c>
      <c r="H759">
        <v>3</v>
      </c>
      <c r="I759" s="12">
        <v>150</v>
      </c>
      <c r="J759" s="12">
        <v>85</v>
      </c>
      <c r="K759">
        <v>2</v>
      </c>
      <c r="L759">
        <v>2</v>
      </c>
      <c r="M759">
        <v>400</v>
      </c>
      <c r="N759" s="12">
        <f>+gemini_code_1787702791259[[#This Row],[Cantidad]]*gemini_code_1787702791259[[#This Row],[Precio_Unitario_USD]]</f>
        <v>450</v>
      </c>
      <c r="O759" s="12">
        <f>+gemini_code_1787702791259[[#This Row],[Cantidad]]*gemini_code_1787702791259[[#This Row],[Costo_Unitario_USD]]</f>
        <v>255</v>
      </c>
      <c r="P759" s="12">
        <f>+gemini_code_1787702791259[[#This Row],[venta total]]-gemini_code_1787702791259[[#This Row],[Costo total]]</f>
        <v>195</v>
      </c>
      <c r="Q759" s="2">
        <f>gemini_code_1787702791259[[#This Row],[Ganancia bruta]]/gemini_code_1787702791259[[#This Row],[venta total]]</f>
        <v>0.43333333333333335</v>
      </c>
      <c r="R759" t="str">
        <f>IF(gemini_code_1787702791259[[#This Row],[Dias_Entrega]]&lt;=gemini_code_1787702791259[[#This Row],[Promesa_SLA_Dias]],"A tiempo","Fuera de SLA")</f>
        <v>A tiempo</v>
      </c>
    </row>
    <row r="760" spans="1:18" x14ac:dyDescent="0.25">
      <c r="A760" t="s">
        <v>41</v>
      </c>
      <c r="B760" s="1">
        <v>46237</v>
      </c>
      <c r="C760" t="s">
        <v>26</v>
      </c>
      <c r="D760" t="s">
        <v>27</v>
      </c>
      <c r="E760" t="s">
        <v>16</v>
      </c>
      <c r="F760" t="s">
        <v>17</v>
      </c>
      <c r="G760" t="s">
        <v>42</v>
      </c>
      <c r="H760">
        <v>2</v>
      </c>
      <c r="I760" s="12">
        <v>520</v>
      </c>
      <c r="J760" s="12">
        <v>380</v>
      </c>
      <c r="K760">
        <v>7</v>
      </c>
      <c r="L760">
        <v>4</v>
      </c>
      <c r="M760">
        <v>1000</v>
      </c>
      <c r="N760" s="12">
        <f>+gemini_code_1787702791259[[#This Row],[Cantidad]]*gemini_code_1787702791259[[#This Row],[Precio_Unitario_USD]]</f>
        <v>1040</v>
      </c>
      <c r="O760" s="12">
        <f>+gemini_code_1787702791259[[#This Row],[Cantidad]]*gemini_code_1787702791259[[#This Row],[Costo_Unitario_USD]]</f>
        <v>760</v>
      </c>
      <c r="P760" s="12">
        <f>+gemini_code_1787702791259[[#This Row],[venta total]]-gemini_code_1787702791259[[#This Row],[Costo total]]</f>
        <v>280</v>
      </c>
      <c r="Q760" s="2">
        <f>gemini_code_1787702791259[[#This Row],[Ganancia bruta]]/gemini_code_1787702791259[[#This Row],[venta total]]</f>
        <v>0.26923076923076922</v>
      </c>
      <c r="R760" t="str">
        <f>IF(gemini_code_1787702791259[[#This Row],[Dias_Entrega]]&lt;=gemini_code_1787702791259[[#This Row],[Promesa_SLA_Dias]],"A tiempo","Fuera de SLA")</f>
        <v>Fuera de SLA</v>
      </c>
    </row>
    <row r="761" spans="1:18" x14ac:dyDescent="0.25">
      <c r="A761" t="s">
        <v>43</v>
      </c>
      <c r="B761" s="1">
        <v>46238</v>
      </c>
      <c r="C761" t="s">
        <v>14</v>
      </c>
      <c r="D761" t="s">
        <v>15</v>
      </c>
      <c r="E761" t="s">
        <v>22</v>
      </c>
      <c r="F761" t="s">
        <v>23</v>
      </c>
      <c r="G761" t="s">
        <v>44</v>
      </c>
      <c r="H761">
        <v>6</v>
      </c>
      <c r="I761" s="12">
        <v>55</v>
      </c>
      <c r="J761" s="12">
        <v>25</v>
      </c>
      <c r="K761">
        <v>2</v>
      </c>
      <c r="L761">
        <v>3</v>
      </c>
      <c r="M761">
        <v>300</v>
      </c>
      <c r="N761" s="12">
        <f>+gemini_code_1787702791259[[#This Row],[Cantidad]]*gemini_code_1787702791259[[#This Row],[Precio_Unitario_USD]]</f>
        <v>330</v>
      </c>
      <c r="O761" s="12">
        <f>+gemini_code_1787702791259[[#This Row],[Cantidad]]*gemini_code_1787702791259[[#This Row],[Costo_Unitario_USD]]</f>
        <v>150</v>
      </c>
      <c r="P761" s="12">
        <f>+gemini_code_1787702791259[[#This Row],[venta total]]-gemini_code_1787702791259[[#This Row],[Costo total]]</f>
        <v>180</v>
      </c>
      <c r="Q761" s="2">
        <f>gemini_code_1787702791259[[#This Row],[Ganancia bruta]]/gemini_code_1787702791259[[#This Row],[venta total]]</f>
        <v>0.54545454545454541</v>
      </c>
      <c r="R761" t="str">
        <f>IF(gemini_code_1787702791259[[#This Row],[Dias_Entrega]]&lt;=gemini_code_1787702791259[[#This Row],[Promesa_SLA_Dias]],"A tiempo","Fuera de SLA")</f>
        <v>A tiempo</v>
      </c>
    </row>
    <row r="762" spans="1:18" x14ac:dyDescent="0.25">
      <c r="A762" t="s">
        <v>45</v>
      </c>
      <c r="B762" s="1">
        <v>46238</v>
      </c>
      <c r="C762" t="s">
        <v>20</v>
      </c>
      <c r="D762" t="s">
        <v>21</v>
      </c>
      <c r="E762" t="s">
        <v>16</v>
      </c>
      <c r="F762" t="s">
        <v>28</v>
      </c>
      <c r="G762" t="s">
        <v>46</v>
      </c>
      <c r="H762">
        <v>1</v>
      </c>
      <c r="I762" s="12">
        <v>450</v>
      </c>
      <c r="J762" s="12">
        <v>290</v>
      </c>
      <c r="K762">
        <v>4</v>
      </c>
      <c r="L762">
        <v>3</v>
      </c>
      <c r="M762">
        <v>400</v>
      </c>
      <c r="N762" s="12">
        <f>+gemini_code_1787702791259[[#This Row],[Cantidad]]*gemini_code_1787702791259[[#This Row],[Precio_Unitario_USD]]</f>
        <v>450</v>
      </c>
      <c r="O762" s="12">
        <f>+gemini_code_1787702791259[[#This Row],[Cantidad]]*gemini_code_1787702791259[[#This Row],[Costo_Unitario_USD]]</f>
        <v>290</v>
      </c>
      <c r="P762" s="12">
        <f>+gemini_code_1787702791259[[#This Row],[venta total]]-gemini_code_1787702791259[[#This Row],[Costo total]]</f>
        <v>160</v>
      </c>
      <c r="Q762" s="2">
        <f>gemini_code_1787702791259[[#This Row],[Ganancia bruta]]/gemini_code_1787702791259[[#This Row],[venta total]]</f>
        <v>0.35555555555555557</v>
      </c>
      <c r="R762" t="str">
        <f>IF(gemini_code_1787702791259[[#This Row],[Dias_Entrega]]&lt;=gemini_code_1787702791259[[#This Row],[Promesa_SLA_Dias]],"A tiempo","Fuera de SLA")</f>
        <v>Fuera de SLA</v>
      </c>
    </row>
    <row r="763" spans="1:18" x14ac:dyDescent="0.25">
      <c r="A763" t="s">
        <v>47</v>
      </c>
      <c r="B763" s="1">
        <v>46238</v>
      </c>
      <c r="C763" t="s">
        <v>26</v>
      </c>
      <c r="D763" t="s">
        <v>27</v>
      </c>
      <c r="E763" t="s">
        <v>22</v>
      </c>
      <c r="F763" t="s">
        <v>31</v>
      </c>
      <c r="G763" t="s">
        <v>48</v>
      </c>
      <c r="H763">
        <v>10</v>
      </c>
      <c r="I763" s="12">
        <v>35</v>
      </c>
      <c r="J763" s="12">
        <v>15</v>
      </c>
      <c r="K763">
        <v>4</v>
      </c>
      <c r="L763">
        <v>3</v>
      </c>
      <c r="M763">
        <v>300</v>
      </c>
      <c r="N763" s="12">
        <f>+gemini_code_1787702791259[[#This Row],[Cantidad]]*gemini_code_1787702791259[[#This Row],[Precio_Unitario_USD]]</f>
        <v>350</v>
      </c>
      <c r="O763" s="12">
        <f>+gemini_code_1787702791259[[#This Row],[Cantidad]]*gemini_code_1787702791259[[#This Row],[Costo_Unitario_USD]]</f>
        <v>150</v>
      </c>
      <c r="P763" s="12">
        <f>+gemini_code_1787702791259[[#This Row],[venta total]]-gemini_code_1787702791259[[#This Row],[Costo total]]</f>
        <v>200</v>
      </c>
      <c r="Q763" s="2">
        <f>gemini_code_1787702791259[[#This Row],[Ganancia bruta]]/gemini_code_1787702791259[[#This Row],[venta total]]</f>
        <v>0.5714285714285714</v>
      </c>
      <c r="R763" t="str">
        <f>IF(gemini_code_1787702791259[[#This Row],[Dias_Entrega]]&lt;=gemini_code_1787702791259[[#This Row],[Promesa_SLA_Dias]],"A tiempo","Fuera de SLA")</f>
        <v>Fuera de SLA</v>
      </c>
    </row>
    <row r="764" spans="1:18" x14ac:dyDescent="0.25">
      <c r="A764" t="s">
        <v>49</v>
      </c>
      <c r="B764" s="1">
        <v>46239</v>
      </c>
      <c r="C764" t="s">
        <v>14</v>
      </c>
      <c r="D764" t="s">
        <v>15</v>
      </c>
      <c r="E764" t="s">
        <v>16</v>
      </c>
      <c r="F764" t="s">
        <v>17</v>
      </c>
      <c r="G764" t="s">
        <v>50</v>
      </c>
      <c r="H764">
        <v>4</v>
      </c>
      <c r="I764" s="12">
        <v>220</v>
      </c>
      <c r="J764" s="12">
        <v>140</v>
      </c>
      <c r="K764">
        <v>2</v>
      </c>
      <c r="L764">
        <v>3</v>
      </c>
      <c r="M764">
        <v>800</v>
      </c>
      <c r="N764" s="12">
        <f>+gemini_code_1787702791259[[#This Row],[Cantidad]]*gemini_code_1787702791259[[#This Row],[Precio_Unitario_USD]]</f>
        <v>880</v>
      </c>
      <c r="O764" s="12">
        <f>+gemini_code_1787702791259[[#This Row],[Cantidad]]*gemini_code_1787702791259[[#This Row],[Costo_Unitario_USD]]</f>
        <v>560</v>
      </c>
      <c r="P764" s="12">
        <f>+gemini_code_1787702791259[[#This Row],[venta total]]-gemini_code_1787702791259[[#This Row],[Costo total]]</f>
        <v>320</v>
      </c>
      <c r="Q764" s="2">
        <f>gemini_code_1787702791259[[#This Row],[Ganancia bruta]]/gemini_code_1787702791259[[#This Row],[venta total]]</f>
        <v>0.36363636363636365</v>
      </c>
      <c r="R764" t="str">
        <f>IF(gemini_code_1787702791259[[#This Row],[Dias_Entrega]]&lt;=gemini_code_1787702791259[[#This Row],[Promesa_SLA_Dias]],"A tiempo","Fuera de SLA")</f>
        <v>A tiempo</v>
      </c>
    </row>
    <row r="765" spans="1:18" x14ac:dyDescent="0.25">
      <c r="A765" t="s">
        <v>51</v>
      </c>
      <c r="B765" s="1">
        <v>46239</v>
      </c>
      <c r="C765" t="s">
        <v>20</v>
      </c>
      <c r="D765" t="s">
        <v>21</v>
      </c>
      <c r="E765" t="s">
        <v>16</v>
      </c>
      <c r="F765" t="s">
        <v>23</v>
      </c>
      <c r="G765" t="s">
        <v>52</v>
      </c>
      <c r="H765">
        <v>5</v>
      </c>
      <c r="I765" s="12">
        <v>65</v>
      </c>
      <c r="J765" s="12">
        <v>30</v>
      </c>
      <c r="K765">
        <v>2</v>
      </c>
      <c r="L765">
        <v>3</v>
      </c>
      <c r="M765">
        <v>300</v>
      </c>
      <c r="N765" s="12">
        <f>+gemini_code_1787702791259[[#This Row],[Cantidad]]*gemini_code_1787702791259[[#This Row],[Precio_Unitario_USD]]</f>
        <v>325</v>
      </c>
      <c r="O765" s="12">
        <f>+gemini_code_1787702791259[[#This Row],[Cantidad]]*gemini_code_1787702791259[[#This Row],[Costo_Unitario_USD]]</f>
        <v>150</v>
      </c>
      <c r="P765" s="12">
        <f>+gemini_code_1787702791259[[#This Row],[venta total]]-gemini_code_1787702791259[[#This Row],[Costo total]]</f>
        <v>175</v>
      </c>
      <c r="Q765" s="2">
        <f>gemini_code_1787702791259[[#This Row],[Ganancia bruta]]/gemini_code_1787702791259[[#This Row],[venta total]]</f>
        <v>0.53846153846153844</v>
      </c>
      <c r="R765" t="str">
        <f>IF(gemini_code_1787702791259[[#This Row],[Dias_Entrega]]&lt;=gemini_code_1787702791259[[#This Row],[Promesa_SLA_Dias]],"A tiempo","Fuera de SLA")</f>
        <v>A tiempo</v>
      </c>
    </row>
    <row r="766" spans="1:18" x14ac:dyDescent="0.25">
      <c r="A766" t="s">
        <v>53</v>
      </c>
      <c r="B766" s="1">
        <v>46239</v>
      </c>
      <c r="C766" t="s">
        <v>26</v>
      </c>
      <c r="D766" t="s">
        <v>27</v>
      </c>
      <c r="E766" t="s">
        <v>16</v>
      </c>
      <c r="F766" t="s">
        <v>28</v>
      </c>
      <c r="G766" t="s">
        <v>54</v>
      </c>
      <c r="H766">
        <v>2</v>
      </c>
      <c r="I766" s="12">
        <v>180</v>
      </c>
      <c r="J766" s="12">
        <v>110</v>
      </c>
      <c r="K766">
        <v>6</v>
      </c>
      <c r="L766">
        <v>3</v>
      </c>
      <c r="M766">
        <v>350</v>
      </c>
      <c r="N766" s="12">
        <f>+gemini_code_1787702791259[[#This Row],[Cantidad]]*gemini_code_1787702791259[[#This Row],[Precio_Unitario_USD]]</f>
        <v>360</v>
      </c>
      <c r="O766" s="12">
        <f>+gemini_code_1787702791259[[#This Row],[Cantidad]]*gemini_code_1787702791259[[#This Row],[Costo_Unitario_USD]]</f>
        <v>220</v>
      </c>
      <c r="P766" s="12">
        <f>+gemini_code_1787702791259[[#This Row],[venta total]]-gemini_code_1787702791259[[#This Row],[Costo total]]</f>
        <v>140</v>
      </c>
      <c r="Q766" s="2">
        <f>gemini_code_1787702791259[[#This Row],[Ganancia bruta]]/gemini_code_1787702791259[[#This Row],[venta total]]</f>
        <v>0.3888888888888889</v>
      </c>
      <c r="R766" t="str">
        <f>IF(gemini_code_1787702791259[[#This Row],[Dias_Entrega]]&lt;=gemini_code_1787702791259[[#This Row],[Promesa_SLA_Dias]],"A tiempo","Fuera de SLA")</f>
        <v>Fuera de SLA</v>
      </c>
    </row>
    <row r="767" spans="1:18" x14ac:dyDescent="0.25">
      <c r="A767" t="s">
        <v>55</v>
      </c>
      <c r="B767" s="1">
        <v>46240</v>
      </c>
      <c r="C767" t="s">
        <v>14</v>
      </c>
      <c r="D767" t="s">
        <v>15</v>
      </c>
      <c r="E767" t="s">
        <v>22</v>
      </c>
      <c r="F767" t="s">
        <v>31</v>
      </c>
      <c r="G767" t="s">
        <v>56</v>
      </c>
      <c r="H767">
        <v>6</v>
      </c>
      <c r="I767" s="12">
        <v>85</v>
      </c>
      <c r="J767" s="12">
        <v>45</v>
      </c>
      <c r="K767">
        <v>1</v>
      </c>
      <c r="L767">
        <v>2</v>
      </c>
      <c r="M767">
        <v>500</v>
      </c>
      <c r="N767" s="12">
        <f>+gemini_code_1787702791259[[#This Row],[Cantidad]]*gemini_code_1787702791259[[#This Row],[Precio_Unitario_USD]]</f>
        <v>510</v>
      </c>
      <c r="O767" s="12">
        <f>+gemini_code_1787702791259[[#This Row],[Cantidad]]*gemini_code_1787702791259[[#This Row],[Costo_Unitario_USD]]</f>
        <v>270</v>
      </c>
      <c r="P767" s="12">
        <f>+gemini_code_1787702791259[[#This Row],[venta total]]-gemini_code_1787702791259[[#This Row],[Costo total]]</f>
        <v>240</v>
      </c>
      <c r="Q767" s="2">
        <f>gemini_code_1787702791259[[#This Row],[Ganancia bruta]]/gemini_code_1787702791259[[#This Row],[venta total]]</f>
        <v>0.47058823529411764</v>
      </c>
      <c r="R767" t="str">
        <f>IF(gemini_code_1787702791259[[#This Row],[Dias_Entrega]]&lt;=gemini_code_1787702791259[[#This Row],[Promesa_SLA_Dias]],"A tiempo","Fuera de SLA")</f>
        <v>A tiempo</v>
      </c>
    </row>
    <row r="768" spans="1:18" x14ac:dyDescent="0.25">
      <c r="A768" t="s">
        <v>57</v>
      </c>
      <c r="B768" s="1">
        <v>46240</v>
      </c>
      <c r="C768" t="s">
        <v>20</v>
      </c>
      <c r="D768" t="s">
        <v>21</v>
      </c>
      <c r="E768" t="s">
        <v>16</v>
      </c>
      <c r="F768" t="s">
        <v>17</v>
      </c>
      <c r="G768" t="s">
        <v>58</v>
      </c>
      <c r="H768">
        <v>12</v>
      </c>
      <c r="I768" s="12">
        <v>75</v>
      </c>
      <c r="J768" s="12">
        <v>35</v>
      </c>
      <c r="K768">
        <v>1</v>
      </c>
      <c r="L768">
        <v>2</v>
      </c>
      <c r="M768">
        <v>800</v>
      </c>
      <c r="N768" s="12">
        <f>+gemini_code_1787702791259[[#This Row],[Cantidad]]*gemini_code_1787702791259[[#This Row],[Precio_Unitario_USD]]</f>
        <v>900</v>
      </c>
      <c r="O768" s="12">
        <f>+gemini_code_1787702791259[[#This Row],[Cantidad]]*gemini_code_1787702791259[[#This Row],[Costo_Unitario_USD]]</f>
        <v>420</v>
      </c>
      <c r="P768" s="12">
        <f>+gemini_code_1787702791259[[#This Row],[venta total]]-gemini_code_1787702791259[[#This Row],[Costo total]]</f>
        <v>480</v>
      </c>
      <c r="Q768" s="2">
        <f>gemini_code_1787702791259[[#This Row],[Ganancia bruta]]/gemini_code_1787702791259[[#This Row],[venta total]]</f>
        <v>0.53333333333333333</v>
      </c>
      <c r="R768" t="str">
        <f>IF(gemini_code_1787702791259[[#This Row],[Dias_Entrega]]&lt;=gemini_code_1787702791259[[#This Row],[Promesa_SLA_Dias]],"A tiempo","Fuera de SLA")</f>
        <v>A tiempo</v>
      </c>
    </row>
    <row r="769" spans="1:18" x14ac:dyDescent="0.25">
      <c r="A769" t="s">
        <v>59</v>
      </c>
      <c r="B769" s="1">
        <v>46240</v>
      </c>
      <c r="C769" t="s">
        <v>26</v>
      </c>
      <c r="D769" t="s">
        <v>27</v>
      </c>
      <c r="E769" t="s">
        <v>22</v>
      </c>
      <c r="F769" t="s">
        <v>23</v>
      </c>
      <c r="G769" t="s">
        <v>60</v>
      </c>
      <c r="H769">
        <v>4</v>
      </c>
      <c r="I769" s="12">
        <v>110</v>
      </c>
      <c r="J769" s="12">
        <v>55</v>
      </c>
      <c r="K769">
        <v>5</v>
      </c>
      <c r="L769">
        <v>3</v>
      </c>
      <c r="M769">
        <v>400</v>
      </c>
      <c r="N769" s="12">
        <f>+gemini_code_1787702791259[[#This Row],[Cantidad]]*gemini_code_1787702791259[[#This Row],[Precio_Unitario_USD]]</f>
        <v>440</v>
      </c>
      <c r="O769" s="12">
        <f>+gemini_code_1787702791259[[#This Row],[Cantidad]]*gemini_code_1787702791259[[#This Row],[Costo_Unitario_USD]]</f>
        <v>220</v>
      </c>
      <c r="P769" s="12">
        <f>+gemini_code_1787702791259[[#This Row],[venta total]]-gemini_code_1787702791259[[#This Row],[Costo total]]</f>
        <v>220</v>
      </c>
      <c r="Q769" s="2">
        <f>gemini_code_1787702791259[[#This Row],[Ganancia bruta]]/gemini_code_1787702791259[[#This Row],[venta total]]</f>
        <v>0.5</v>
      </c>
      <c r="R769" t="str">
        <f>IF(gemini_code_1787702791259[[#This Row],[Dias_Entrega]]&lt;=gemini_code_1787702791259[[#This Row],[Promesa_SLA_Dias]],"A tiempo","Fuera de SLA")</f>
        <v>Fuera de SLA</v>
      </c>
    </row>
    <row r="770" spans="1:18" x14ac:dyDescent="0.25">
      <c r="A770" t="s">
        <v>61</v>
      </c>
      <c r="B770" s="1">
        <v>46241</v>
      </c>
      <c r="C770" t="s">
        <v>14</v>
      </c>
      <c r="D770" t="s">
        <v>15</v>
      </c>
      <c r="E770" t="s">
        <v>16</v>
      </c>
      <c r="F770" t="s">
        <v>28</v>
      </c>
      <c r="G770" t="s">
        <v>62</v>
      </c>
      <c r="H770">
        <v>15</v>
      </c>
      <c r="I770" s="12">
        <v>25</v>
      </c>
      <c r="J770" s="12">
        <v>10</v>
      </c>
      <c r="K770">
        <v>2</v>
      </c>
      <c r="L770">
        <v>3</v>
      </c>
      <c r="M770">
        <v>300</v>
      </c>
      <c r="N770" s="12">
        <f>+gemini_code_1787702791259[[#This Row],[Cantidad]]*gemini_code_1787702791259[[#This Row],[Precio_Unitario_USD]]</f>
        <v>375</v>
      </c>
      <c r="O770" s="12">
        <f>+gemini_code_1787702791259[[#This Row],[Cantidad]]*gemini_code_1787702791259[[#This Row],[Costo_Unitario_USD]]</f>
        <v>150</v>
      </c>
      <c r="P770" s="12">
        <f>+gemini_code_1787702791259[[#This Row],[venta total]]-gemini_code_1787702791259[[#This Row],[Costo total]]</f>
        <v>225</v>
      </c>
      <c r="Q770" s="2">
        <f>gemini_code_1787702791259[[#This Row],[Ganancia bruta]]/gemini_code_1787702791259[[#This Row],[venta total]]</f>
        <v>0.6</v>
      </c>
      <c r="R770" t="str">
        <f>IF(gemini_code_1787702791259[[#This Row],[Dias_Entrega]]&lt;=gemini_code_1787702791259[[#This Row],[Promesa_SLA_Dias]],"A tiempo","Fuera de SLA")</f>
        <v>A tiempo</v>
      </c>
    </row>
    <row r="771" spans="1:18" x14ac:dyDescent="0.25">
      <c r="A771" t="s">
        <v>63</v>
      </c>
      <c r="B771" s="1">
        <v>46241</v>
      </c>
      <c r="C771" t="s">
        <v>20</v>
      </c>
      <c r="D771" t="s">
        <v>21</v>
      </c>
      <c r="E771" t="s">
        <v>22</v>
      </c>
      <c r="F771" t="s">
        <v>31</v>
      </c>
      <c r="G771" t="s">
        <v>64</v>
      </c>
      <c r="H771">
        <v>5</v>
      </c>
      <c r="I771" s="12">
        <v>130</v>
      </c>
      <c r="J771" s="12">
        <v>70</v>
      </c>
      <c r="K771">
        <v>3</v>
      </c>
      <c r="L771">
        <v>3</v>
      </c>
      <c r="M771">
        <v>600</v>
      </c>
      <c r="N771" s="12">
        <f>+gemini_code_1787702791259[[#This Row],[Cantidad]]*gemini_code_1787702791259[[#This Row],[Precio_Unitario_USD]]</f>
        <v>650</v>
      </c>
      <c r="O771" s="12">
        <f>+gemini_code_1787702791259[[#This Row],[Cantidad]]*gemini_code_1787702791259[[#This Row],[Costo_Unitario_USD]]</f>
        <v>350</v>
      </c>
      <c r="P771" s="12">
        <f>+gemini_code_1787702791259[[#This Row],[venta total]]-gemini_code_1787702791259[[#This Row],[Costo total]]</f>
        <v>300</v>
      </c>
      <c r="Q771" s="2">
        <f>gemini_code_1787702791259[[#This Row],[Ganancia bruta]]/gemini_code_1787702791259[[#This Row],[venta total]]</f>
        <v>0.46153846153846156</v>
      </c>
      <c r="R771" t="str">
        <f>IF(gemini_code_1787702791259[[#This Row],[Dias_Entrega]]&lt;=gemini_code_1787702791259[[#This Row],[Promesa_SLA_Dias]],"A tiempo","Fuera de SLA")</f>
        <v>A tiempo</v>
      </c>
    </row>
    <row r="772" spans="1:18" x14ac:dyDescent="0.25">
      <c r="A772" t="s">
        <v>65</v>
      </c>
      <c r="B772" s="1">
        <v>46241</v>
      </c>
      <c r="C772" t="s">
        <v>26</v>
      </c>
      <c r="D772" t="s">
        <v>27</v>
      </c>
      <c r="E772" t="s">
        <v>16</v>
      </c>
      <c r="F772" t="s">
        <v>17</v>
      </c>
      <c r="G772" t="s">
        <v>66</v>
      </c>
      <c r="H772">
        <v>2</v>
      </c>
      <c r="I772" s="12">
        <v>500</v>
      </c>
      <c r="J772" s="12">
        <v>380</v>
      </c>
      <c r="K772">
        <v>6</v>
      </c>
      <c r="L772">
        <v>4</v>
      </c>
      <c r="M772">
        <v>900</v>
      </c>
      <c r="N772" s="12">
        <f>+gemini_code_1787702791259[[#This Row],[Cantidad]]*gemini_code_1787702791259[[#This Row],[Precio_Unitario_USD]]</f>
        <v>1000</v>
      </c>
      <c r="O772" s="12">
        <f>+gemini_code_1787702791259[[#This Row],[Cantidad]]*gemini_code_1787702791259[[#This Row],[Costo_Unitario_USD]]</f>
        <v>760</v>
      </c>
      <c r="P772" s="12">
        <f>+gemini_code_1787702791259[[#This Row],[venta total]]-gemini_code_1787702791259[[#This Row],[Costo total]]</f>
        <v>240</v>
      </c>
      <c r="Q772" s="2">
        <f>gemini_code_1787702791259[[#This Row],[Ganancia bruta]]/gemini_code_1787702791259[[#This Row],[venta total]]</f>
        <v>0.24</v>
      </c>
      <c r="R772" t="str">
        <f>IF(gemini_code_1787702791259[[#This Row],[Dias_Entrega]]&lt;=gemini_code_1787702791259[[#This Row],[Promesa_SLA_Dias]],"A tiempo","Fuera de SLA")</f>
        <v>Fuera de SLA</v>
      </c>
    </row>
    <row r="773" spans="1:18" x14ac:dyDescent="0.25">
      <c r="A773" t="s">
        <v>67</v>
      </c>
      <c r="B773" s="1">
        <v>46242</v>
      </c>
      <c r="C773" t="s">
        <v>14</v>
      </c>
      <c r="D773" t="s">
        <v>15</v>
      </c>
      <c r="E773" t="s">
        <v>16</v>
      </c>
      <c r="F773" t="s">
        <v>23</v>
      </c>
      <c r="G773" t="s">
        <v>68</v>
      </c>
      <c r="H773">
        <v>3</v>
      </c>
      <c r="I773" s="12">
        <v>95</v>
      </c>
      <c r="J773" s="12">
        <v>45</v>
      </c>
      <c r="K773">
        <v>2</v>
      </c>
      <c r="L773">
        <v>3</v>
      </c>
      <c r="M773">
        <v>300</v>
      </c>
      <c r="N773" s="12">
        <f>+gemini_code_1787702791259[[#This Row],[Cantidad]]*gemini_code_1787702791259[[#This Row],[Precio_Unitario_USD]]</f>
        <v>285</v>
      </c>
      <c r="O773" s="12">
        <f>+gemini_code_1787702791259[[#This Row],[Cantidad]]*gemini_code_1787702791259[[#This Row],[Costo_Unitario_USD]]</f>
        <v>135</v>
      </c>
      <c r="P773" s="12">
        <f>+gemini_code_1787702791259[[#This Row],[venta total]]-gemini_code_1787702791259[[#This Row],[Costo total]]</f>
        <v>150</v>
      </c>
      <c r="Q773" s="2">
        <f>gemini_code_1787702791259[[#This Row],[Ganancia bruta]]/gemini_code_1787702791259[[#This Row],[venta total]]</f>
        <v>0.52631578947368418</v>
      </c>
      <c r="R773" t="str">
        <f>IF(gemini_code_1787702791259[[#This Row],[Dias_Entrega]]&lt;=gemini_code_1787702791259[[#This Row],[Promesa_SLA_Dias]],"A tiempo","Fuera de SLA")</f>
        <v>A tiempo</v>
      </c>
    </row>
    <row r="774" spans="1:18" x14ac:dyDescent="0.25">
      <c r="A774" t="s">
        <v>69</v>
      </c>
      <c r="B774" s="1">
        <v>46242</v>
      </c>
      <c r="C774" t="s">
        <v>20</v>
      </c>
      <c r="D774" t="s">
        <v>21</v>
      </c>
      <c r="E774" t="s">
        <v>16</v>
      </c>
      <c r="F774" t="s">
        <v>28</v>
      </c>
      <c r="G774" t="s">
        <v>70</v>
      </c>
      <c r="H774">
        <v>4</v>
      </c>
      <c r="I774" s="12">
        <v>160</v>
      </c>
      <c r="J774" s="12">
        <v>95</v>
      </c>
      <c r="K774">
        <v>2</v>
      </c>
      <c r="L774">
        <v>3</v>
      </c>
      <c r="M774">
        <v>600</v>
      </c>
      <c r="N774" s="12">
        <f>+gemini_code_1787702791259[[#This Row],[Cantidad]]*gemini_code_1787702791259[[#This Row],[Precio_Unitario_USD]]</f>
        <v>640</v>
      </c>
      <c r="O774" s="12">
        <f>+gemini_code_1787702791259[[#This Row],[Cantidad]]*gemini_code_1787702791259[[#This Row],[Costo_Unitario_USD]]</f>
        <v>380</v>
      </c>
      <c r="P774" s="12">
        <f>+gemini_code_1787702791259[[#This Row],[venta total]]-gemini_code_1787702791259[[#This Row],[Costo total]]</f>
        <v>260</v>
      </c>
      <c r="Q774" s="2">
        <f>gemini_code_1787702791259[[#This Row],[Ganancia bruta]]/gemini_code_1787702791259[[#This Row],[venta total]]</f>
        <v>0.40625</v>
      </c>
      <c r="R774" t="str">
        <f>IF(gemini_code_1787702791259[[#This Row],[Dias_Entrega]]&lt;=gemini_code_1787702791259[[#This Row],[Promesa_SLA_Dias]],"A tiempo","Fuera de SLA")</f>
        <v>A tiempo</v>
      </c>
    </row>
    <row r="775" spans="1:18" x14ac:dyDescent="0.25">
      <c r="A775" t="s">
        <v>71</v>
      </c>
      <c r="B775" s="1">
        <v>46242</v>
      </c>
      <c r="C775" t="s">
        <v>26</v>
      </c>
      <c r="D775" t="s">
        <v>27</v>
      </c>
      <c r="E775" t="s">
        <v>22</v>
      </c>
      <c r="F775" t="s">
        <v>31</v>
      </c>
      <c r="G775" t="s">
        <v>72</v>
      </c>
      <c r="H775">
        <v>7</v>
      </c>
      <c r="I775" s="12">
        <v>90</v>
      </c>
      <c r="J775" s="12">
        <v>45</v>
      </c>
      <c r="K775">
        <v>4</v>
      </c>
      <c r="L775">
        <v>3</v>
      </c>
      <c r="M775">
        <v>600</v>
      </c>
      <c r="N775" s="12">
        <f>+gemini_code_1787702791259[[#This Row],[Cantidad]]*gemini_code_1787702791259[[#This Row],[Precio_Unitario_USD]]</f>
        <v>630</v>
      </c>
      <c r="O775" s="12">
        <f>+gemini_code_1787702791259[[#This Row],[Cantidad]]*gemini_code_1787702791259[[#This Row],[Costo_Unitario_USD]]</f>
        <v>315</v>
      </c>
      <c r="P775" s="12">
        <f>+gemini_code_1787702791259[[#This Row],[venta total]]-gemini_code_1787702791259[[#This Row],[Costo total]]</f>
        <v>315</v>
      </c>
      <c r="Q775" s="2">
        <f>gemini_code_1787702791259[[#This Row],[Ganancia bruta]]/gemini_code_1787702791259[[#This Row],[venta total]]</f>
        <v>0.5</v>
      </c>
      <c r="R775" t="str">
        <f>IF(gemini_code_1787702791259[[#This Row],[Dias_Entrega]]&lt;=gemini_code_1787702791259[[#This Row],[Promesa_SLA_Dias]],"A tiempo","Fuera de SLA")</f>
        <v>Fuera de SLA</v>
      </c>
    </row>
    <row r="776" spans="1:18" x14ac:dyDescent="0.25">
      <c r="A776" t="s">
        <v>73</v>
      </c>
      <c r="B776" s="1">
        <v>46243</v>
      </c>
      <c r="C776" t="s">
        <v>14</v>
      </c>
      <c r="D776" t="s">
        <v>15</v>
      </c>
      <c r="E776" t="s">
        <v>22</v>
      </c>
      <c r="F776" t="s">
        <v>17</v>
      </c>
      <c r="G776" t="s">
        <v>74</v>
      </c>
      <c r="H776">
        <v>3</v>
      </c>
      <c r="I776" s="12">
        <v>310</v>
      </c>
      <c r="J776" s="12">
        <v>210</v>
      </c>
      <c r="K776">
        <v>2</v>
      </c>
      <c r="L776">
        <v>3</v>
      </c>
      <c r="M776">
        <v>900</v>
      </c>
      <c r="N776" s="12">
        <f>+gemini_code_1787702791259[[#This Row],[Cantidad]]*gemini_code_1787702791259[[#This Row],[Precio_Unitario_USD]]</f>
        <v>930</v>
      </c>
      <c r="O776" s="12">
        <f>+gemini_code_1787702791259[[#This Row],[Cantidad]]*gemini_code_1787702791259[[#This Row],[Costo_Unitario_USD]]</f>
        <v>630</v>
      </c>
      <c r="P776" s="12">
        <f>+gemini_code_1787702791259[[#This Row],[venta total]]-gemini_code_1787702791259[[#This Row],[Costo total]]</f>
        <v>300</v>
      </c>
      <c r="Q776" s="2">
        <f>gemini_code_1787702791259[[#This Row],[Ganancia bruta]]/gemini_code_1787702791259[[#This Row],[venta total]]</f>
        <v>0.32258064516129031</v>
      </c>
      <c r="R776" t="str">
        <f>IF(gemini_code_1787702791259[[#This Row],[Dias_Entrega]]&lt;=gemini_code_1787702791259[[#This Row],[Promesa_SLA_Dias]],"A tiempo","Fuera de SLA")</f>
        <v>A tiempo</v>
      </c>
    </row>
    <row r="777" spans="1:18" x14ac:dyDescent="0.25">
      <c r="A777" t="s">
        <v>75</v>
      </c>
      <c r="B777" s="1">
        <v>46243</v>
      </c>
      <c r="C777" t="s">
        <v>20</v>
      </c>
      <c r="D777" t="s">
        <v>21</v>
      </c>
      <c r="E777" t="s">
        <v>16</v>
      </c>
      <c r="F777" t="s">
        <v>23</v>
      </c>
      <c r="G777" t="s">
        <v>76</v>
      </c>
      <c r="H777">
        <v>8</v>
      </c>
      <c r="I777" s="12">
        <v>50</v>
      </c>
      <c r="J777" s="12">
        <v>22</v>
      </c>
      <c r="K777">
        <v>2</v>
      </c>
      <c r="L777">
        <v>3</v>
      </c>
      <c r="M777">
        <v>400</v>
      </c>
      <c r="N777" s="12">
        <f>+gemini_code_1787702791259[[#This Row],[Cantidad]]*gemini_code_1787702791259[[#This Row],[Precio_Unitario_USD]]</f>
        <v>400</v>
      </c>
      <c r="O777" s="12">
        <f>+gemini_code_1787702791259[[#This Row],[Cantidad]]*gemini_code_1787702791259[[#This Row],[Costo_Unitario_USD]]</f>
        <v>176</v>
      </c>
      <c r="P777" s="12">
        <f>+gemini_code_1787702791259[[#This Row],[venta total]]-gemini_code_1787702791259[[#This Row],[Costo total]]</f>
        <v>224</v>
      </c>
      <c r="Q777" s="2">
        <f>gemini_code_1787702791259[[#This Row],[Ganancia bruta]]/gemini_code_1787702791259[[#This Row],[venta total]]</f>
        <v>0.56000000000000005</v>
      </c>
      <c r="R777" t="str">
        <f>IF(gemini_code_1787702791259[[#This Row],[Dias_Entrega]]&lt;=gemini_code_1787702791259[[#This Row],[Promesa_SLA_Dias]],"A tiempo","Fuera de SLA")</f>
        <v>A tiempo</v>
      </c>
    </row>
    <row r="778" spans="1:18" x14ac:dyDescent="0.25">
      <c r="A778" t="s">
        <v>77</v>
      </c>
      <c r="B778" s="1">
        <v>46243</v>
      </c>
      <c r="C778" t="s">
        <v>26</v>
      </c>
      <c r="D778" t="s">
        <v>27</v>
      </c>
      <c r="E778" t="s">
        <v>16</v>
      </c>
      <c r="F778" t="s">
        <v>28</v>
      </c>
      <c r="G778" t="s">
        <v>78</v>
      </c>
      <c r="H778">
        <v>1</v>
      </c>
      <c r="I778" s="12">
        <v>750</v>
      </c>
      <c r="J778" s="12">
        <v>480</v>
      </c>
      <c r="K778">
        <v>8</v>
      </c>
      <c r="L778">
        <v>4</v>
      </c>
      <c r="M778">
        <v>700</v>
      </c>
      <c r="N778" s="12">
        <f>+gemini_code_1787702791259[[#This Row],[Cantidad]]*gemini_code_1787702791259[[#This Row],[Precio_Unitario_USD]]</f>
        <v>750</v>
      </c>
      <c r="O778" s="12">
        <f>+gemini_code_1787702791259[[#This Row],[Cantidad]]*gemini_code_1787702791259[[#This Row],[Costo_Unitario_USD]]</f>
        <v>480</v>
      </c>
      <c r="P778" s="12">
        <f>+gemini_code_1787702791259[[#This Row],[venta total]]-gemini_code_1787702791259[[#This Row],[Costo total]]</f>
        <v>270</v>
      </c>
      <c r="Q778" s="2">
        <f>gemini_code_1787702791259[[#This Row],[Ganancia bruta]]/gemini_code_1787702791259[[#This Row],[venta total]]</f>
        <v>0.36</v>
      </c>
      <c r="R778" t="str">
        <f>IF(gemini_code_1787702791259[[#This Row],[Dias_Entrega]]&lt;=gemini_code_1787702791259[[#This Row],[Promesa_SLA_Dias]],"A tiempo","Fuera de SLA")</f>
        <v>Fuera de SLA</v>
      </c>
    </row>
    <row r="779" spans="1:18" x14ac:dyDescent="0.25">
      <c r="A779" t="s">
        <v>79</v>
      </c>
      <c r="B779" s="1">
        <v>46244</v>
      </c>
      <c r="C779" t="s">
        <v>14</v>
      </c>
      <c r="D779" t="s">
        <v>15</v>
      </c>
      <c r="E779" t="s">
        <v>16</v>
      </c>
      <c r="F779" t="s">
        <v>31</v>
      </c>
      <c r="G779" t="s">
        <v>80</v>
      </c>
      <c r="H779">
        <v>4</v>
      </c>
      <c r="I779" s="12">
        <v>140</v>
      </c>
      <c r="J779" s="12">
        <v>75</v>
      </c>
      <c r="K779">
        <v>3</v>
      </c>
      <c r="L779">
        <v>3</v>
      </c>
      <c r="M779">
        <v>500</v>
      </c>
      <c r="N779" s="12">
        <f>+gemini_code_1787702791259[[#This Row],[Cantidad]]*gemini_code_1787702791259[[#This Row],[Precio_Unitario_USD]]</f>
        <v>560</v>
      </c>
      <c r="O779" s="12">
        <f>+gemini_code_1787702791259[[#This Row],[Cantidad]]*gemini_code_1787702791259[[#This Row],[Costo_Unitario_USD]]</f>
        <v>300</v>
      </c>
      <c r="P779" s="12">
        <f>+gemini_code_1787702791259[[#This Row],[venta total]]-gemini_code_1787702791259[[#This Row],[Costo total]]</f>
        <v>260</v>
      </c>
      <c r="Q779" s="2">
        <f>gemini_code_1787702791259[[#This Row],[Ganancia bruta]]/gemini_code_1787702791259[[#This Row],[venta total]]</f>
        <v>0.4642857142857143</v>
      </c>
      <c r="R779" t="str">
        <f>IF(gemini_code_1787702791259[[#This Row],[Dias_Entrega]]&lt;=gemini_code_1787702791259[[#This Row],[Promesa_SLA_Dias]],"A tiempo","Fuera de SLA")</f>
        <v>A tiempo</v>
      </c>
    </row>
    <row r="780" spans="1:18" x14ac:dyDescent="0.25">
      <c r="A780" t="s">
        <v>81</v>
      </c>
      <c r="B780" s="1">
        <v>46244</v>
      </c>
      <c r="C780" t="s">
        <v>20</v>
      </c>
      <c r="D780" t="s">
        <v>21</v>
      </c>
      <c r="E780" t="s">
        <v>22</v>
      </c>
      <c r="F780" t="s">
        <v>17</v>
      </c>
      <c r="G780" t="s">
        <v>82</v>
      </c>
      <c r="H780">
        <v>6</v>
      </c>
      <c r="I780" s="12">
        <v>90</v>
      </c>
      <c r="J780" s="12">
        <v>50</v>
      </c>
      <c r="K780">
        <v>1</v>
      </c>
      <c r="L780">
        <v>2</v>
      </c>
      <c r="M780">
        <v>500</v>
      </c>
      <c r="N780" s="12">
        <f>+gemini_code_1787702791259[[#This Row],[Cantidad]]*gemini_code_1787702791259[[#This Row],[Precio_Unitario_USD]]</f>
        <v>540</v>
      </c>
      <c r="O780" s="12">
        <f>+gemini_code_1787702791259[[#This Row],[Cantidad]]*gemini_code_1787702791259[[#This Row],[Costo_Unitario_USD]]</f>
        <v>300</v>
      </c>
      <c r="P780" s="12">
        <f>+gemini_code_1787702791259[[#This Row],[venta total]]-gemini_code_1787702791259[[#This Row],[Costo total]]</f>
        <v>240</v>
      </c>
      <c r="Q780" s="2">
        <f>gemini_code_1787702791259[[#This Row],[Ganancia bruta]]/gemini_code_1787702791259[[#This Row],[venta total]]</f>
        <v>0.44444444444444442</v>
      </c>
      <c r="R780" t="str">
        <f>IF(gemini_code_1787702791259[[#This Row],[Dias_Entrega]]&lt;=gemini_code_1787702791259[[#This Row],[Promesa_SLA_Dias]],"A tiempo","Fuera de SLA")</f>
        <v>A tiempo</v>
      </c>
    </row>
    <row r="781" spans="1:18" x14ac:dyDescent="0.25">
      <c r="A781" t="s">
        <v>83</v>
      </c>
      <c r="B781" s="1">
        <v>46244</v>
      </c>
      <c r="C781" t="s">
        <v>26</v>
      </c>
      <c r="D781" t="s">
        <v>27</v>
      </c>
      <c r="E781" t="s">
        <v>16</v>
      </c>
      <c r="F781" t="s">
        <v>23</v>
      </c>
      <c r="G781" t="s">
        <v>84</v>
      </c>
      <c r="H781">
        <v>6</v>
      </c>
      <c r="I781" s="12">
        <v>60</v>
      </c>
      <c r="J781" s="12">
        <v>28</v>
      </c>
      <c r="K781">
        <v>5</v>
      </c>
      <c r="L781">
        <v>3</v>
      </c>
      <c r="M781">
        <v>350</v>
      </c>
      <c r="N781" s="12">
        <f>+gemini_code_1787702791259[[#This Row],[Cantidad]]*gemini_code_1787702791259[[#This Row],[Precio_Unitario_USD]]</f>
        <v>360</v>
      </c>
      <c r="O781" s="12">
        <f>+gemini_code_1787702791259[[#This Row],[Cantidad]]*gemini_code_1787702791259[[#This Row],[Costo_Unitario_USD]]</f>
        <v>168</v>
      </c>
      <c r="P781" s="12">
        <f>+gemini_code_1787702791259[[#This Row],[venta total]]-gemini_code_1787702791259[[#This Row],[Costo total]]</f>
        <v>192</v>
      </c>
      <c r="Q781" s="2">
        <f>gemini_code_1787702791259[[#This Row],[Ganancia bruta]]/gemini_code_1787702791259[[#This Row],[venta total]]</f>
        <v>0.53333333333333333</v>
      </c>
      <c r="R781" t="str">
        <f>IF(gemini_code_1787702791259[[#This Row],[Dias_Entrega]]&lt;=gemini_code_1787702791259[[#This Row],[Promesa_SLA_Dias]],"A tiempo","Fuera de SLA")</f>
        <v>Fuera de SLA</v>
      </c>
    </row>
    <row r="782" spans="1:18" x14ac:dyDescent="0.25">
      <c r="A782" t="s">
        <v>13</v>
      </c>
      <c r="B782" s="1">
        <v>46235</v>
      </c>
      <c r="C782" t="s">
        <v>14</v>
      </c>
      <c r="D782" t="s">
        <v>15</v>
      </c>
      <c r="E782" t="s">
        <v>16</v>
      </c>
      <c r="F782" t="s">
        <v>17</v>
      </c>
      <c r="G782" t="s">
        <v>18</v>
      </c>
      <c r="H782">
        <v>2</v>
      </c>
      <c r="I782" s="12">
        <v>850</v>
      </c>
      <c r="J782" s="12">
        <v>600</v>
      </c>
      <c r="K782">
        <v>2</v>
      </c>
      <c r="L782">
        <v>3</v>
      </c>
      <c r="M782">
        <v>1500</v>
      </c>
      <c r="N782" s="12">
        <f>+gemini_code_1787702791259[[#This Row],[Cantidad]]*gemini_code_1787702791259[[#This Row],[Precio_Unitario_USD]]</f>
        <v>1700</v>
      </c>
      <c r="O782" s="12">
        <f>+gemini_code_1787702791259[[#This Row],[Cantidad]]*gemini_code_1787702791259[[#This Row],[Costo_Unitario_USD]]</f>
        <v>1200</v>
      </c>
      <c r="P782" s="12">
        <f>+gemini_code_1787702791259[[#This Row],[venta total]]-gemini_code_1787702791259[[#This Row],[Costo total]]</f>
        <v>500</v>
      </c>
      <c r="Q782" s="2">
        <f>gemini_code_1787702791259[[#This Row],[Ganancia bruta]]/gemini_code_1787702791259[[#This Row],[venta total]]</f>
        <v>0.29411764705882354</v>
      </c>
      <c r="R782" t="str">
        <f>IF(gemini_code_1787702791259[[#This Row],[Dias_Entrega]]&lt;=gemini_code_1787702791259[[#This Row],[Promesa_SLA_Dias]],"A tiempo","Fuera de SLA")</f>
        <v>A tiempo</v>
      </c>
    </row>
    <row r="783" spans="1:18" x14ac:dyDescent="0.25">
      <c r="A783" t="s">
        <v>19</v>
      </c>
      <c r="B783" s="1">
        <v>46235</v>
      </c>
      <c r="C783" t="s">
        <v>20</v>
      </c>
      <c r="D783" t="s">
        <v>21</v>
      </c>
      <c r="E783" t="s">
        <v>22</v>
      </c>
      <c r="F783" t="s">
        <v>23</v>
      </c>
      <c r="G783" t="s">
        <v>24</v>
      </c>
      <c r="H783">
        <v>5</v>
      </c>
      <c r="I783" s="12">
        <v>120</v>
      </c>
      <c r="J783" s="12">
        <v>70</v>
      </c>
      <c r="K783">
        <v>3</v>
      </c>
      <c r="L783">
        <v>3</v>
      </c>
      <c r="M783">
        <v>500</v>
      </c>
      <c r="N783" s="12">
        <f>+gemini_code_1787702791259[[#This Row],[Cantidad]]*gemini_code_1787702791259[[#This Row],[Precio_Unitario_USD]]</f>
        <v>600</v>
      </c>
      <c r="O783" s="12">
        <f>+gemini_code_1787702791259[[#This Row],[Cantidad]]*gemini_code_1787702791259[[#This Row],[Costo_Unitario_USD]]</f>
        <v>350</v>
      </c>
      <c r="P783" s="12">
        <f>+gemini_code_1787702791259[[#This Row],[venta total]]-gemini_code_1787702791259[[#This Row],[Costo total]]</f>
        <v>250</v>
      </c>
      <c r="Q783" s="2">
        <f>gemini_code_1787702791259[[#This Row],[Ganancia bruta]]/gemini_code_1787702791259[[#This Row],[venta total]]</f>
        <v>0.41666666666666669</v>
      </c>
      <c r="R783" t="str">
        <f>IF(gemini_code_1787702791259[[#This Row],[Dias_Entrega]]&lt;=gemini_code_1787702791259[[#This Row],[Promesa_SLA_Dias]],"A tiempo","Fuera de SLA")</f>
        <v>A tiempo</v>
      </c>
    </row>
    <row r="784" spans="1:18" x14ac:dyDescent="0.25">
      <c r="A784" t="s">
        <v>25</v>
      </c>
      <c r="B784" s="1">
        <v>46235</v>
      </c>
      <c r="C784" t="s">
        <v>26</v>
      </c>
      <c r="D784" t="s">
        <v>27</v>
      </c>
      <c r="E784" t="s">
        <v>16</v>
      </c>
      <c r="F784" t="s">
        <v>28</v>
      </c>
      <c r="G784" t="s">
        <v>29</v>
      </c>
      <c r="H784">
        <v>3</v>
      </c>
      <c r="I784" s="12">
        <v>90</v>
      </c>
      <c r="J784" s="12">
        <v>50</v>
      </c>
      <c r="K784">
        <v>6</v>
      </c>
      <c r="L784">
        <v>4</v>
      </c>
      <c r="M784">
        <v>300</v>
      </c>
      <c r="N784" s="12">
        <f>+gemini_code_1787702791259[[#This Row],[Cantidad]]*gemini_code_1787702791259[[#This Row],[Precio_Unitario_USD]]</f>
        <v>270</v>
      </c>
      <c r="O784" s="12">
        <f>+gemini_code_1787702791259[[#This Row],[Cantidad]]*gemini_code_1787702791259[[#This Row],[Costo_Unitario_USD]]</f>
        <v>150</v>
      </c>
      <c r="P784" s="12">
        <f>+gemini_code_1787702791259[[#This Row],[venta total]]-gemini_code_1787702791259[[#This Row],[Costo total]]</f>
        <v>120</v>
      </c>
      <c r="Q784" s="2">
        <f>gemini_code_1787702791259[[#This Row],[Ganancia bruta]]/gemini_code_1787702791259[[#This Row],[venta total]]</f>
        <v>0.44444444444444442</v>
      </c>
      <c r="R784" t="str">
        <f>IF(gemini_code_1787702791259[[#This Row],[Dias_Entrega]]&lt;=gemini_code_1787702791259[[#This Row],[Promesa_SLA_Dias]],"A tiempo","Fuera de SLA")</f>
        <v>Fuera de SLA</v>
      </c>
    </row>
    <row r="785" spans="1:18" x14ac:dyDescent="0.25">
      <c r="A785" t="s">
        <v>30</v>
      </c>
      <c r="B785" s="1">
        <v>46236</v>
      </c>
      <c r="C785" t="s">
        <v>14</v>
      </c>
      <c r="D785" t="s">
        <v>15</v>
      </c>
      <c r="E785" t="s">
        <v>22</v>
      </c>
      <c r="F785" t="s">
        <v>31</v>
      </c>
      <c r="G785" t="s">
        <v>32</v>
      </c>
      <c r="H785">
        <v>4</v>
      </c>
      <c r="I785" s="12">
        <v>110</v>
      </c>
      <c r="J785" s="12">
        <v>60</v>
      </c>
      <c r="K785">
        <v>1</v>
      </c>
      <c r="L785">
        <v>2</v>
      </c>
      <c r="M785">
        <v>400</v>
      </c>
      <c r="N785" s="12">
        <f>+gemini_code_1787702791259[[#This Row],[Cantidad]]*gemini_code_1787702791259[[#This Row],[Precio_Unitario_USD]]</f>
        <v>440</v>
      </c>
      <c r="O785" s="12">
        <f>+gemini_code_1787702791259[[#This Row],[Cantidad]]*gemini_code_1787702791259[[#This Row],[Costo_Unitario_USD]]</f>
        <v>240</v>
      </c>
      <c r="P785" s="12">
        <f>+gemini_code_1787702791259[[#This Row],[venta total]]-gemini_code_1787702791259[[#This Row],[Costo total]]</f>
        <v>200</v>
      </c>
      <c r="Q785" s="2">
        <f>gemini_code_1787702791259[[#This Row],[Ganancia bruta]]/gemini_code_1787702791259[[#This Row],[venta total]]</f>
        <v>0.45454545454545453</v>
      </c>
      <c r="R785" t="str">
        <f>IF(gemini_code_1787702791259[[#This Row],[Dias_Entrega]]&lt;=gemini_code_1787702791259[[#This Row],[Promesa_SLA_Dias]],"A tiempo","Fuera de SLA")</f>
        <v>A tiempo</v>
      </c>
    </row>
    <row r="786" spans="1:18" x14ac:dyDescent="0.25">
      <c r="A786" t="s">
        <v>33</v>
      </c>
      <c r="B786" s="1">
        <v>46236</v>
      </c>
      <c r="C786" t="s">
        <v>20</v>
      </c>
      <c r="D786" t="s">
        <v>21</v>
      </c>
      <c r="E786" t="s">
        <v>16</v>
      </c>
      <c r="F786" t="s">
        <v>17</v>
      </c>
      <c r="G786" t="s">
        <v>34</v>
      </c>
      <c r="H786">
        <v>3</v>
      </c>
      <c r="I786" s="12">
        <v>650</v>
      </c>
      <c r="J786" s="12">
        <v>450</v>
      </c>
      <c r="K786">
        <v>2</v>
      </c>
      <c r="L786">
        <v>3</v>
      </c>
      <c r="M786">
        <v>1800</v>
      </c>
      <c r="N786" s="12">
        <f>+gemini_code_1787702791259[[#This Row],[Cantidad]]*gemini_code_1787702791259[[#This Row],[Precio_Unitario_USD]]</f>
        <v>1950</v>
      </c>
      <c r="O786" s="12">
        <f>+gemini_code_1787702791259[[#This Row],[Cantidad]]*gemini_code_1787702791259[[#This Row],[Costo_Unitario_USD]]</f>
        <v>1350</v>
      </c>
      <c r="P786" s="12">
        <f>+gemini_code_1787702791259[[#This Row],[venta total]]-gemini_code_1787702791259[[#This Row],[Costo total]]</f>
        <v>600</v>
      </c>
      <c r="Q786" s="2">
        <f>gemini_code_1787702791259[[#This Row],[Ganancia bruta]]/gemini_code_1787702791259[[#This Row],[venta total]]</f>
        <v>0.30769230769230771</v>
      </c>
      <c r="R786" t="str">
        <f>IF(gemini_code_1787702791259[[#This Row],[Dias_Entrega]]&lt;=gemini_code_1787702791259[[#This Row],[Promesa_SLA_Dias]],"A tiempo","Fuera de SLA")</f>
        <v>A tiempo</v>
      </c>
    </row>
    <row r="787" spans="1:18" x14ac:dyDescent="0.25">
      <c r="A787" t="s">
        <v>35</v>
      </c>
      <c r="B787" s="1">
        <v>46236</v>
      </c>
      <c r="C787" t="s">
        <v>26</v>
      </c>
      <c r="D787" t="s">
        <v>27</v>
      </c>
      <c r="E787" t="s">
        <v>16</v>
      </c>
      <c r="F787" t="s">
        <v>23</v>
      </c>
      <c r="G787" t="s">
        <v>36</v>
      </c>
      <c r="H787">
        <v>8</v>
      </c>
      <c r="I787" s="12">
        <v>45</v>
      </c>
      <c r="J787" s="12">
        <v>20</v>
      </c>
      <c r="K787">
        <v>5</v>
      </c>
      <c r="L787">
        <v>3</v>
      </c>
      <c r="M787">
        <v>400</v>
      </c>
      <c r="N787" s="12">
        <f>+gemini_code_1787702791259[[#This Row],[Cantidad]]*gemini_code_1787702791259[[#This Row],[Precio_Unitario_USD]]</f>
        <v>360</v>
      </c>
      <c r="O787" s="12">
        <f>+gemini_code_1787702791259[[#This Row],[Cantidad]]*gemini_code_1787702791259[[#This Row],[Costo_Unitario_USD]]</f>
        <v>160</v>
      </c>
      <c r="P787" s="12">
        <f>+gemini_code_1787702791259[[#This Row],[venta total]]-gemini_code_1787702791259[[#This Row],[Costo total]]</f>
        <v>200</v>
      </c>
      <c r="Q787" s="2">
        <f>gemini_code_1787702791259[[#This Row],[Ganancia bruta]]/gemini_code_1787702791259[[#This Row],[venta total]]</f>
        <v>0.55555555555555558</v>
      </c>
      <c r="R787" t="str">
        <f>IF(gemini_code_1787702791259[[#This Row],[Dias_Entrega]]&lt;=gemini_code_1787702791259[[#This Row],[Promesa_SLA_Dias]],"A tiempo","Fuera de SLA")</f>
        <v>Fuera de SLA</v>
      </c>
    </row>
    <row r="788" spans="1:18" x14ac:dyDescent="0.25">
      <c r="A788" t="s">
        <v>37</v>
      </c>
      <c r="B788" s="1">
        <v>46237</v>
      </c>
      <c r="C788" t="s">
        <v>14</v>
      </c>
      <c r="D788" t="s">
        <v>15</v>
      </c>
      <c r="E788" t="s">
        <v>16</v>
      </c>
      <c r="F788" t="s">
        <v>28</v>
      </c>
      <c r="G788" t="s">
        <v>38</v>
      </c>
      <c r="H788">
        <v>2</v>
      </c>
      <c r="I788" s="12">
        <v>280</v>
      </c>
      <c r="J788" s="12">
        <v>180</v>
      </c>
      <c r="K788">
        <v>3</v>
      </c>
      <c r="L788">
        <v>3</v>
      </c>
      <c r="M788">
        <v>500</v>
      </c>
      <c r="N788" s="12">
        <f>+gemini_code_1787702791259[[#This Row],[Cantidad]]*gemini_code_1787702791259[[#This Row],[Precio_Unitario_USD]]</f>
        <v>560</v>
      </c>
      <c r="O788" s="12">
        <f>+gemini_code_1787702791259[[#This Row],[Cantidad]]*gemini_code_1787702791259[[#This Row],[Costo_Unitario_USD]]</f>
        <v>360</v>
      </c>
      <c r="P788" s="12">
        <f>+gemini_code_1787702791259[[#This Row],[venta total]]-gemini_code_1787702791259[[#This Row],[Costo total]]</f>
        <v>200</v>
      </c>
      <c r="Q788" s="2">
        <f>gemini_code_1787702791259[[#This Row],[Ganancia bruta]]/gemini_code_1787702791259[[#This Row],[venta total]]</f>
        <v>0.35714285714285715</v>
      </c>
      <c r="R788" t="str">
        <f>IF(gemini_code_1787702791259[[#This Row],[Dias_Entrega]]&lt;=gemini_code_1787702791259[[#This Row],[Promesa_SLA_Dias]],"A tiempo","Fuera de SLA")</f>
        <v>A tiempo</v>
      </c>
    </row>
    <row r="789" spans="1:18" x14ac:dyDescent="0.25">
      <c r="A789" t="s">
        <v>39</v>
      </c>
      <c r="B789" s="1">
        <v>46237</v>
      </c>
      <c r="C789" t="s">
        <v>20</v>
      </c>
      <c r="D789" t="s">
        <v>21</v>
      </c>
      <c r="E789" t="s">
        <v>22</v>
      </c>
      <c r="F789" t="s">
        <v>31</v>
      </c>
      <c r="G789" t="s">
        <v>40</v>
      </c>
      <c r="H789">
        <v>3</v>
      </c>
      <c r="I789" s="12">
        <v>150</v>
      </c>
      <c r="J789" s="12">
        <v>85</v>
      </c>
      <c r="K789">
        <v>2</v>
      </c>
      <c r="L789">
        <v>2</v>
      </c>
      <c r="M789">
        <v>400</v>
      </c>
      <c r="N789" s="12">
        <f>+gemini_code_1787702791259[[#This Row],[Cantidad]]*gemini_code_1787702791259[[#This Row],[Precio_Unitario_USD]]</f>
        <v>450</v>
      </c>
      <c r="O789" s="12">
        <f>+gemini_code_1787702791259[[#This Row],[Cantidad]]*gemini_code_1787702791259[[#This Row],[Costo_Unitario_USD]]</f>
        <v>255</v>
      </c>
      <c r="P789" s="12">
        <f>+gemini_code_1787702791259[[#This Row],[venta total]]-gemini_code_1787702791259[[#This Row],[Costo total]]</f>
        <v>195</v>
      </c>
      <c r="Q789" s="2">
        <f>gemini_code_1787702791259[[#This Row],[Ganancia bruta]]/gemini_code_1787702791259[[#This Row],[venta total]]</f>
        <v>0.43333333333333335</v>
      </c>
      <c r="R789" t="str">
        <f>IF(gemini_code_1787702791259[[#This Row],[Dias_Entrega]]&lt;=gemini_code_1787702791259[[#This Row],[Promesa_SLA_Dias]],"A tiempo","Fuera de SLA")</f>
        <v>A tiempo</v>
      </c>
    </row>
    <row r="790" spans="1:18" x14ac:dyDescent="0.25">
      <c r="A790" t="s">
        <v>41</v>
      </c>
      <c r="B790" s="1">
        <v>46237</v>
      </c>
      <c r="C790" t="s">
        <v>26</v>
      </c>
      <c r="D790" t="s">
        <v>27</v>
      </c>
      <c r="E790" t="s">
        <v>16</v>
      </c>
      <c r="F790" t="s">
        <v>17</v>
      </c>
      <c r="G790" t="s">
        <v>42</v>
      </c>
      <c r="H790">
        <v>2</v>
      </c>
      <c r="I790" s="12">
        <v>520</v>
      </c>
      <c r="J790" s="12">
        <v>380</v>
      </c>
      <c r="K790">
        <v>7</v>
      </c>
      <c r="L790">
        <v>4</v>
      </c>
      <c r="M790">
        <v>1000</v>
      </c>
      <c r="N790" s="12">
        <f>+gemini_code_1787702791259[[#This Row],[Cantidad]]*gemini_code_1787702791259[[#This Row],[Precio_Unitario_USD]]</f>
        <v>1040</v>
      </c>
      <c r="O790" s="12">
        <f>+gemini_code_1787702791259[[#This Row],[Cantidad]]*gemini_code_1787702791259[[#This Row],[Costo_Unitario_USD]]</f>
        <v>760</v>
      </c>
      <c r="P790" s="12">
        <f>+gemini_code_1787702791259[[#This Row],[venta total]]-gemini_code_1787702791259[[#This Row],[Costo total]]</f>
        <v>280</v>
      </c>
      <c r="Q790" s="2">
        <f>gemini_code_1787702791259[[#This Row],[Ganancia bruta]]/gemini_code_1787702791259[[#This Row],[venta total]]</f>
        <v>0.26923076923076922</v>
      </c>
      <c r="R790" t="str">
        <f>IF(gemini_code_1787702791259[[#This Row],[Dias_Entrega]]&lt;=gemini_code_1787702791259[[#This Row],[Promesa_SLA_Dias]],"A tiempo","Fuera de SLA")</f>
        <v>Fuera de SLA</v>
      </c>
    </row>
    <row r="791" spans="1:18" x14ac:dyDescent="0.25">
      <c r="A791" t="s">
        <v>43</v>
      </c>
      <c r="B791" s="1">
        <v>46238</v>
      </c>
      <c r="C791" t="s">
        <v>14</v>
      </c>
      <c r="D791" t="s">
        <v>15</v>
      </c>
      <c r="E791" t="s">
        <v>22</v>
      </c>
      <c r="F791" t="s">
        <v>23</v>
      </c>
      <c r="G791" t="s">
        <v>44</v>
      </c>
      <c r="H791">
        <v>6</v>
      </c>
      <c r="I791" s="12">
        <v>55</v>
      </c>
      <c r="J791" s="12">
        <v>25</v>
      </c>
      <c r="K791">
        <v>2</v>
      </c>
      <c r="L791">
        <v>3</v>
      </c>
      <c r="M791">
        <v>300</v>
      </c>
      <c r="N791" s="12">
        <f>+gemini_code_1787702791259[[#This Row],[Cantidad]]*gemini_code_1787702791259[[#This Row],[Precio_Unitario_USD]]</f>
        <v>330</v>
      </c>
      <c r="O791" s="12">
        <f>+gemini_code_1787702791259[[#This Row],[Cantidad]]*gemini_code_1787702791259[[#This Row],[Costo_Unitario_USD]]</f>
        <v>150</v>
      </c>
      <c r="P791" s="12">
        <f>+gemini_code_1787702791259[[#This Row],[venta total]]-gemini_code_1787702791259[[#This Row],[Costo total]]</f>
        <v>180</v>
      </c>
      <c r="Q791" s="2">
        <f>gemini_code_1787702791259[[#This Row],[Ganancia bruta]]/gemini_code_1787702791259[[#This Row],[venta total]]</f>
        <v>0.54545454545454541</v>
      </c>
      <c r="R791" t="str">
        <f>IF(gemini_code_1787702791259[[#This Row],[Dias_Entrega]]&lt;=gemini_code_1787702791259[[#This Row],[Promesa_SLA_Dias]],"A tiempo","Fuera de SLA")</f>
        <v>A tiempo</v>
      </c>
    </row>
    <row r="792" spans="1:18" x14ac:dyDescent="0.25">
      <c r="A792" t="s">
        <v>45</v>
      </c>
      <c r="B792" s="1">
        <v>46238</v>
      </c>
      <c r="C792" t="s">
        <v>20</v>
      </c>
      <c r="D792" t="s">
        <v>21</v>
      </c>
      <c r="E792" t="s">
        <v>16</v>
      </c>
      <c r="F792" t="s">
        <v>28</v>
      </c>
      <c r="G792" t="s">
        <v>46</v>
      </c>
      <c r="H792">
        <v>1</v>
      </c>
      <c r="I792" s="12">
        <v>450</v>
      </c>
      <c r="J792" s="12">
        <v>290</v>
      </c>
      <c r="K792">
        <v>4</v>
      </c>
      <c r="L792">
        <v>3</v>
      </c>
      <c r="M792">
        <v>400</v>
      </c>
      <c r="N792" s="12">
        <f>+gemini_code_1787702791259[[#This Row],[Cantidad]]*gemini_code_1787702791259[[#This Row],[Precio_Unitario_USD]]</f>
        <v>450</v>
      </c>
      <c r="O792" s="12">
        <f>+gemini_code_1787702791259[[#This Row],[Cantidad]]*gemini_code_1787702791259[[#This Row],[Costo_Unitario_USD]]</f>
        <v>290</v>
      </c>
      <c r="P792" s="12">
        <f>+gemini_code_1787702791259[[#This Row],[venta total]]-gemini_code_1787702791259[[#This Row],[Costo total]]</f>
        <v>160</v>
      </c>
      <c r="Q792" s="2">
        <f>gemini_code_1787702791259[[#This Row],[Ganancia bruta]]/gemini_code_1787702791259[[#This Row],[venta total]]</f>
        <v>0.35555555555555557</v>
      </c>
      <c r="R792" t="str">
        <f>IF(gemini_code_1787702791259[[#This Row],[Dias_Entrega]]&lt;=gemini_code_1787702791259[[#This Row],[Promesa_SLA_Dias]],"A tiempo","Fuera de SLA")</f>
        <v>Fuera de SLA</v>
      </c>
    </row>
    <row r="793" spans="1:18" x14ac:dyDescent="0.25">
      <c r="A793" t="s">
        <v>47</v>
      </c>
      <c r="B793" s="1">
        <v>46238</v>
      </c>
      <c r="C793" t="s">
        <v>26</v>
      </c>
      <c r="D793" t="s">
        <v>27</v>
      </c>
      <c r="E793" t="s">
        <v>22</v>
      </c>
      <c r="F793" t="s">
        <v>31</v>
      </c>
      <c r="G793" t="s">
        <v>48</v>
      </c>
      <c r="H793">
        <v>10</v>
      </c>
      <c r="I793" s="12">
        <v>35</v>
      </c>
      <c r="J793" s="12">
        <v>15</v>
      </c>
      <c r="K793">
        <v>4</v>
      </c>
      <c r="L793">
        <v>3</v>
      </c>
      <c r="M793">
        <v>300</v>
      </c>
      <c r="N793" s="12">
        <f>+gemini_code_1787702791259[[#This Row],[Cantidad]]*gemini_code_1787702791259[[#This Row],[Precio_Unitario_USD]]</f>
        <v>350</v>
      </c>
      <c r="O793" s="12">
        <f>+gemini_code_1787702791259[[#This Row],[Cantidad]]*gemini_code_1787702791259[[#This Row],[Costo_Unitario_USD]]</f>
        <v>150</v>
      </c>
      <c r="P793" s="12">
        <f>+gemini_code_1787702791259[[#This Row],[venta total]]-gemini_code_1787702791259[[#This Row],[Costo total]]</f>
        <v>200</v>
      </c>
      <c r="Q793" s="2">
        <f>gemini_code_1787702791259[[#This Row],[Ganancia bruta]]/gemini_code_1787702791259[[#This Row],[venta total]]</f>
        <v>0.5714285714285714</v>
      </c>
      <c r="R793" t="str">
        <f>IF(gemini_code_1787702791259[[#This Row],[Dias_Entrega]]&lt;=gemini_code_1787702791259[[#This Row],[Promesa_SLA_Dias]],"A tiempo","Fuera de SLA")</f>
        <v>Fuera de SLA</v>
      </c>
    </row>
    <row r="794" spans="1:18" x14ac:dyDescent="0.25">
      <c r="A794" t="s">
        <v>49</v>
      </c>
      <c r="B794" s="1">
        <v>46239</v>
      </c>
      <c r="C794" t="s">
        <v>14</v>
      </c>
      <c r="D794" t="s">
        <v>15</v>
      </c>
      <c r="E794" t="s">
        <v>16</v>
      </c>
      <c r="F794" t="s">
        <v>17</v>
      </c>
      <c r="G794" t="s">
        <v>50</v>
      </c>
      <c r="H794">
        <v>4</v>
      </c>
      <c r="I794" s="12">
        <v>220</v>
      </c>
      <c r="J794" s="12">
        <v>140</v>
      </c>
      <c r="K794">
        <v>2</v>
      </c>
      <c r="L794">
        <v>3</v>
      </c>
      <c r="M794">
        <v>800</v>
      </c>
      <c r="N794" s="12">
        <f>+gemini_code_1787702791259[[#This Row],[Cantidad]]*gemini_code_1787702791259[[#This Row],[Precio_Unitario_USD]]</f>
        <v>880</v>
      </c>
      <c r="O794" s="12">
        <f>+gemini_code_1787702791259[[#This Row],[Cantidad]]*gemini_code_1787702791259[[#This Row],[Costo_Unitario_USD]]</f>
        <v>560</v>
      </c>
      <c r="P794" s="12">
        <f>+gemini_code_1787702791259[[#This Row],[venta total]]-gemini_code_1787702791259[[#This Row],[Costo total]]</f>
        <v>320</v>
      </c>
      <c r="Q794" s="2">
        <f>gemini_code_1787702791259[[#This Row],[Ganancia bruta]]/gemini_code_1787702791259[[#This Row],[venta total]]</f>
        <v>0.36363636363636365</v>
      </c>
      <c r="R794" t="str">
        <f>IF(gemini_code_1787702791259[[#This Row],[Dias_Entrega]]&lt;=gemini_code_1787702791259[[#This Row],[Promesa_SLA_Dias]],"A tiempo","Fuera de SLA")</f>
        <v>A tiempo</v>
      </c>
    </row>
    <row r="795" spans="1:18" x14ac:dyDescent="0.25">
      <c r="A795" t="s">
        <v>51</v>
      </c>
      <c r="B795" s="1">
        <v>46239</v>
      </c>
      <c r="C795" t="s">
        <v>20</v>
      </c>
      <c r="D795" t="s">
        <v>21</v>
      </c>
      <c r="E795" t="s">
        <v>16</v>
      </c>
      <c r="F795" t="s">
        <v>23</v>
      </c>
      <c r="G795" t="s">
        <v>52</v>
      </c>
      <c r="H795">
        <v>5</v>
      </c>
      <c r="I795" s="12">
        <v>65</v>
      </c>
      <c r="J795" s="12">
        <v>30</v>
      </c>
      <c r="K795">
        <v>2</v>
      </c>
      <c r="L795">
        <v>3</v>
      </c>
      <c r="M795">
        <v>300</v>
      </c>
      <c r="N795" s="12">
        <f>+gemini_code_1787702791259[[#This Row],[Cantidad]]*gemini_code_1787702791259[[#This Row],[Precio_Unitario_USD]]</f>
        <v>325</v>
      </c>
      <c r="O795" s="12">
        <f>+gemini_code_1787702791259[[#This Row],[Cantidad]]*gemini_code_1787702791259[[#This Row],[Costo_Unitario_USD]]</f>
        <v>150</v>
      </c>
      <c r="P795" s="12">
        <f>+gemini_code_1787702791259[[#This Row],[venta total]]-gemini_code_1787702791259[[#This Row],[Costo total]]</f>
        <v>175</v>
      </c>
      <c r="Q795" s="2">
        <f>gemini_code_1787702791259[[#This Row],[Ganancia bruta]]/gemini_code_1787702791259[[#This Row],[venta total]]</f>
        <v>0.53846153846153844</v>
      </c>
      <c r="R795" t="str">
        <f>IF(gemini_code_1787702791259[[#This Row],[Dias_Entrega]]&lt;=gemini_code_1787702791259[[#This Row],[Promesa_SLA_Dias]],"A tiempo","Fuera de SLA")</f>
        <v>A tiempo</v>
      </c>
    </row>
    <row r="796" spans="1:18" x14ac:dyDescent="0.25">
      <c r="A796" t="s">
        <v>53</v>
      </c>
      <c r="B796" s="1">
        <v>46239</v>
      </c>
      <c r="C796" t="s">
        <v>26</v>
      </c>
      <c r="D796" t="s">
        <v>27</v>
      </c>
      <c r="E796" t="s">
        <v>16</v>
      </c>
      <c r="F796" t="s">
        <v>28</v>
      </c>
      <c r="G796" t="s">
        <v>54</v>
      </c>
      <c r="H796">
        <v>2</v>
      </c>
      <c r="I796" s="12">
        <v>180</v>
      </c>
      <c r="J796" s="12">
        <v>110</v>
      </c>
      <c r="K796">
        <v>6</v>
      </c>
      <c r="L796">
        <v>3</v>
      </c>
      <c r="M796">
        <v>350</v>
      </c>
      <c r="N796" s="12">
        <f>+gemini_code_1787702791259[[#This Row],[Cantidad]]*gemini_code_1787702791259[[#This Row],[Precio_Unitario_USD]]</f>
        <v>360</v>
      </c>
      <c r="O796" s="12">
        <f>+gemini_code_1787702791259[[#This Row],[Cantidad]]*gemini_code_1787702791259[[#This Row],[Costo_Unitario_USD]]</f>
        <v>220</v>
      </c>
      <c r="P796" s="12">
        <f>+gemini_code_1787702791259[[#This Row],[venta total]]-gemini_code_1787702791259[[#This Row],[Costo total]]</f>
        <v>140</v>
      </c>
      <c r="Q796" s="2">
        <f>gemini_code_1787702791259[[#This Row],[Ganancia bruta]]/gemini_code_1787702791259[[#This Row],[venta total]]</f>
        <v>0.3888888888888889</v>
      </c>
      <c r="R796" t="str">
        <f>IF(gemini_code_1787702791259[[#This Row],[Dias_Entrega]]&lt;=gemini_code_1787702791259[[#This Row],[Promesa_SLA_Dias]],"A tiempo","Fuera de SLA")</f>
        <v>Fuera de SLA</v>
      </c>
    </row>
    <row r="797" spans="1:18" x14ac:dyDescent="0.25">
      <c r="A797" t="s">
        <v>55</v>
      </c>
      <c r="B797" s="1">
        <v>46240</v>
      </c>
      <c r="C797" t="s">
        <v>14</v>
      </c>
      <c r="D797" t="s">
        <v>15</v>
      </c>
      <c r="E797" t="s">
        <v>22</v>
      </c>
      <c r="F797" t="s">
        <v>31</v>
      </c>
      <c r="G797" t="s">
        <v>56</v>
      </c>
      <c r="H797">
        <v>6</v>
      </c>
      <c r="I797" s="12">
        <v>85</v>
      </c>
      <c r="J797" s="12">
        <v>45</v>
      </c>
      <c r="K797">
        <v>1</v>
      </c>
      <c r="L797">
        <v>2</v>
      </c>
      <c r="M797">
        <v>500</v>
      </c>
      <c r="N797" s="12">
        <f>+gemini_code_1787702791259[[#This Row],[Cantidad]]*gemini_code_1787702791259[[#This Row],[Precio_Unitario_USD]]</f>
        <v>510</v>
      </c>
      <c r="O797" s="12">
        <f>+gemini_code_1787702791259[[#This Row],[Cantidad]]*gemini_code_1787702791259[[#This Row],[Costo_Unitario_USD]]</f>
        <v>270</v>
      </c>
      <c r="P797" s="12">
        <f>+gemini_code_1787702791259[[#This Row],[venta total]]-gemini_code_1787702791259[[#This Row],[Costo total]]</f>
        <v>240</v>
      </c>
      <c r="Q797" s="2">
        <f>gemini_code_1787702791259[[#This Row],[Ganancia bruta]]/gemini_code_1787702791259[[#This Row],[venta total]]</f>
        <v>0.47058823529411764</v>
      </c>
      <c r="R797" t="str">
        <f>IF(gemini_code_1787702791259[[#This Row],[Dias_Entrega]]&lt;=gemini_code_1787702791259[[#This Row],[Promesa_SLA_Dias]],"A tiempo","Fuera de SLA")</f>
        <v>A tiempo</v>
      </c>
    </row>
    <row r="798" spans="1:18" x14ac:dyDescent="0.25">
      <c r="A798" t="s">
        <v>57</v>
      </c>
      <c r="B798" s="1">
        <v>46240</v>
      </c>
      <c r="C798" t="s">
        <v>20</v>
      </c>
      <c r="D798" t="s">
        <v>21</v>
      </c>
      <c r="E798" t="s">
        <v>16</v>
      </c>
      <c r="F798" t="s">
        <v>17</v>
      </c>
      <c r="G798" t="s">
        <v>58</v>
      </c>
      <c r="H798">
        <v>12</v>
      </c>
      <c r="I798" s="12">
        <v>75</v>
      </c>
      <c r="J798" s="12">
        <v>35</v>
      </c>
      <c r="K798">
        <v>1</v>
      </c>
      <c r="L798">
        <v>2</v>
      </c>
      <c r="M798">
        <v>800</v>
      </c>
      <c r="N798" s="12">
        <f>+gemini_code_1787702791259[[#This Row],[Cantidad]]*gemini_code_1787702791259[[#This Row],[Precio_Unitario_USD]]</f>
        <v>900</v>
      </c>
      <c r="O798" s="12">
        <f>+gemini_code_1787702791259[[#This Row],[Cantidad]]*gemini_code_1787702791259[[#This Row],[Costo_Unitario_USD]]</f>
        <v>420</v>
      </c>
      <c r="P798" s="12">
        <f>+gemini_code_1787702791259[[#This Row],[venta total]]-gemini_code_1787702791259[[#This Row],[Costo total]]</f>
        <v>480</v>
      </c>
      <c r="Q798" s="2">
        <f>gemini_code_1787702791259[[#This Row],[Ganancia bruta]]/gemini_code_1787702791259[[#This Row],[venta total]]</f>
        <v>0.53333333333333333</v>
      </c>
      <c r="R798" t="str">
        <f>IF(gemini_code_1787702791259[[#This Row],[Dias_Entrega]]&lt;=gemini_code_1787702791259[[#This Row],[Promesa_SLA_Dias]],"A tiempo","Fuera de SLA")</f>
        <v>A tiempo</v>
      </c>
    </row>
    <row r="799" spans="1:18" x14ac:dyDescent="0.25">
      <c r="A799" t="s">
        <v>59</v>
      </c>
      <c r="B799" s="1">
        <v>46240</v>
      </c>
      <c r="C799" t="s">
        <v>26</v>
      </c>
      <c r="D799" t="s">
        <v>27</v>
      </c>
      <c r="E799" t="s">
        <v>22</v>
      </c>
      <c r="F799" t="s">
        <v>23</v>
      </c>
      <c r="G799" t="s">
        <v>60</v>
      </c>
      <c r="H799">
        <v>4</v>
      </c>
      <c r="I799" s="12">
        <v>110</v>
      </c>
      <c r="J799" s="12">
        <v>55</v>
      </c>
      <c r="K799">
        <v>5</v>
      </c>
      <c r="L799">
        <v>3</v>
      </c>
      <c r="M799">
        <v>400</v>
      </c>
      <c r="N799" s="12">
        <f>+gemini_code_1787702791259[[#This Row],[Cantidad]]*gemini_code_1787702791259[[#This Row],[Precio_Unitario_USD]]</f>
        <v>440</v>
      </c>
      <c r="O799" s="12">
        <f>+gemini_code_1787702791259[[#This Row],[Cantidad]]*gemini_code_1787702791259[[#This Row],[Costo_Unitario_USD]]</f>
        <v>220</v>
      </c>
      <c r="P799" s="12">
        <f>+gemini_code_1787702791259[[#This Row],[venta total]]-gemini_code_1787702791259[[#This Row],[Costo total]]</f>
        <v>220</v>
      </c>
      <c r="Q799" s="2">
        <f>gemini_code_1787702791259[[#This Row],[Ganancia bruta]]/gemini_code_1787702791259[[#This Row],[venta total]]</f>
        <v>0.5</v>
      </c>
      <c r="R799" t="str">
        <f>IF(gemini_code_1787702791259[[#This Row],[Dias_Entrega]]&lt;=gemini_code_1787702791259[[#This Row],[Promesa_SLA_Dias]],"A tiempo","Fuera de SLA")</f>
        <v>Fuera de SLA</v>
      </c>
    </row>
    <row r="800" spans="1:18" x14ac:dyDescent="0.25">
      <c r="A800" t="s">
        <v>61</v>
      </c>
      <c r="B800" s="1">
        <v>46241</v>
      </c>
      <c r="C800" t="s">
        <v>14</v>
      </c>
      <c r="D800" t="s">
        <v>15</v>
      </c>
      <c r="E800" t="s">
        <v>16</v>
      </c>
      <c r="F800" t="s">
        <v>28</v>
      </c>
      <c r="G800" t="s">
        <v>62</v>
      </c>
      <c r="H800">
        <v>15</v>
      </c>
      <c r="I800" s="12">
        <v>25</v>
      </c>
      <c r="J800" s="12">
        <v>10</v>
      </c>
      <c r="K800">
        <v>2</v>
      </c>
      <c r="L800">
        <v>3</v>
      </c>
      <c r="M800">
        <v>300</v>
      </c>
      <c r="N800" s="12">
        <f>+gemini_code_1787702791259[[#This Row],[Cantidad]]*gemini_code_1787702791259[[#This Row],[Precio_Unitario_USD]]</f>
        <v>375</v>
      </c>
      <c r="O800" s="12">
        <f>+gemini_code_1787702791259[[#This Row],[Cantidad]]*gemini_code_1787702791259[[#This Row],[Costo_Unitario_USD]]</f>
        <v>150</v>
      </c>
      <c r="P800" s="12">
        <f>+gemini_code_1787702791259[[#This Row],[venta total]]-gemini_code_1787702791259[[#This Row],[Costo total]]</f>
        <v>225</v>
      </c>
      <c r="Q800" s="2">
        <f>gemini_code_1787702791259[[#This Row],[Ganancia bruta]]/gemini_code_1787702791259[[#This Row],[venta total]]</f>
        <v>0.6</v>
      </c>
      <c r="R800" t="str">
        <f>IF(gemini_code_1787702791259[[#This Row],[Dias_Entrega]]&lt;=gemini_code_1787702791259[[#This Row],[Promesa_SLA_Dias]],"A tiempo","Fuera de SLA")</f>
        <v>A tiempo</v>
      </c>
    </row>
    <row r="801" spans="1:18" x14ac:dyDescent="0.25">
      <c r="A801" t="s">
        <v>63</v>
      </c>
      <c r="B801" s="1">
        <v>46241</v>
      </c>
      <c r="C801" t="s">
        <v>20</v>
      </c>
      <c r="D801" t="s">
        <v>21</v>
      </c>
      <c r="E801" t="s">
        <v>22</v>
      </c>
      <c r="F801" t="s">
        <v>31</v>
      </c>
      <c r="G801" t="s">
        <v>64</v>
      </c>
      <c r="H801">
        <v>5</v>
      </c>
      <c r="I801" s="12">
        <v>130</v>
      </c>
      <c r="J801" s="12">
        <v>70</v>
      </c>
      <c r="K801">
        <v>3</v>
      </c>
      <c r="L801">
        <v>3</v>
      </c>
      <c r="M801">
        <v>600</v>
      </c>
      <c r="N801" s="12">
        <f>+gemini_code_1787702791259[[#This Row],[Cantidad]]*gemini_code_1787702791259[[#This Row],[Precio_Unitario_USD]]</f>
        <v>650</v>
      </c>
      <c r="O801" s="12">
        <f>+gemini_code_1787702791259[[#This Row],[Cantidad]]*gemini_code_1787702791259[[#This Row],[Costo_Unitario_USD]]</f>
        <v>350</v>
      </c>
      <c r="P801" s="12">
        <f>+gemini_code_1787702791259[[#This Row],[venta total]]-gemini_code_1787702791259[[#This Row],[Costo total]]</f>
        <v>300</v>
      </c>
      <c r="Q801" s="2">
        <f>gemini_code_1787702791259[[#This Row],[Ganancia bruta]]/gemini_code_1787702791259[[#This Row],[venta total]]</f>
        <v>0.46153846153846156</v>
      </c>
      <c r="R801" t="str">
        <f>IF(gemini_code_1787702791259[[#This Row],[Dias_Entrega]]&lt;=gemini_code_1787702791259[[#This Row],[Promesa_SLA_Dias]],"A tiempo","Fuera de SLA")</f>
        <v>A tiempo</v>
      </c>
    </row>
    <row r="802" spans="1:18" x14ac:dyDescent="0.25">
      <c r="A802" t="s">
        <v>65</v>
      </c>
      <c r="B802" s="1">
        <v>46241</v>
      </c>
      <c r="C802" t="s">
        <v>26</v>
      </c>
      <c r="D802" t="s">
        <v>27</v>
      </c>
      <c r="E802" t="s">
        <v>16</v>
      </c>
      <c r="F802" t="s">
        <v>17</v>
      </c>
      <c r="G802" t="s">
        <v>66</v>
      </c>
      <c r="H802">
        <v>2</v>
      </c>
      <c r="I802" s="12">
        <v>500</v>
      </c>
      <c r="J802" s="12">
        <v>380</v>
      </c>
      <c r="K802">
        <v>6</v>
      </c>
      <c r="L802">
        <v>4</v>
      </c>
      <c r="M802">
        <v>900</v>
      </c>
      <c r="N802" s="12">
        <f>+gemini_code_1787702791259[[#This Row],[Cantidad]]*gemini_code_1787702791259[[#This Row],[Precio_Unitario_USD]]</f>
        <v>1000</v>
      </c>
      <c r="O802" s="12">
        <f>+gemini_code_1787702791259[[#This Row],[Cantidad]]*gemini_code_1787702791259[[#This Row],[Costo_Unitario_USD]]</f>
        <v>760</v>
      </c>
      <c r="P802" s="12">
        <f>+gemini_code_1787702791259[[#This Row],[venta total]]-gemini_code_1787702791259[[#This Row],[Costo total]]</f>
        <v>240</v>
      </c>
      <c r="Q802" s="2">
        <f>gemini_code_1787702791259[[#This Row],[Ganancia bruta]]/gemini_code_1787702791259[[#This Row],[venta total]]</f>
        <v>0.24</v>
      </c>
      <c r="R802" t="str">
        <f>IF(gemini_code_1787702791259[[#This Row],[Dias_Entrega]]&lt;=gemini_code_1787702791259[[#This Row],[Promesa_SLA_Dias]],"A tiempo","Fuera de SLA")</f>
        <v>Fuera de SLA</v>
      </c>
    </row>
    <row r="803" spans="1:18" x14ac:dyDescent="0.25">
      <c r="A803" t="s">
        <v>67</v>
      </c>
      <c r="B803" s="1">
        <v>46242</v>
      </c>
      <c r="C803" t="s">
        <v>14</v>
      </c>
      <c r="D803" t="s">
        <v>15</v>
      </c>
      <c r="E803" t="s">
        <v>16</v>
      </c>
      <c r="F803" t="s">
        <v>23</v>
      </c>
      <c r="G803" t="s">
        <v>68</v>
      </c>
      <c r="H803">
        <v>3</v>
      </c>
      <c r="I803" s="12">
        <v>95</v>
      </c>
      <c r="J803" s="12">
        <v>45</v>
      </c>
      <c r="K803">
        <v>2</v>
      </c>
      <c r="L803">
        <v>3</v>
      </c>
      <c r="M803">
        <v>300</v>
      </c>
      <c r="N803" s="12">
        <f>+gemini_code_1787702791259[[#This Row],[Cantidad]]*gemini_code_1787702791259[[#This Row],[Precio_Unitario_USD]]</f>
        <v>285</v>
      </c>
      <c r="O803" s="12">
        <f>+gemini_code_1787702791259[[#This Row],[Cantidad]]*gemini_code_1787702791259[[#This Row],[Costo_Unitario_USD]]</f>
        <v>135</v>
      </c>
      <c r="P803" s="12">
        <f>+gemini_code_1787702791259[[#This Row],[venta total]]-gemini_code_1787702791259[[#This Row],[Costo total]]</f>
        <v>150</v>
      </c>
      <c r="Q803" s="2">
        <f>gemini_code_1787702791259[[#This Row],[Ganancia bruta]]/gemini_code_1787702791259[[#This Row],[venta total]]</f>
        <v>0.52631578947368418</v>
      </c>
      <c r="R803" t="str">
        <f>IF(gemini_code_1787702791259[[#This Row],[Dias_Entrega]]&lt;=gemini_code_1787702791259[[#This Row],[Promesa_SLA_Dias]],"A tiempo","Fuera de SLA")</f>
        <v>A tiempo</v>
      </c>
    </row>
    <row r="804" spans="1:18" x14ac:dyDescent="0.25">
      <c r="A804" t="s">
        <v>69</v>
      </c>
      <c r="B804" s="1">
        <v>46242</v>
      </c>
      <c r="C804" t="s">
        <v>20</v>
      </c>
      <c r="D804" t="s">
        <v>21</v>
      </c>
      <c r="E804" t="s">
        <v>16</v>
      </c>
      <c r="F804" t="s">
        <v>28</v>
      </c>
      <c r="G804" t="s">
        <v>70</v>
      </c>
      <c r="H804">
        <v>4</v>
      </c>
      <c r="I804" s="12">
        <v>160</v>
      </c>
      <c r="J804" s="12">
        <v>95</v>
      </c>
      <c r="K804">
        <v>2</v>
      </c>
      <c r="L804">
        <v>3</v>
      </c>
      <c r="M804">
        <v>600</v>
      </c>
      <c r="N804" s="12">
        <f>+gemini_code_1787702791259[[#This Row],[Cantidad]]*gemini_code_1787702791259[[#This Row],[Precio_Unitario_USD]]</f>
        <v>640</v>
      </c>
      <c r="O804" s="12">
        <f>+gemini_code_1787702791259[[#This Row],[Cantidad]]*gemini_code_1787702791259[[#This Row],[Costo_Unitario_USD]]</f>
        <v>380</v>
      </c>
      <c r="P804" s="12">
        <f>+gemini_code_1787702791259[[#This Row],[venta total]]-gemini_code_1787702791259[[#This Row],[Costo total]]</f>
        <v>260</v>
      </c>
      <c r="Q804" s="2">
        <f>gemini_code_1787702791259[[#This Row],[Ganancia bruta]]/gemini_code_1787702791259[[#This Row],[venta total]]</f>
        <v>0.40625</v>
      </c>
      <c r="R804" t="str">
        <f>IF(gemini_code_1787702791259[[#This Row],[Dias_Entrega]]&lt;=gemini_code_1787702791259[[#This Row],[Promesa_SLA_Dias]],"A tiempo","Fuera de SLA")</f>
        <v>A tiempo</v>
      </c>
    </row>
    <row r="805" spans="1:18" x14ac:dyDescent="0.25">
      <c r="A805" t="s">
        <v>71</v>
      </c>
      <c r="B805" s="1">
        <v>46242</v>
      </c>
      <c r="C805" t="s">
        <v>26</v>
      </c>
      <c r="D805" t="s">
        <v>27</v>
      </c>
      <c r="E805" t="s">
        <v>22</v>
      </c>
      <c r="F805" t="s">
        <v>31</v>
      </c>
      <c r="G805" t="s">
        <v>72</v>
      </c>
      <c r="H805">
        <v>7</v>
      </c>
      <c r="I805" s="12">
        <v>90</v>
      </c>
      <c r="J805" s="12">
        <v>45</v>
      </c>
      <c r="K805">
        <v>4</v>
      </c>
      <c r="L805">
        <v>3</v>
      </c>
      <c r="M805">
        <v>600</v>
      </c>
      <c r="N805" s="12">
        <f>+gemini_code_1787702791259[[#This Row],[Cantidad]]*gemini_code_1787702791259[[#This Row],[Precio_Unitario_USD]]</f>
        <v>630</v>
      </c>
      <c r="O805" s="12">
        <f>+gemini_code_1787702791259[[#This Row],[Cantidad]]*gemini_code_1787702791259[[#This Row],[Costo_Unitario_USD]]</f>
        <v>315</v>
      </c>
      <c r="P805" s="12">
        <f>+gemini_code_1787702791259[[#This Row],[venta total]]-gemini_code_1787702791259[[#This Row],[Costo total]]</f>
        <v>315</v>
      </c>
      <c r="Q805" s="2">
        <f>gemini_code_1787702791259[[#This Row],[Ganancia bruta]]/gemini_code_1787702791259[[#This Row],[venta total]]</f>
        <v>0.5</v>
      </c>
      <c r="R805" t="str">
        <f>IF(gemini_code_1787702791259[[#This Row],[Dias_Entrega]]&lt;=gemini_code_1787702791259[[#This Row],[Promesa_SLA_Dias]],"A tiempo","Fuera de SLA")</f>
        <v>Fuera de SLA</v>
      </c>
    </row>
    <row r="806" spans="1:18" x14ac:dyDescent="0.25">
      <c r="A806" t="s">
        <v>73</v>
      </c>
      <c r="B806" s="1">
        <v>46243</v>
      </c>
      <c r="C806" t="s">
        <v>14</v>
      </c>
      <c r="D806" t="s">
        <v>15</v>
      </c>
      <c r="E806" t="s">
        <v>22</v>
      </c>
      <c r="F806" t="s">
        <v>17</v>
      </c>
      <c r="G806" t="s">
        <v>74</v>
      </c>
      <c r="H806">
        <v>3</v>
      </c>
      <c r="I806" s="12">
        <v>310</v>
      </c>
      <c r="J806" s="12">
        <v>210</v>
      </c>
      <c r="K806">
        <v>2</v>
      </c>
      <c r="L806">
        <v>3</v>
      </c>
      <c r="M806">
        <v>900</v>
      </c>
      <c r="N806" s="12">
        <f>+gemini_code_1787702791259[[#This Row],[Cantidad]]*gemini_code_1787702791259[[#This Row],[Precio_Unitario_USD]]</f>
        <v>930</v>
      </c>
      <c r="O806" s="12">
        <f>+gemini_code_1787702791259[[#This Row],[Cantidad]]*gemini_code_1787702791259[[#This Row],[Costo_Unitario_USD]]</f>
        <v>630</v>
      </c>
      <c r="P806" s="12">
        <f>+gemini_code_1787702791259[[#This Row],[venta total]]-gemini_code_1787702791259[[#This Row],[Costo total]]</f>
        <v>300</v>
      </c>
      <c r="Q806" s="2">
        <f>gemini_code_1787702791259[[#This Row],[Ganancia bruta]]/gemini_code_1787702791259[[#This Row],[venta total]]</f>
        <v>0.32258064516129031</v>
      </c>
      <c r="R806" t="str">
        <f>IF(gemini_code_1787702791259[[#This Row],[Dias_Entrega]]&lt;=gemini_code_1787702791259[[#This Row],[Promesa_SLA_Dias]],"A tiempo","Fuera de SLA")</f>
        <v>A tiempo</v>
      </c>
    </row>
    <row r="807" spans="1:18" x14ac:dyDescent="0.25">
      <c r="A807" t="s">
        <v>75</v>
      </c>
      <c r="B807" s="1">
        <v>46243</v>
      </c>
      <c r="C807" t="s">
        <v>20</v>
      </c>
      <c r="D807" t="s">
        <v>21</v>
      </c>
      <c r="E807" t="s">
        <v>16</v>
      </c>
      <c r="F807" t="s">
        <v>23</v>
      </c>
      <c r="G807" t="s">
        <v>76</v>
      </c>
      <c r="H807">
        <v>8</v>
      </c>
      <c r="I807" s="12">
        <v>50</v>
      </c>
      <c r="J807" s="12">
        <v>22</v>
      </c>
      <c r="K807">
        <v>2</v>
      </c>
      <c r="L807">
        <v>3</v>
      </c>
      <c r="M807">
        <v>400</v>
      </c>
      <c r="N807" s="12">
        <f>+gemini_code_1787702791259[[#This Row],[Cantidad]]*gemini_code_1787702791259[[#This Row],[Precio_Unitario_USD]]</f>
        <v>400</v>
      </c>
      <c r="O807" s="12">
        <f>+gemini_code_1787702791259[[#This Row],[Cantidad]]*gemini_code_1787702791259[[#This Row],[Costo_Unitario_USD]]</f>
        <v>176</v>
      </c>
      <c r="P807" s="12">
        <f>+gemini_code_1787702791259[[#This Row],[venta total]]-gemini_code_1787702791259[[#This Row],[Costo total]]</f>
        <v>224</v>
      </c>
      <c r="Q807" s="2">
        <f>gemini_code_1787702791259[[#This Row],[Ganancia bruta]]/gemini_code_1787702791259[[#This Row],[venta total]]</f>
        <v>0.56000000000000005</v>
      </c>
      <c r="R807" t="str">
        <f>IF(gemini_code_1787702791259[[#This Row],[Dias_Entrega]]&lt;=gemini_code_1787702791259[[#This Row],[Promesa_SLA_Dias]],"A tiempo","Fuera de SLA")</f>
        <v>A tiempo</v>
      </c>
    </row>
    <row r="808" spans="1:18" x14ac:dyDescent="0.25">
      <c r="A808" t="s">
        <v>77</v>
      </c>
      <c r="B808" s="1">
        <v>46243</v>
      </c>
      <c r="C808" t="s">
        <v>26</v>
      </c>
      <c r="D808" t="s">
        <v>27</v>
      </c>
      <c r="E808" t="s">
        <v>16</v>
      </c>
      <c r="F808" t="s">
        <v>28</v>
      </c>
      <c r="G808" t="s">
        <v>78</v>
      </c>
      <c r="H808">
        <v>1</v>
      </c>
      <c r="I808" s="12">
        <v>750</v>
      </c>
      <c r="J808" s="12">
        <v>480</v>
      </c>
      <c r="K808">
        <v>8</v>
      </c>
      <c r="L808">
        <v>4</v>
      </c>
      <c r="M808">
        <v>700</v>
      </c>
      <c r="N808" s="12">
        <f>+gemini_code_1787702791259[[#This Row],[Cantidad]]*gemini_code_1787702791259[[#This Row],[Precio_Unitario_USD]]</f>
        <v>750</v>
      </c>
      <c r="O808" s="12">
        <f>+gemini_code_1787702791259[[#This Row],[Cantidad]]*gemini_code_1787702791259[[#This Row],[Costo_Unitario_USD]]</f>
        <v>480</v>
      </c>
      <c r="P808" s="12">
        <f>+gemini_code_1787702791259[[#This Row],[venta total]]-gemini_code_1787702791259[[#This Row],[Costo total]]</f>
        <v>270</v>
      </c>
      <c r="Q808" s="2">
        <f>gemini_code_1787702791259[[#This Row],[Ganancia bruta]]/gemini_code_1787702791259[[#This Row],[venta total]]</f>
        <v>0.36</v>
      </c>
      <c r="R808" t="str">
        <f>IF(gemini_code_1787702791259[[#This Row],[Dias_Entrega]]&lt;=gemini_code_1787702791259[[#This Row],[Promesa_SLA_Dias]],"A tiempo","Fuera de SLA")</f>
        <v>Fuera de SLA</v>
      </c>
    </row>
    <row r="809" spans="1:18" x14ac:dyDescent="0.25">
      <c r="A809" t="s">
        <v>79</v>
      </c>
      <c r="B809" s="1">
        <v>46244</v>
      </c>
      <c r="C809" t="s">
        <v>14</v>
      </c>
      <c r="D809" t="s">
        <v>15</v>
      </c>
      <c r="E809" t="s">
        <v>16</v>
      </c>
      <c r="F809" t="s">
        <v>31</v>
      </c>
      <c r="G809" t="s">
        <v>80</v>
      </c>
      <c r="H809">
        <v>4</v>
      </c>
      <c r="I809" s="12">
        <v>140</v>
      </c>
      <c r="J809" s="12">
        <v>75</v>
      </c>
      <c r="K809">
        <v>3</v>
      </c>
      <c r="L809">
        <v>3</v>
      </c>
      <c r="M809">
        <v>500</v>
      </c>
      <c r="N809" s="12">
        <f>+gemini_code_1787702791259[[#This Row],[Cantidad]]*gemini_code_1787702791259[[#This Row],[Precio_Unitario_USD]]</f>
        <v>560</v>
      </c>
      <c r="O809" s="12">
        <f>+gemini_code_1787702791259[[#This Row],[Cantidad]]*gemini_code_1787702791259[[#This Row],[Costo_Unitario_USD]]</f>
        <v>300</v>
      </c>
      <c r="P809" s="12">
        <f>+gemini_code_1787702791259[[#This Row],[venta total]]-gemini_code_1787702791259[[#This Row],[Costo total]]</f>
        <v>260</v>
      </c>
      <c r="Q809" s="2">
        <f>gemini_code_1787702791259[[#This Row],[Ganancia bruta]]/gemini_code_1787702791259[[#This Row],[venta total]]</f>
        <v>0.4642857142857143</v>
      </c>
      <c r="R809" t="str">
        <f>IF(gemini_code_1787702791259[[#This Row],[Dias_Entrega]]&lt;=gemini_code_1787702791259[[#This Row],[Promesa_SLA_Dias]],"A tiempo","Fuera de SLA")</f>
        <v>A tiempo</v>
      </c>
    </row>
    <row r="810" spans="1:18" x14ac:dyDescent="0.25">
      <c r="A810" t="s">
        <v>81</v>
      </c>
      <c r="B810" s="1">
        <v>46244</v>
      </c>
      <c r="C810" t="s">
        <v>20</v>
      </c>
      <c r="D810" t="s">
        <v>21</v>
      </c>
      <c r="E810" t="s">
        <v>22</v>
      </c>
      <c r="F810" t="s">
        <v>17</v>
      </c>
      <c r="G810" t="s">
        <v>82</v>
      </c>
      <c r="H810">
        <v>6</v>
      </c>
      <c r="I810" s="12">
        <v>90</v>
      </c>
      <c r="J810" s="12">
        <v>50</v>
      </c>
      <c r="K810">
        <v>1</v>
      </c>
      <c r="L810">
        <v>2</v>
      </c>
      <c r="M810">
        <v>500</v>
      </c>
      <c r="N810" s="12">
        <f>+gemini_code_1787702791259[[#This Row],[Cantidad]]*gemini_code_1787702791259[[#This Row],[Precio_Unitario_USD]]</f>
        <v>540</v>
      </c>
      <c r="O810" s="12">
        <f>+gemini_code_1787702791259[[#This Row],[Cantidad]]*gemini_code_1787702791259[[#This Row],[Costo_Unitario_USD]]</f>
        <v>300</v>
      </c>
      <c r="P810" s="12">
        <f>+gemini_code_1787702791259[[#This Row],[venta total]]-gemini_code_1787702791259[[#This Row],[Costo total]]</f>
        <v>240</v>
      </c>
      <c r="Q810" s="2">
        <f>gemini_code_1787702791259[[#This Row],[Ganancia bruta]]/gemini_code_1787702791259[[#This Row],[venta total]]</f>
        <v>0.44444444444444442</v>
      </c>
      <c r="R810" t="str">
        <f>IF(gemini_code_1787702791259[[#This Row],[Dias_Entrega]]&lt;=gemini_code_1787702791259[[#This Row],[Promesa_SLA_Dias]],"A tiempo","Fuera de SLA")</f>
        <v>A tiempo</v>
      </c>
    </row>
    <row r="811" spans="1:18" x14ac:dyDescent="0.25">
      <c r="A811" t="s">
        <v>83</v>
      </c>
      <c r="B811" s="1">
        <v>46244</v>
      </c>
      <c r="C811" t="s">
        <v>26</v>
      </c>
      <c r="D811" t="s">
        <v>27</v>
      </c>
      <c r="E811" t="s">
        <v>16</v>
      </c>
      <c r="F811" t="s">
        <v>23</v>
      </c>
      <c r="G811" t="s">
        <v>84</v>
      </c>
      <c r="H811">
        <v>6</v>
      </c>
      <c r="I811" s="12">
        <v>60</v>
      </c>
      <c r="J811" s="12">
        <v>28</v>
      </c>
      <c r="K811">
        <v>5</v>
      </c>
      <c r="L811">
        <v>3</v>
      </c>
      <c r="M811">
        <v>350</v>
      </c>
      <c r="N811" s="12">
        <f>+gemini_code_1787702791259[[#This Row],[Cantidad]]*gemini_code_1787702791259[[#This Row],[Precio_Unitario_USD]]</f>
        <v>360</v>
      </c>
      <c r="O811" s="12">
        <f>+gemini_code_1787702791259[[#This Row],[Cantidad]]*gemini_code_1787702791259[[#This Row],[Costo_Unitario_USD]]</f>
        <v>168</v>
      </c>
      <c r="P811" s="12">
        <f>+gemini_code_1787702791259[[#This Row],[venta total]]-gemini_code_1787702791259[[#This Row],[Costo total]]</f>
        <v>192</v>
      </c>
      <c r="Q811" s="2">
        <f>gemini_code_1787702791259[[#This Row],[Ganancia bruta]]/gemini_code_1787702791259[[#This Row],[venta total]]</f>
        <v>0.53333333333333333</v>
      </c>
      <c r="R811" t="str">
        <f>IF(gemini_code_1787702791259[[#This Row],[Dias_Entrega]]&lt;=gemini_code_1787702791259[[#This Row],[Promesa_SLA_Dias]],"A tiempo","Fuera de SLA")</f>
        <v>Fuera de SLA</v>
      </c>
    </row>
    <row r="812" spans="1:18" x14ac:dyDescent="0.25">
      <c r="A812" t="s">
        <v>13</v>
      </c>
      <c r="B812" s="1">
        <v>46235</v>
      </c>
      <c r="C812" t="s">
        <v>14</v>
      </c>
      <c r="D812" t="s">
        <v>15</v>
      </c>
      <c r="E812" t="s">
        <v>16</v>
      </c>
      <c r="F812" t="s">
        <v>17</v>
      </c>
      <c r="G812" t="s">
        <v>18</v>
      </c>
      <c r="H812">
        <v>2</v>
      </c>
      <c r="I812" s="12">
        <v>850</v>
      </c>
      <c r="J812" s="12">
        <v>600</v>
      </c>
      <c r="K812">
        <v>2</v>
      </c>
      <c r="L812">
        <v>3</v>
      </c>
      <c r="M812">
        <v>1500</v>
      </c>
      <c r="N812" s="12">
        <f>+gemini_code_1787702791259[[#This Row],[Cantidad]]*gemini_code_1787702791259[[#This Row],[Precio_Unitario_USD]]</f>
        <v>1700</v>
      </c>
      <c r="O812" s="12">
        <f>+gemini_code_1787702791259[[#This Row],[Cantidad]]*gemini_code_1787702791259[[#This Row],[Costo_Unitario_USD]]</f>
        <v>1200</v>
      </c>
      <c r="P812" s="12">
        <f>+gemini_code_1787702791259[[#This Row],[venta total]]-gemini_code_1787702791259[[#This Row],[Costo total]]</f>
        <v>500</v>
      </c>
      <c r="Q812" s="2">
        <f>gemini_code_1787702791259[[#This Row],[Ganancia bruta]]/gemini_code_1787702791259[[#This Row],[venta total]]</f>
        <v>0.29411764705882354</v>
      </c>
      <c r="R812" t="str">
        <f>IF(gemini_code_1787702791259[[#This Row],[Dias_Entrega]]&lt;=gemini_code_1787702791259[[#This Row],[Promesa_SLA_Dias]],"A tiempo","Fuera de SLA")</f>
        <v>A tiempo</v>
      </c>
    </row>
    <row r="813" spans="1:18" x14ac:dyDescent="0.25">
      <c r="A813" t="s">
        <v>19</v>
      </c>
      <c r="B813" s="1">
        <v>46235</v>
      </c>
      <c r="C813" t="s">
        <v>20</v>
      </c>
      <c r="D813" t="s">
        <v>21</v>
      </c>
      <c r="E813" t="s">
        <v>22</v>
      </c>
      <c r="F813" t="s">
        <v>23</v>
      </c>
      <c r="G813" t="s">
        <v>24</v>
      </c>
      <c r="H813">
        <v>5</v>
      </c>
      <c r="I813" s="12">
        <v>120</v>
      </c>
      <c r="J813" s="12">
        <v>70</v>
      </c>
      <c r="K813">
        <v>3</v>
      </c>
      <c r="L813">
        <v>3</v>
      </c>
      <c r="M813">
        <v>500</v>
      </c>
      <c r="N813" s="12">
        <f>+gemini_code_1787702791259[[#This Row],[Cantidad]]*gemini_code_1787702791259[[#This Row],[Precio_Unitario_USD]]</f>
        <v>600</v>
      </c>
      <c r="O813" s="12">
        <f>+gemini_code_1787702791259[[#This Row],[Cantidad]]*gemini_code_1787702791259[[#This Row],[Costo_Unitario_USD]]</f>
        <v>350</v>
      </c>
      <c r="P813" s="12">
        <f>+gemini_code_1787702791259[[#This Row],[venta total]]-gemini_code_1787702791259[[#This Row],[Costo total]]</f>
        <v>250</v>
      </c>
      <c r="Q813" s="2">
        <f>gemini_code_1787702791259[[#This Row],[Ganancia bruta]]/gemini_code_1787702791259[[#This Row],[venta total]]</f>
        <v>0.41666666666666669</v>
      </c>
      <c r="R813" t="str">
        <f>IF(gemini_code_1787702791259[[#This Row],[Dias_Entrega]]&lt;=gemini_code_1787702791259[[#This Row],[Promesa_SLA_Dias]],"A tiempo","Fuera de SLA")</f>
        <v>A tiempo</v>
      </c>
    </row>
    <row r="814" spans="1:18" x14ac:dyDescent="0.25">
      <c r="A814" t="s">
        <v>25</v>
      </c>
      <c r="B814" s="1">
        <v>46235</v>
      </c>
      <c r="C814" t="s">
        <v>26</v>
      </c>
      <c r="D814" t="s">
        <v>27</v>
      </c>
      <c r="E814" t="s">
        <v>16</v>
      </c>
      <c r="F814" t="s">
        <v>28</v>
      </c>
      <c r="G814" t="s">
        <v>29</v>
      </c>
      <c r="H814">
        <v>3</v>
      </c>
      <c r="I814" s="12">
        <v>90</v>
      </c>
      <c r="J814" s="12">
        <v>50</v>
      </c>
      <c r="K814">
        <v>6</v>
      </c>
      <c r="L814">
        <v>4</v>
      </c>
      <c r="M814">
        <v>300</v>
      </c>
      <c r="N814" s="12">
        <f>+gemini_code_1787702791259[[#This Row],[Cantidad]]*gemini_code_1787702791259[[#This Row],[Precio_Unitario_USD]]</f>
        <v>270</v>
      </c>
      <c r="O814" s="12">
        <f>+gemini_code_1787702791259[[#This Row],[Cantidad]]*gemini_code_1787702791259[[#This Row],[Costo_Unitario_USD]]</f>
        <v>150</v>
      </c>
      <c r="P814" s="12">
        <f>+gemini_code_1787702791259[[#This Row],[venta total]]-gemini_code_1787702791259[[#This Row],[Costo total]]</f>
        <v>120</v>
      </c>
      <c r="Q814" s="2">
        <f>gemini_code_1787702791259[[#This Row],[Ganancia bruta]]/gemini_code_1787702791259[[#This Row],[venta total]]</f>
        <v>0.44444444444444442</v>
      </c>
      <c r="R814" t="str">
        <f>IF(gemini_code_1787702791259[[#This Row],[Dias_Entrega]]&lt;=gemini_code_1787702791259[[#This Row],[Promesa_SLA_Dias]],"A tiempo","Fuera de SLA")</f>
        <v>Fuera de SLA</v>
      </c>
    </row>
    <row r="815" spans="1:18" x14ac:dyDescent="0.25">
      <c r="A815" t="s">
        <v>30</v>
      </c>
      <c r="B815" s="1">
        <v>46236</v>
      </c>
      <c r="C815" t="s">
        <v>14</v>
      </c>
      <c r="D815" t="s">
        <v>15</v>
      </c>
      <c r="E815" t="s">
        <v>22</v>
      </c>
      <c r="F815" t="s">
        <v>31</v>
      </c>
      <c r="G815" t="s">
        <v>32</v>
      </c>
      <c r="H815">
        <v>4</v>
      </c>
      <c r="I815" s="12">
        <v>110</v>
      </c>
      <c r="J815" s="12">
        <v>60</v>
      </c>
      <c r="K815">
        <v>1</v>
      </c>
      <c r="L815">
        <v>2</v>
      </c>
      <c r="M815">
        <v>400</v>
      </c>
      <c r="N815" s="12">
        <f>+gemini_code_1787702791259[[#This Row],[Cantidad]]*gemini_code_1787702791259[[#This Row],[Precio_Unitario_USD]]</f>
        <v>440</v>
      </c>
      <c r="O815" s="12">
        <f>+gemini_code_1787702791259[[#This Row],[Cantidad]]*gemini_code_1787702791259[[#This Row],[Costo_Unitario_USD]]</f>
        <v>240</v>
      </c>
      <c r="P815" s="12">
        <f>+gemini_code_1787702791259[[#This Row],[venta total]]-gemini_code_1787702791259[[#This Row],[Costo total]]</f>
        <v>200</v>
      </c>
      <c r="Q815" s="2">
        <f>gemini_code_1787702791259[[#This Row],[Ganancia bruta]]/gemini_code_1787702791259[[#This Row],[venta total]]</f>
        <v>0.45454545454545453</v>
      </c>
      <c r="R815" t="str">
        <f>IF(gemini_code_1787702791259[[#This Row],[Dias_Entrega]]&lt;=gemini_code_1787702791259[[#This Row],[Promesa_SLA_Dias]],"A tiempo","Fuera de SLA")</f>
        <v>A tiempo</v>
      </c>
    </row>
    <row r="816" spans="1:18" x14ac:dyDescent="0.25">
      <c r="A816" t="s">
        <v>33</v>
      </c>
      <c r="B816" s="1">
        <v>46236</v>
      </c>
      <c r="C816" t="s">
        <v>20</v>
      </c>
      <c r="D816" t="s">
        <v>21</v>
      </c>
      <c r="E816" t="s">
        <v>16</v>
      </c>
      <c r="F816" t="s">
        <v>17</v>
      </c>
      <c r="G816" t="s">
        <v>34</v>
      </c>
      <c r="H816">
        <v>3</v>
      </c>
      <c r="I816" s="12">
        <v>650</v>
      </c>
      <c r="J816" s="12">
        <v>450</v>
      </c>
      <c r="K816">
        <v>2</v>
      </c>
      <c r="L816">
        <v>3</v>
      </c>
      <c r="M816">
        <v>1800</v>
      </c>
      <c r="N816" s="12">
        <f>+gemini_code_1787702791259[[#This Row],[Cantidad]]*gemini_code_1787702791259[[#This Row],[Precio_Unitario_USD]]</f>
        <v>1950</v>
      </c>
      <c r="O816" s="12">
        <f>+gemini_code_1787702791259[[#This Row],[Cantidad]]*gemini_code_1787702791259[[#This Row],[Costo_Unitario_USD]]</f>
        <v>1350</v>
      </c>
      <c r="P816" s="12">
        <f>+gemini_code_1787702791259[[#This Row],[venta total]]-gemini_code_1787702791259[[#This Row],[Costo total]]</f>
        <v>600</v>
      </c>
      <c r="Q816" s="2">
        <f>gemini_code_1787702791259[[#This Row],[Ganancia bruta]]/gemini_code_1787702791259[[#This Row],[venta total]]</f>
        <v>0.30769230769230771</v>
      </c>
      <c r="R816" t="str">
        <f>IF(gemini_code_1787702791259[[#This Row],[Dias_Entrega]]&lt;=gemini_code_1787702791259[[#This Row],[Promesa_SLA_Dias]],"A tiempo","Fuera de SLA")</f>
        <v>A tiempo</v>
      </c>
    </row>
    <row r="817" spans="1:18" x14ac:dyDescent="0.25">
      <c r="A817" t="s">
        <v>35</v>
      </c>
      <c r="B817" s="1">
        <v>46236</v>
      </c>
      <c r="C817" t="s">
        <v>26</v>
      </c>
      <c r="D817" t="s">
        <v>27</v>
      </c>
      <c r="E817" t="s">
        <v>16</v>
      </c>
      <c r="F817" t="s">
        <v>23</v>
      </c>
      <c r="G817" t="s">
        <v>36</v>
      </c>
      <c r="H817">
        <v>8</v>
      </c>
      <c r="I817" s="12">
        <v>45</v>
      </c>
      <c r="J817" s="12">
        <v>20</v>
      </c>
      <c r="K817">
        <v>5</v>
      </c>
      <c r="L817">
        <v>3</v>
      </c>
      <c r="M817">
        <v>400</v>
      </c>
      <c r="N817" s="12">
        <f>+gemini_code_1787702791259[[#This Row],[Cantidad]]*gemini_code_1787702791259[[#This Row],[Precio_Unitario_USD]]</f>
        <v>360</v>
      </c>
      <c r="O817" s="12">
        <f>+gemini_code_1787702791259[[#This Row],[Cantidad]]*gemini_code_1787702791259[[#This Row],[Costo_Unitario_USD]]</f>
        <v>160</v>
      </c>
      <c r="P817" s="12">
        <f>+gemini_code_1787702791259[[#This Row],[venta total]]-gemini_code_1787702791259[[#This Row],[Costo total]]</f>
        <v>200</v>
      </c>
      <c r="Q817" s="2">
        <f>gemini_code_1787702791259[[#This Row],[Ganancia bruta]]/gemini_code_1787702791259[[#This Row],[venta total]]</f>
        <v>0.55555555555555558</v>
      </c>
      <c r="R817" t="str">
        <f>IF(gemini_code_1787702791259[[#This Row],[Dias_Entrega]]&lt;=gemini_code_1787702791259[[#This Row],[Promesa_SLA_Dias]],"A tiempo","Fuera de SLA")</f>
        <v>Fuera de SLA</v>
      </c>
    </row>
    <row r="818" spans="1:18" x14ac:dyDescent="0.25">
      <c r="A818" t="s">
        <v>37</v>
      </c>
      <c r="B818" s="1">
        <v>46237</v>
      </c>
      <c r="C818" t="s">
        <v>14</v>
      </c>
      <c r="D818" t="s">
        <v>15</v>
      </c>
      <c r="E818" t="s">
        <v>16</v>
      </c>
      <c r="F818" t="s">
        <v>28</v>
      </c>
      <c r="G818" t="s">
        <v>38</v>
      </c>
      <c r="H818">
        <v>2</v>
      </c>
      <c r="I818" s="12">
        <v>280</v>
      </c>
      <c r="J818" s="12">
        <v>180</v>
      </c>
      <c r="K818">
        <v>3</v>
      </c>
      <c r="L818">
        <v>3</v>
      </c>
      <c r="M818">
        <v>500</v>
      </c>
      <c r="N818" s="12">
        <f>+gemini_code_1787702791259[[#This Row],[Cantidad]]*gemini_code_1787702791259[[#This Row],[Precio_Unitario_USD]]</f>
        <v>560</v>
      </c>
      <c r="O818" s="12">
        <f>+gemini_code_1787702791259[[#This Row],[Cantidad]]*gemini_code_1787702791259[[#This Row],[Costo_Unitario_USD]]</f>
        <v>360</v>
      </c>
      <c r="P818" s="12">
        <f>+gemini_code_1787702791259[[#This Row],[venta total]]-gemini_code_1787702791259[[#This Row],[Costo total]]</f>
        <v>200</v>
      </c>
      <c r="Q818" s="2">
        <f>gemini_code_1787702791259[[#This Row],[Ganancia bruta]]/gemini_code_1787702791259[[#This Row],[venta total]]</f>
        <v>0.35714285714285715</v>
      </c>
      <c r="R818" t="str">
        <f>IF(gemini_code_1787702791259[[#This Row],[Dias_Entrega]]&lt;=gemini_code_1787702791259[[#This Row],[Promesa_SLA_Dias]],"A tiempo","Fuera de SLA")</f>
        <v>A tiempo</v>
      </c>
    </row>
    <row r="819" spans="1:18" x14ac:dyDescent="0.25">
      <c r="A819" t="s">
        <v>39</v>
      </c>
      <c r="B819" s="1">
        <v>46237</v>
      </c>
      <c r="C819" t="s">
        <v>20</v>
      </c>
      <c r="D819" t="s">
        <v>21</v>
      </c>
      <c r="E819" t="s">
        <v>22</v>
      </c>
      <c r="F819" t="s">
        <v>31</v>
      </c>
      <c r="G819" t="s">
        <v>40</v>
      </c>
      <c r="H819">
        <v>3</v>
      </c>
      <c r="I819" s="12">
        <v>150</v>
      </c>
      <c r="J819" s="12">
        <v>85</v>
      </c>
      <c r="K819">
        <v>2</v>
      </c>
      <c r="L819">
        <v>2</v>
      </c>
      <c r="M819">
        <v>400</v>
      </c>
      <c r="N819" s="12">
        <f>+gemini_code_1787702791259[[#This Row],[Cantidad]]*gemini_code_1787702791259[[#This Row],[Precio_Unitario_USD]]</f>
        <v>450</v>
      </c>
      <c r="O819" s="12">
        <f>+gemini_code_1787702791259[[#This Row],[Cantidad]]*gemini_code_1787702791259[[#This Row],[Costo_Unitario_USD]]</f>
        <v>255</v>
      </c>
      <c r="P819" s="12">
        <f>+gemini_code_1787702791259[[#This Row],[venta total]]-gemini_code_1787702791259[[#This Row],[Costo total]]</f>
        <v>195</v>
      </c>
      <c r="Q819" s="2">
        <f>gemini_code_1787702791259[[#This Row],[Ganancia bruta]]/gemini_code_1787702791259[[#This Row],[venta total]]</f>
        <v>0.43333333333333335</v>
      </c>
      <c r="R819" t="str">
        <f>IF(gemini_code_1787702791259[[#This Row],[Dias_Entrega]]&lt;=gemini_code_1787702791259[[#This Row],[Promesa_SLA_Dias]],"A tiempo","Fuera de SLA")</f>
        <v>A tiempo</v>
      </c>
    </row>
    <row r="820" spans="1:18" x14ac:dyDescent="0.25">
      <c r="A820" t="s">
        <v>41</v>
      </c>
      <c r="B820" s="1">
        <v>46237</v>
      </c>
      <c r="C820" t="s">
        <v>26</v>
      </c>
      <c r="D820" t="s">
        <v>27</v>
      </c>
      <c r="E820" t="s">
        <v>16</v>
      </c>
      <c r="F820" t="s">
        <v>17</v>
      </c>
      <c r="G820" t="s">
        <v>42</v>
      </c>
      <c r="H820">
        <v>2</v>
      </c>
      <c r="I820" s="12">
        <v>520</v>
      </c>
      <c r="J820" s="12">
        <v>380</v>
      </c>
      <c r="K820">
        <v>7</v>
      </c>
      <c r="L820">
        <v>4</v>
      </c>
      <c r="M820">
        <v>1000</v>
      </c>
      <c r="N820" s="12">
        <f>+gemini_code_1787702791259[[#This Row],[Cantidad]]*gemini_code_1787702791259[[#This Row],[Precio_Unitario_USD]]</f>
        <v>1040</v>
      </c>
      <c r="O820" s="12">
        <f>+gemini_code_1787702791259[[#This Row],[Cantidad]]*gemini_code_1787702791259[[#This Row],[Costo_Unitario_USD]]</f>
        <v>760</v>
      </c>
      <c r="P820" s="12">
        <f>+gemini_code_1787702791259[[#This Row],[venta total]]-gemini_code_1787702791259[[#This Row],[Costo total]]</f>
        <v>280</v>
      </c>
      <c r="Q820" s="2">
        <f>gemini_code_1787702791259[[#This Row],[Ganancia bruta]]/gemini_code_1787702791259[[#This Row],[venta total]]</f>
        <v>0.26923076923076922</v>
      </c>
      <c r="R820" t="str">
        <f>IF(gemini_code_1787702791259[[#This Row],[Dias_Entrega]]&lt;=gemini_code_1787702791259[[#This Row],[Promesa_SLA_Dias]],"A tiempo","Fuera de SLA")</f>
        <v>Fuera de SLA</v>
      </c>
    </row>
    <row r="821" spans="1:18" x14ac:dyDescent="0.25">
      <c r="A821" t="s">
        <v>43</v>
      </c>
      <c r="B821" s="1">
        <v>46238</v>
      </c>
      <c r="C821" t="s">
        <v>14</v>
      </c>
      <c r="D821" t="s">
        <v>15</v>
      </c>
      <c r="E821" t="s">
        <v>22</v>
      </c>
      <c r="F821" t="s">
        <v>23</v>
      </c>
      <c r="G821" t="s">
        <v>44</v>
      </c>
      <c r="H821">
        <v>6</v>
      </c>
      <c r="I821" s="12">
        <v>55</v>
      </c>
      <c r="J821" s="12">
        <v>25</v>
      </c>
      <c r="K821">
        <v>2</v>
      </c>
      <c r="L821">
        <v>3</v>
      </c>
      <c r="M821">
        <v>300</v>
      </c>
      <c r="N821" s="12">
        <f>+gemini_code_1787702791259[[#This Row],[Cantidad]]*gemini_code_1787702791259[[#This Row],[Precio_Unitario_USD]]</f>
        <v>330</v>
      </c>
      <c r="O821" s="12">
        <f>+gemini_code_1787702791259[[#This Row],[Cantidad]]*gemini_code_1787702791259[[#This Row],[Costo_Unitario_USD]]</f>
        <v>150</v>
      </c>
      <c r="P821" s="12">
        <f>+gemini_code_1787702791259[[#This Row],[venta total]]-gemini_code_1787702791259[[#This Row],[Costo total]]</f>
        <v>180</v>
      </c>
      <c r="Q821" s="2">
        <f>gemini_code_1787702791259[[#This Row],[Ganancia bruta]]/gemini_code_1787702791259[[#This Row],[venta total]]</f>
        <v>0.54545454545454541</v>
      </c>
      <c r="R821" t="str">
        <f>IF(gemini_code_1787702791259[[#This Row],[Dias_Entrega]]&lt;=gemini_code_1787702791259[[#This Row],[Promesa_SLA_Dias]],"A tiempo","Fuera de SLA")</f>
        <v>A tiempo</v>
      </c>
    </row>
    <row r="822" spans="1:18" x14ac:dyDescent="0.25">
      <c r="A822" t="s">
        <v>45</v>
      </c>
      <c r="B822" s="1">
        <v>46238</v>
      </c>
      <c r="C822" t="s">
        <v>20</v>
      </c>
      <c r="D822" t="s">
        <v>21</v>
      </c>
      <c r="E822" t="s">
        <v>16</v>
      </c>
      <c r="F822" t="s">
        <v>28</v>
      </c>
      <c r="G822" t="s">
        <v>46</v>
      </c>
      <c r="H822">
        <v>1</v>
      </c>
      <c r="I822" s="12">
        <v>450</v>
      </c>
      <c r="J822" s="12">
        <v>290</v>
      </c>
      <c r="K822">
        <v>4</v>
      </c>
      <c r="L822">
        <v>3</v>
      </c>
      <c r="M822">
        <v>400</v>
      </c>
      <c r="N822" s="12">
        <f>+gemini_code_1787702791259[[#This Row],[Cantidad]]*gemini_code_1787702791259[[#This Row],[Precio_Unitario_USD]]</f>
        <v>450</v>
      </c>
      <c r="O822" s="12">
        <f>+gemini_code_1787702791259[[#This Row],[Cantidad]]*gemini_code_1787702791259[[#This Row],[Costo_Unitario_USD]]</f>
        <v>290</v>
      </c>
      <c r="P822" s="12">
        <f>+gemini_code_1787702791259[[#This Row],[venta total]]-gemini_code_1787702791259[[#This Row],[Costo total]]</f>
        <v>160</v>
      </c>
      <c r="Q822" s="2">
        <f>gemini_code_1787702791259[[#This Row],[Ganancia bruta]]/gemini_code_1787702791259[[#This Row],[venta total]]</f>
        <v>0.35555555555555557</v>
      </c>
      <c r="R822" t="str">
        <f>IF(gemini_code_1787702791259[[#This Row],[Dias_Entrega]]&lt;=gemini_code_1787702791259[[#This Row],[Promesa_SLA_Dias]],"A tiempo","Fuera de SLA")</f>
        <v>Fuera de SLA</v>
      </c>
    </row>
    <row r="823" spans="1:18" x14ac:dyDescent="0.25">
      <c r="A823" t="s">
        <v>47</v>
      </c>
      <c r="B823" s="1">
        <v>46238</v>
      </c>
      <c r="C823" t="s">
        <v>26</v>
      </c>
      <c r="D823" t="s">
        <v>27</v>
      </c>
      <c r="E823" t="s">
        <v>22</v>
      </c>
      <c r="F823" t="s">
        <v>31</v>
      </c>
      <c r="G823" t="s">
        <v>48</v>
      </c>
      <c r="H823">
        <v>10</v>
      </c>
      <c r="I823" s="12">
        <v>35</v>
      </c>
      <c r="J823" s="12">
        <v>15</v>
      </c>
      <c r="K823">
        <v>4</v>
      </c>
      <c r="L823">
        <v>3</v>
      </c>
      <c r="M823">
        <v>300</v>
      </c>
      <c r="N823" s="12">
        <f>+gemini_code_1787702791259[[#This Row],[Cantidad]]*gemini_code_1787702791259[[#This Row],[Precio_Unitario_USD]]</f>
        <v>350</v>
      </c>
      <c r="O823" s="12">
        <f>+gemini_code_1787702791259[[#This Row],[Cantidad]]*gemini_code_1787702791259[[#This Row],[Costo_Unitario_USD]]</f>
        <v>150</v>
      </c>
      <c r="P823" s="12">
        <f>+gemini_code_1787702791259[[#This Row],[venta total]]-gemini_code_1787702791259[[#This Row],[Costo total]]</f>
        <v>200</v>
      </c>
      <c r="Q823" s="2">
        <f>gemini_code_1787702791259[[#This Row],[Ganancia bruta]]/gemini_code_1787702791259[[#This Row],[venta total]]</f>
        <v>0.5714285714285714</v>
      </c>
      <c r="R823" t="str">
        <f>IF(gemini_code_1787702791259[[#This Row],[Dias_Entrega]]&lt;=gemini_code_1787702791259[[#This Row],[Promesa_SLA_Dias]],"A tiempo","Fuera de SLA")</f>
        <v>Fuera de SLA</v>
      </c>
    </row>
    <row r="824" spans="1:18" x14ac:dyDescent="0.25">
      <c r="A824" t="s">
        <v>49</v>
      </c>
      <c r="B824" s="1">
        <v>46239</v>
      </c>
      <c r="C824" t="s">
        <v>14</v>
      </c>
      <c r="D824" t="s">
        <v>15</v>
      </c>
      <c r="E824" t="s">
        <v>16</v>
      </c>
      <c r="F824" t="s">
        <v>17</v>
      </c>
      <c r="G824" t="s">
        <v>50</v>
      </c>
      <c r="H824">
        <v>4</v>
      </c>
      <c r="I824" s="12">
        <v>220</v>
      </c>
      <c r="J824" s="12">
        <v>140</v>
      </c>
      <c r="K824">
        <v>2</v>
      </c>
      <c r="L824">
        <v>3</v>
      </c>
      <c r="M824">
        <v>800</v>
      </c>
      <c r="N824" s="12">
        <f>+gemini_code_1787702791259[[#This Row],[Cantidad]]*gemini_code_1787702791259[[#This Row],[Precio_Unitario_USD]]</f>
        <v>880</v>
      </c>
      <c r="O824" s="12">
        <f>+gemini_code_1787702791259[[#This Row],[Cantidad]]*gemini_code_1787702791259[[#This Row],[Costo_Unitario_USD]]</f>
        <v>560</v>
      </c>
      <c r="P824" s="12">
        <f>+gemini_code_1787702791259[[#This Row],[venta total]]-gemini_code_1787702791259[[#This Row],[Costo total]]</f>
        <v>320</v>
      </c>
      <c r="Q824" s="2">
        <f>gemini_code_1787702791259[[#This Row],[Ganancia bruta]]/gemini_code_1787702791259[[#This Row],[venta total]]</f>
        <v>0.36363636363636365</v>
      </c>
      <c r="R824" t="str">
        <f>IF(gemini_code_1787702791259[[#This Row],[Dias_Entrega]]&lt;=gemini_code_1787702791259[[#This Row],[Promesa_SLA_Dias]],"A tiempo","Fuera de SLA")</f>
        <v>A tiempo</v>
      </c>
    </row>
    <row r="825" spans="1:18" x14ac:dyDescent="0.25">
      <c r="A825" t="s">
        <v>51</v>
      </c>
      <c r="B825" s="1">
        <v>46239</v>
      </c>
      <c r="C825" t="s">
        <v>20</v>
      </c>
      <c r="D825" t="s">
        <v>21</v>
      </c>
      <c r="E825" t="s">
        <v>16</v>
      </c>
      <c r="F825" t="s">
        <v>23</v>
      </c>
      <c r="G825" t="s">
        <v>52</v>
      </c>
      <c r="H825">
        <v>5</v>
      </c>
      <c r="I825" s="12">
        <v>65</v>
      </c>
      <c r="J825" s="12">
        <v>30</v>
      </c>
      <c r="K825">
        <v>2</v>
      </c>
      <c r="L825">
        <v>3</v>
      </c>
      <c r="M825">
        <v>300</v>
      </c>
      <c r="N825" s="12">
        <f>+gemini_code_1787702791259[[#This Row],[Cantidad]]*gemini_code_1787702791259[[#This Row],[Precio_Unitario_USD]]</f>
        <v>325</v>
      </c>
      <c r="O825" s="12">
        <f>+gemini_code_1787702791259[[#This Row],[Cantidad]]*gemini_code_1787702791259[[#This Row],[Costo_Unitario_USD]]</f>
        <v>150</v>
      </c>
      <c r="P825" s="12">
        <f>+gemini_code_1787702791259[[#This Row],[venta total]]-gemini_code_1787702791259[[#This Row],[Costo total]]</f>
        <v>175</v>
      </c>
      <c r="Q825" s="2">
        <f>gemini_code_1787702791259[[#This Row],[Ganancia bruta]]/gemini_code_1787702791259[[#This Row],[venta total]]</f>
        <v>0.53846153846153844</v>
      </c>
      <c r="R825" t="str">
        <f>IF(gemini_code_1787702791259[[#This Row],[Dias_Entrega]]&lt;=gemini_code_1787702791259[[#This Row],[Promesa_SLA_Dias]],"A tiempo","Fuera de SLA")</f>
        <v>A tiempo</v>
      </c>
    </row>
    <row r="826" spans="1:18" x14ac:dyDescent="0.25">
      <c r="A826" t="s">
        <v>53</v>
      </c>
      <c r="B826" s="1">
        <v>46239</v>
      </c>
      <c r="C826" t="s">
        <v>26</v>
      </c>
      <c r="D826" t="s">
        <v>27</v>
      </c>
      <c r="E826" t="s">
        <v>16</v>
      </c>
      <c r="F826" t="s">
        <v>28</v>
      </c>
      <c r="G826" t="s">
        <v>54</v>
      </c>
      <c r="H826">
        <v>2</v>
      </c>
      <c r="I826" s="12">
        <v>180</v>
      </c>
      <c r="J826" s="12">
        <v>110</v>
      </c>
      <c r="K826">
        <v>6</v>
      </c>
      <c r="L826">
        <v>3</v>
      </c>
      <c r="M826">
        <v>350</v>
      </c>
      <c r="N826" s="12">
        <f>+gemini_code_1787702791259[[#This Row],[Cantidad]]*gemini_code_1787702791259[[#This Row],[Precio_Unitario_USD]]</f>
        <v>360</v>
      </c>
      <c r="O826" s="12">
        <f>+gemini_code_1787702791259[[#This Row],[Cantidad]]*gemini_code_1787702791259[[#This Row],[Costo_Unitario_USD]]</f>
        <v>220</v>
      </c>
      <c r="P826" s="12">
        <f>+gemini_code_1787702791259[[#This Row],[venta total]]-gemini_code_1787702791259[[#This Row],[Costo total]]</f>
        <v>140</v>
      </c>
      <c r="Q826" s="2">
        <f>gemini_code_1787702791259[[#This Row],[Ganancia bruta]]/gemini_code_1787702791259[[#This Row],[venta total]]</f>
        <v>0.3888888888888889</v>
      </c>
      <c r="R826" t="str">
        <f>IF(gemini_code_1787702791259[[#This Row],[Dias_Entrega]]&lt;=gemini_code_1787702791259[[#This Row],[Promesa_SLA_Dias]],"A tiempo","Fuera de SLA")</f>
        <v>Fuera de SLA</v>
      </c>
    </row>
    <row r="827" spans="1:18" x14ac:dyDescent="0.25">
      <c r="A827" t="s">
        <v>55</v>
      </c>
      <c r="B827" s="1">
        <v>46240</v>
      </c>
      <c r="C827" t="s">
        <v>14</v>
      </c>
      <c r="D827" t="s">
        <v>15</v>
      </c>
      <c r="E827" t="s">
        <v>22</v>
      </c>
      <c r="F827" t="s">
        <v>31</v>
      </c>
      <c r="G827" t="s">
        <v>56</v>
      </c>
      <c r="H827">
        <v>6</v>
      </c>
      <c r="I827" s="12">
        <v>85</v>
      </c>
      <c r="J827" s="12">
        <v>45</v>
      </c>
      <c r="K827">
        <v>1</v>
      </c>
      <c r="L827">
        <v>2</v>
      </c>
      <c r="M827">
        <v>500</v>
      </c>
      <c r="N827" s="12">
        <f>+gemini_code_1787702791259[[#This Row],[Cantidad]]*gemini_code_1787702791259[[#This Row],[Precio_Unitario_USD]]</f>
        <v>510</v>
      </c>
      <c r="O827" s="12">
        <f>+gemini_code_1787702791259[[#This Row],[Cantidad]]*gemini_code_1787702791259[[#This Row],[Costo_Unitario_USD]]</f>
        <v>270</v>
      </c>
      <c r="P827" s="12">
        <f>+gemini_code_1787702791259[[#This Row],[venta total]]-gemini_code_1787702791259[[#This Row],[Costo total]]</f>
        <v>240</v>
      </c>
      <c r="Q827" s="2">
        <f>gemini_code_1787702791259[[#This Row],[Ganancia bruta]]/gemini_code_1787702791259[[#This Row],[venta total]]</f>
        <v>0.47058823529411764</v>
      </c>
      <c r="R827" t="str">
        <f>IF(gemini_code_1787702791259[[#This Row],[Dias_Entrega]]&lt;=gemini_code_1787702791259[[#This Row],[Promesa_SLA_Dias]],"A tiempo","Fuera de SLA")</f>
        <v>A tiempo</v>
      </c>
    </row>
    <row r="828" spans="1:18" x14ac:dyDescent="0.25">
      <c r="A828" t="s">
        <v>57</v>
      </c>
      <c r="B828" s="1">
        <v>46240</v>
      </c>
      <c r="C828" t="s">
        <v>20</v>
      </c>
      <c r="D828" t="s">
        <v>21</v>
      </c>
      <c r="E828" t="s">
        <v>16</v>
      </c>
      <c r="F828" t="s">
        <v>17</v>
      </c>
      <c r="G828" t="s">
        <v>58</v>
      </c>
      <c r="H828">
        <v>12</v>
      </c>
      <c r="I828" s="12">
        <v>75</v>
      </c>
      <c r="J828" s="12">
        <v>35</v>
      </c>
      <c r="K828">
        <v>1</v>
      </c>
      <c r="L828">
        <v>2</v>
      </c>
      <c r="M828">
        <v>800</v>
      </c>
      <c r="N828" s="12">
        <f>+gemini_code_1787702791259[[#This Row],[Cantidad]]*gemini_code_1787702791259[[#This Row],[Precio_Unitario_USD]]</f>
        <v>900</v>
      </c>
      <c r="O828" s="12">
        <f>+gemini_code_1787702791259[[#This Row],[Cantidad]]*gemini_code_1787702791259[[#This Row],[Costo_Unitario_USD]]</f>
        <v>420</v>
      </c>
      <c r="P828" s="12">
        <f>+gemini_code_1787702791259[[#This Row],[venta total]]-gemini_code_1787702791259[[#This Row],[Costo total]]</f>
        <v>480</v>
      </c>
      <c r="Q828" s="2">
        <f>gemini_code_1787702791259[[#This Row],[Ganancia bruta]]/gemini_code_1787702791259[[#This Row],[venta total]]</f>
        <v>0.53333333333333333</v>
      </c>
      <c r="R828" t="str">
        <f>IF(gemini_code_1787702791259[[#This Row],[Dias_Entrega]]&lt;=gemini_code_1787702791259[[#This Row],[Promesa_SLA_Dias]],"A tiempo","Fuera de SLA")</f>
        <v>A tiempo</v>
      </c>
    </row>
    <row r="829" spans="1:18" x14ac:dyDescent="0.25">
      <c r="A829" t="s">
        <v>59</v>
      </c>
      <c r="B829" s="1">
        <v>46240</v>
      </c>
      <c r="C829" t="s">
        <v>26</v>
      </c>
      <c r="D829" t="s">
        <v>27</v>
      </c>
      <c r="E829" t="s">
        <v>22</v>
      </c>
      <c r="F829" t="s">
        <v>23</v>
      </c>
      <c r="G829" t="s">
        <v>60</v>
      </c>
      <c r="H829">
        <v>4</v>
      </c>
      <c r="I829" s="12">
        <v>110</v>
      </c>
      <c r="J829" s="12">
        <v>55</v>
      </c>
      <c r="K829">
        <v>5</v>
      </c>
      <c r="L829">
        <v>3</v>
      </c>
      <c r="M829">
        <v>400</v>
      </c>
      <c r="N829" s="12">
        <f>+gemini_code_1787702791259[[#This Row],[Cantidad]]*gemini_code_1787702791259[[#This Row],[Precio_Unitario_USD]]</f>
        <v>440</v>
      </c>
      <c r="O829" s="12">
        <f>+gemini_code_1787702791259[[#This Row],[Cantidad]]*gemini_code_1787702791259[[#This Row],[Costo_Unitario_USD]]</f>
        <v>220</v>
      </c>
      <c r="P829" s="12">
        <f>+gemini_code_1787702791259[[#This Row],[venta total]]-gemini_code_1787702791259[[#This Row],[Costo total]]</f>
        <v>220</v>
      </c>
      <c r="Q829" s="2">
        <f>gemini_code_1787702791259[[#This Row],[Ganancia bruta]]/gemini_code_1787702791259[[#This Row],[venta total]]</f>
        <v>0.5</v>
      </c>
      <c r="R829" t="str">
        <f>IF(gemini_code_1787702791259[[#This Row],[Dias_Entrega]]&lt;=gemini_code_1787702791259[[#This Row],[Promesa_SLA_Dias]],"A tiempo","Fuera de SLA")</f>
        <v>Fuera de SLA</v>
      </c>
    </row>
    <row r="830" spans="1:18" x14ac:dyDescent="0.25">
      <c r="A830" t="s">
        <v>61</v>
      </c>
      <c r="B830" s="1">
        <v>46241</v>
      </c>
      <c r="C830" t="s">
        <v>14</v>
      </c>
      <c r="D830" t="s">
        <v>15</v>
      </c>
      <c r="E830" t="s">
        <v>16</v>
      </c>
      <c r="F830" t="s">
        <v>28</v>
      </c>
      <c r="G830" t="s">
        <v>62</v>
      </c>
      <c r="H830">
        <v>15</v>
      </c>
      <c r="I830" s="12">
        <v>25</v>
      </c>
      <c r="J830" s="12">
        <v>10</v>
      </c>
      <c r="K830">
        <v>2</v>
      </c>
      <c r="L830">
        <v>3</v>
      </c>
      <c r="M830">
        <v>300</v>
      </c>
      <c r="N830" s="12">
        <f>+gemini_code_1787702791259[[#This Row],[Cantidad]]*gemini_code_1787702791259[[#This Row],[Precio_Unitario_USD]]</f>
        <v>375</v>
      </c>
      <c r="O830" s="12">
        <f>+gemini_code_1787702791259[[#This Row],[Cantidad]]*gemini_code_1787702791259[[#This Row],[Costo_Unitario_USD]]</f>
        <v>150</v>
      </c>
      <c r="P830" s="12">
        <f>+gemini_code_1787702791259[[#This Row],[venta total]]-gemini_code_1787702791259[[#This Row],[Costo total]]</f>
        <v>225</v>
      </c>
      <c r="Q830" s="2">
        <f>gemini_code_1787702791259[[#This Row],[Ganancia bruta]]/gemini_code_1787702791259[[#This Row],[venta total]]</f>
        <v>0.6</v>
      </c>
      <c r="R830" t="str">
        <f>IF(gemini_code_1787702791259[[#This Row],[Dias_Entrega]]&lt;=gemini_code_1787702791259[[#This Row],[Promesa_SLA_Dias]],"A tiempo","Fuera de SLA")</f>
        <v>A tiempo</v>
      </c>
    </row>
    <row r="831" spans="1:18" x14ac:dyDescent="0.25">
      <c r="A831" t="s">
        <v>63</v>
      </c>
      <c r="B831" s="1">
        <v>46241</v>
      </c>
      <c r="C831" t="s">
        <v>20</v>
      </c>
      <c r="D831" t="s">
        <v>21</v>
      </c>
      <c r="E831" t="s">
        <v>22</v>
      </c>
      <c r="F831" t="s">
        <v>31</v>
      </c>
      <c r="G831" t="s">
        <v>64</v>
      </c>
      <c r="H831">
        <v>5</v>
      </c>
      <c r="I831" s="12">
        <v>130</v>
      </c>
      <c r="J831" s="12">
        <v>70</v>
      </c>
      <c r="K831">
        <v>3</v>
      </c>
      <c r="L831">
        <v>3</v>
      </c>
      <c r="M831">
        <v>600</v>
      </c>
      <c r="N831" s="12">
        <f>+gemini_code_1787702791259[[#This Row],[Cantidad]]*gemini_code_1787702791259[[#This Row],[Precio_Unitario_USD]]</f>
        <v>650</v>
      </c>
      <c r="O831" s="12">
        <f>+gemini_code_1787702791259[[#This Row],[Cantidad]]*gemini_code_1787702791259[[#This Row],[Costo_Unitario_USD]]</f>
        <v>350</v>
      </c>
      <c r="P831" s="12">
        <f>+gemini_code_1787702791259[[#This Row],[venta total]]-gemini_code_1787702791259[[#This Row],[Costo total]]</f>
        <v>300</v>
      </c>
      <c r="Q831" s="2">
        <f>gemini_code_1787702791259[[#This Row],[Ganancia bruta]]/gemini_code_1787702791259[[#This Row],[venta total]]</f>
        <v>0.46153846153846156</v>
      </c>
      <c r="R831" t="str">
        <f>IF(gemini_code_1787702791259[[#This Row],[Dias_Entrega]]&lt;=gemini_code_1787702791259[[#This Row],[Promesa_SLA_Dias]],"A tiempo","Fuera de SLA")</f>
        <v>A tiempo</v>
      </c>
    </row>
    <row r="832" spans="1:18" x14ac:dyDescent="0.25">
      <c r="A832" t="s">
        <v>65</v>
      </c>
      <c r="B832" s="1">
        <v>46241</v>
      </c>
      <c r="C832" t="s">
        <v>26</v>
      </c>
      <c r="D832" t="s">
        <v>27</v>
      </c>
      <c r="E832" t="s">
        <v>16</v>
      </c>
      <c r="F832" t="s">
        <v>17</v>
      </c>
      <c r="G832" t="s">
        <v>66</v>
      </c>
      <c r="H832">
        <v>2</v>
      </c>
      <c r="I832" s="12">
        <v>500</v>
      </c>
      <c r="J832" s="12">
        <v>380</v>
      </c>
      <c r="K832">
        <v>6</v>
      </c>
      <c r="L832">
        <v>4</v>
      </c>
      <c r="M832">
        <v>900</v>
      </c>
      <c r="N832" s="12">
        <f>+gemini_code_1787702791259[[#This Row],[Cantidad]]*gemini_code_1787702791259[[#This Row],[Precio_Unitario_USD]]</f>
        <v>1000</v>
      </c>
      <c r="O832" s="12">
        <f>+gemini_code_1787702791259[[#This Row],[Cantidad]]*gemini_code_1787702791259[[#This Row],[Costo_Unitario_USD]]</f>
        <v>760</v>
      </c>
      <c r="P832" s="12">
        <f>+gemini_code_1787702791259[[#This Row],[venta total]]-gemini_code_1787702791259[[#This Row],[Costo total]]</f>
        <v>240</v>
      </c>
      <c r="Q832" s="2">
        <f>gemini_code_1787702791259[[#This Row],[Ganancia bruta]]/gemini_code_1787702791259[[#This Row],[venta total]]</f>
        <v>0.24</v>
      </c>
      <c r="R832" t="str">
        <f>IF(gemini_code_1787702791259[[#This Row],[Dias_Entrega]]&lt;=gemini_code_1787702791259[[#This Row],[Promesa_SLA_Dias]],"A tiempo","Fuera de SLA")</f>
        <v>Fuera de SLA</v>
      </c>
    </row>
    <row r="833" spans="1:18" x14ac:dyDescent="0.25">
      <c r="A833" t="s">
        <v>67</v>
      </c>
      <c r="B833" s="1">
        <v>46242</v>
      </c>
      <c r="C833" t="s">
        <v>14</v>
      </c>
      <c r="D833" t="s">
        <v>15</v>
      </c>
      <c r="E833" t="s">
        <v>16</v>
      </c>
      <c r="F833" t="s">
        <v>23</v>
      </c>
      <c r="G833" t="s">
        <v>68</v>
      </c>
      <c r="H833">
        <v>3</v>
      </c>
      <c r="I833" s="12">
        <v>95</v>
      </c>
      <c r="J833" s="12">
        <v>45</v>
      </c>
      <c r="K833">
        <v>2</v>
      </c>
      <c r="L833">
        <v>3</v>
      </c>
      <c r="M833">
        <v>300</v>
      </c>
      <c r="N833" s="12">
        <f>+gemini_code_1787702791259[[#This Row],[Cantidad]]*gemini_code_1787702791259[[#This Row],[Precio_Unitario_USD]]</f>
        <v>285</v>
      </c>
      <c r="O833" s="12">
        <f>+gemini_code_1787702791259[[#This Row],[Cantidad]]*gemini_code_1787702791259[[#This Row],[Costo_Unitario_USD]]</f>
        <v>135</v>
      </c>
      <c r="P833" s="12">
        <f>+gemini_code_1787702791259[[#This Row],[venta total]]-gemini_code_1787702791259[[#This Row],[Costo total]]</f>
        <v>150</v>
      </c>
      <c r="Q833" s="2">
        <f>gemini_code_1787702791259[[#This Row],[Ganancia bruta]]/gemini_code_1787702791259[[#This Row],[venta total]]</f>
        <v>0.52631578947368418</v>
      </c>
      <c r="R833" t="str">
        <f>IF(gemini_code_1787702791259[[#This Row],[Dias_Entrega]]&lt;=gemini_code_1787702791259[[#This Row],[Promesa_SLA_Dias]],"A tiempo","Fuera de SLA")</f>
        <v>A tiempo</v>
      </c>
    </row>
    <row r="834" spans="1:18" x14ac:dyDescent="0.25">
      <c r="A834" t="s">
        <v>69</v>
      </c>
      <c r="B834" s="1">
        <v>46242</v>
      </c>
      <c r="C834" t="s">
        <v>20</v>
      </c>
      <c r="D834" t="s">
        <v>21</v>
      </c>
      <c r="E834" t="s">
        <v>16</v>
      </c>
      <c r="F834" t="s">
        <v>28</v>
      </c>
      <c r="G834" t="s">
        <v>70</v>
      </c>
      <c r="H834">
        <v>4</v>
      </c>
      <c r="I834" s="12">
        <v>160</v>
      </c>
      <c r="J834" s="12">
        <v>95</v>
      </c>
      <c r="K834">
        <v>2</v>
      </c>
      <c r="L834">
        <v>3</v>
      </c>
      <c r="M834">
        <v>600</v>
      </c>
      <c r="N834" s="12">
        <f>+gemini_code_1787702791259[[#This Row],[Cantidad]]*gemini_code_1787702791259[[#This Row],[Precio_Unitario_USD]]</f>
        <v>640</v>
      </c>
      <c r="O834" s="12">
        <f>+gemini_code_1787702791259[[#This Row],[Cantidad]]*gemini_code_1787702791259[[#This Row],[Costo_Unitario_USD]]</f>
        <v>380</v>
      </c>
      <c r="P834" s="12">
        <f>+gemini_code_1787702791259[[#This Row],[venta total]]-gemini_code_1787702791259[[#This Row],[Costo total]]</f>
        <v>260</v>
      </c>
      <c r="Q834" s="2">
        <f>gemini_code_1787702791259[[#This Row],[Ganancia bruta]]/gemini_code_1787702791259[[#This Row],[venta total]]</f>
        <v>0.40625</v>
      </c>
      <c r="R834" t="str">
        <f>IF(gemini_code_1787702791259[[#This Row],[Dias_Entrega]]&lt;=gemini_code_1787702791259[[#This Row],[Promesa_SLA_Dias]],"A tiempo","Fuera de SLA")</f>
        <v>A tiempo</v>
      </c>
    </row>
    <row r="835" spans="1:18" x14ac:dyDescent="0.25">
      <c r="A835" t="s">
        <v>71</v>
      </c>
      <c r="B835" s="1">
        <v>46242</v>
      </c>
      <c r="C835" t="s">
        <v>26</v>
      </c>
      <c r="D835" t="s">
        <v>27</v>
      </c>
      <c r="E835" t="s">
        <v>22</v>
      </c>
      <c r="F835" t="s">
        <v>31</v>
      </c>
      <c r="G835" t="s">
        <v>72</v>
      </c>
      <c r="H835">
        <v>7</v>
      </c>
      <c r="I835" s="12">
        <v>90</v>
      </c>
      <c r="J835" s="12">
        <v>45</v>
      </c>
      <c r="K835">
        <v>4</v>
      </c>
      <c r="L835">
        <v>3</v>
      </c>
      <c r="M835">
        <v>600</v>
      </c>
      <c r="N835" s="12">
        <f>+gemini_code_1787702791259[[#This Row],[Cantidad]]*gemini_code_1787702791259[[#This Row],[Precio_Unitario_USD]]</f>
        <v>630</v>
      </c>
      <c r="O835" s="12">
        <f>+gemini_code_1787702791259[[#This Row],[Cantidad]]*gemini_code_1787702791259[[#This Row],[Costo_Unitario_USD]]</f>
        <v>315</v>
      </c>
      <c r="P835" s="12">
        <f>+gemini_code_1787702791259[[#This Row],[venta total]]-gemini_code_1787702791259[[#This Row],[Costo total]]</f>
        <v>315</v>
      </c>
      <c r="Q835" s="2">
        <f>gemini_code_1787702791259[[#This Row],[Ganancia bruta]]/gemini_code_1787702791259[[#This Row],[venta total]]</f>
        <v>0.5</v>
      </c>
      <c r="R835" t="str">
        <f>IF(gemini_code_1787702791259[[#This Row],[Dias_Entrega]]&lt;=gemini_code_1787702791259[[#This Row],[Promesa_SLA_Dias]],"A tiempo","Fuera de SLA")</f>
        <v>Fuera de SLA</v>
      </c>
    </row>
    <row r="836" spans="1:18" x14ac:dyDescent="0.25">
      <c r="A836" t="s">
        <v>73</v>
      </c>
      <c r="B836" s="1">
        <v>46243</v>
      </c>
      <c r="C836" t="s">
        <v>14</v>
      </c>
      <c r="D836" t="s">
        <v>15</v>
      </c>
      <c r="E836" t="s">
        <v>22</v>
      </c>
      <c r="F836" t="s">
        <v>17</v>
      </c>
      <c r="G836" t="s">
        <v>74</v>
      </c>
      <c r="H836">
        <v>3</v>
      </c>
      <c r="I836" s="12">
        <v>310</v>
      </c>
      <c r="J836" s="12">
        <v>210</v>
      </c>
      <c r="K836">
        <v>2</v>
      </c>
      <c r="L836">
        <v>3</v>
      </c>
      <c r="M836">
        <v>900</v>
      </c>
      <c r="N836" s="12">
        <f>+gemini_code_1787702791259[[#This Row],[Cantidad]]*gemini_code_1787702791259[[#This Row],[Precio_Unitario_USD]]</f>
        <v>930</v>
      </c>
      <c r="O836" s="12">
        <f>+gemini_code_1787702791259[[#This Row],[Cantidad]]*gemini_code_1787702791259[[#This Row],[Costo_Unitario_USD]]</f>
        <v>630</v>
      </c>
      <c r="P836" s="12">
        <f>+gemini_code_1787702791259[[#This Row],[venta total]]-gemini_code_1787702791259[[#This Row],[Costo total]]</f>
        <v>300</v>
      </c>
      <c r="Q836" s="2">
        <f>gemini_code_1787702791259[[#This Row],[Ganancia bruta]]/gemini_code_1787702791259[[#This Row],[venta total]]</f>
        <v>0.32258064516129031</v>
      </c>
      <c r="R836" t="str">
        <f>IF(gemini_code_1787702791259[[#This Row],[Dias_Entrega]]&lt;=gemini_code_1787702791259[[#This Row],[Promesa_SLA_Dias]],"A tiempo","Fuera de SLA")</f>
        <v>A tiempo</v>
      </c>
    </row>
    <row r="837" spans="1:18" x14ac:dyDescent="0.25">
      <c r="A837" t="s">
        <v>75</v>
      </c>
      <c r="B837" s="1">
        <v>46243</v>
      </c>
      <c r="C837" t="s">
        <v>20</v>
      </c>
      <c r="D837" t="s">
        <v>21</v>
      </c>
      <c r="E837" t="s">
        <v>16</v>
      </c>
      <c r="F837" t="s">
        <v>23</v>
      </c>
      <c r="G837" t="s">
        <v>76</v>
      </c>
      <c r="H837">
        <v>8</v>
      </c>
      <c r="I837" s="12">
        <v>50</v>
      </c>
      <c r="J837" s="12">
        <v>22</v>
      </c>
      <c r="K837">
        <v>2</v>
      </c>
      <c r="L837">
        <v>3</v>
      </c>
      <c r="M837">
        <v>400</v>
      </c>
      <c r="N837" s="12">
        <f>+gemini_code_1787702791259[[#This Row],[Cantidad]]*gemini_code_1787702791259[[#This Row],[Precio_Unitario_USD]]</f>
        <v>400</v>
      </c>
      <c r="O837" s="12">
        <f>+gemini_code_1787702791259[[#This Row],[Cantidad]]*gemini_code_1787702791259[[#This Row],[Costo_Unitario_USD]]</f>
        <v>176</v>
      </c>
      <c r="P837" s="12">
        <f>+gemini_code_1787702791259[[#This Row],[venta total]]-gemini_code_1787702791259[[#This Row],[Costo total]]</f>
        <v>224</v>
      </c>
      <c r="Q837" s="2">
        <f>gemini_code_1787702791259[[#This Row],[Ganancia bruta]]/gemini_code_1787702791259[[#This Row],[venta total]]</f>
        <v>0.56000000000000005</v>
      </c>
      <c r="R837" t="str">
        <f>IF(gemini_code_1787702791259[[#This Row],[Dias_Entrega]]&lt;=gemini_code_1787702791259[[#This Row],[Promesa_SLA_Dias]],"A tiempo","Fuera de SLA")</f>
        <v>A tiempo</v>
      </c>
    </row>
    <row r="838" spans="1:18" x14ac:dyDescent="0.25">
      <c r="A838" t="s">
        <v>77</v>
      </c>
      <c r="B838" s="1">
        <v>46243</v>
      </c>
      <c r="C838" t="s">
        <v>26</v>
      </c>
      <c r="D838" t="s">
        <v>27</v>
      </c>
      <c r="E838" t="s">
        <v>16</v>
      </c>
      <c r="F838" t="s">
        <v>28</v>
      </c>
      <c r="G838" t="s">
        <v>78</v>
      </c>
      <c r="H838">
        <v>1</v>
      </c>
      <c r="I838" s="12">
        <v>750</v>
      </c>
      <c r="J838" s="12">
        <v>480</v>
      </c>
      <c r="K838">
        <v>8</v>
      </c>
      <c r="L838">
        <v>4</v>
      </c>
      <c r="M838">
        <v>700</v>
      </c>
      <c r="N838" s="12">
        <f>+gemini_code_1787702791259[[#This Row],[Cantidad]]*gemini_code_1787702791259[[#This Row],[Precio_Unitario_USD]]</f>
        <v>750</v>
      </c>
      <c r="O838" s="12">
        <f>+gemini_code_1787702791259[[#This Row],[Cantidad]]*gemini_code_1787702791259[[#This Row],[Costo_Unitario_USD]]</f>
        <v>480</v>
      </c>
      <c r="P838" s="12">
        <f>+gemini_code_1787702791259[[#This Row],[venta total]]-gemini_code_1787702791259[[#This Row],[Costo total]]</f>
        <v>270</v>
      </c>
      <c r="Q838" s="2">
        <f>gemini_code_1787702791259[[#This Row],[Ganancia bruta]]/gemini_code_1787702791259[[#This Row],[venta total]]</f>
        <v>0.36</v>
      </c>
      <c r="R838" t="str">
        <f>IF(gemini_code_1787702791259[[#This Row],[Dias_Entrega]]&lt;=gemini_code_1787702791259[[#This Row],[Promesa_SLA_Dias]],"A tiempo","Fuera de SLA")</f>
        <v>Fuera de SLA</v>
      </c>
    </row>
    <row r="839" spans="1:18" x14ac:dyDescent="0.25">
      <c r="A839" t="s">
        <v>79</v>
      </c>
      <c r="B839" s="1">
        <v>46244</v>
      </c>
      <c r="C839" t="s">
        <v>14</v>
      </c>
      <c r="D839" t="s">
        <v>15</v>
      </c>
      <c r="E839" t="s">
        <v>16</v>
      </c>
      <c r="F839" t="s">
        <v>31</v>
      </c>
      <c r="G839" t="s">
        <v>80</v>
      </c>
      <c r="H839">
        <v>4</v>
      </c>
      <c r="I839" s="12">
        <v>140</v>
      </c>
      <c r="J839" s="12">
        <v>75</v>
      </c>
      <c r="K839">
        <v>3</v>
      </c>
      <c r="L839">
        <v>3</v>
      </c>
      <c r="M839">
        <v>500</v>
      </c>
      <c r="N839" s="12">
        <f>+gemini_code_1787702791259[[#This Row],[Cantidad]]*gemini_code_1787702791259[[#This Row],[Precio_Unitario_USD]]</f>
        <v>560</v>
      </c>
      <c r="O839" s="12">
        <f>+gemini_code_1787702791259[[#This Row],[Cantidad]]*gemini_code_1787702791259[[#This Row],[Costo_Unitario_USD]]</f>
        <v>300</v>
      </c>
      <c r="P839" s="12">
        <f>+gemini_code_1787702791259[[#This Row],[venta total]]-gemini_code_1787702791259[[#This Row],[Costo total]]</f>
        <v>260</v>
      </c>
      <c r="Q839" s="2">
        <f>gemini_code_1787702791259[[#This Row],[Ganancia bruta]]/gemini_code_1787702791259[[#This Row],[venta total]]</f>
        <v>0.4642857142857143</v>
      </c>
      <c r="R839" t="str">
        <f>IF(gemini_code_1787702791259[[#This Row],[Dias_Entrega]]&lt;=gemini_code_1787702791259[[#This Row],[Promesa_SLA_Dias]],"A tiempo","Fuera de SLA")</f>
        <v>A tiempo</v>
      </c>
    </row>
    <row r="840" spans="1:18" x14ac:dyDescent="0.25">
      <c r="A840" t="s">
        <v>81</v>
      </c>
      <c r="B840" s="1">
        <v>46244</v>
      </c>
      <c r="C840" t="s">
        <v>20</v>
      </c>
      <c r="D840" t="s">
        <v>21</v>
      </c>
      <c r="E840" t="s">
        <v>22</v>
      </c>
      <c r="F840" t="s">
        <v>17</v>
      </c>
      <c r="G840" t="s">
        <v>82</v>
      </c>
      <c r="H840">
        <v>6</v>
      </c>
      <c r="I840" s="12">
        <v>90</v>
      </c>
      <c r="J840" s="12">
        <v>50</v>
      </c>
      <c r="K840">
        <v>1</v>
      </c>
      <c r="L840">
        <v>2</v>
      </c>
      <c r="M840">
        <v>500</v>
      </c>
      <c r="N840" s="12">
        <f>+gemini_code_1787702791259[[#This Row],[Cantidad]]*gemini_code_1787702791259[[#This Row],[Precio_Unitario_USD]]</f>
        <v>540</v>
      </c>
      <c r="O840" s="12">
        <f>+gemini_code_1787702791259[[#This Row],[Cantidad]]*gemini_code_1787702791259[[#This Row],[Costo_Unitario_USD]]</f>
        <v>300</v>
      </c>
      <c r="P840" s="12">
        <f>+gemini_code_1787702791259[[#This Row],[venta total]]-gemini_code_1787702791259[[#This Row],[Costo total]]</f>
        <v>240</v>
      </c>
      <c r="Q840" s="2">
        <f>gemini_code_1787702791259[[#This Row],[Ganancia bruta]]/gemini_code_1787702791259[[#This Row],[venta total]]</f>
        <v>0.44444444444444442</v>
      </c>
      <c r="R840" t="str">
        <f>IF(gemini_code_1787702791259[[#This Row],[Dias_Entrega]]&lt;=gemini_code_1787702791259[[#This Row],[Promesa_SLA_Dias]],"A tiempo","Fuera de SLA")</f>
        <v>A tiempo</v>
      </c>
    </row>
    <row r="841" spans="1:18" x14ac:dyDescent="0.25">
      <c r="A841" t="s">
        <v>83</v>
      </c>
      <c r="B841" s="1">
        <v>46244</v>
      </c>
      <c r="C841" t="s">
        <v>26</v>
      </c>
      <c r="D841" t="s">
        <v>27</v>
      </c>
      <c r="E841" t="s">
        <v>16</v>
      </c>
      <c r="F841" t="s">
        <v>23</v>
      </c>
      <c r="G841" t="s">
        <v>84</v>
      </c>
      <c r="H841">
        <v>6</v>
      </c>
      <c r="I841" s="12">
        <v>60</v>
      </c>
      <c r="J841" s="12">
        <v>28</v>
      </c>
      <c r="K841">
        <v>5</v>
      </c>
      <c r="L841">
        <v>3</v>
      </c>
      <c r="M841">
        <v>350</v>
      </c>
      <c r="N841" s="12">
        <f>+gemini_code_1787702791259[[#This Row],[Cantidad]]*gemini_code_1787702791259[[#This Row],[Precio_Unitario_USD]]</f>
        <v>360</v>
      </c>
      <c r="O841" s="12">
        <f>+gemini_code_1787702791259[[#This Row],[Cantidad]]*gemini_code_1787702791259[[#This Row],[Costo_Unitario_USD]]</f>
        <v>168</v>
      </c>
      <c r="P841" s="12">
        <f>+gemini_code_1787702791259[[#This Row],[venta total]]-gemini_code_1787702791259[[#This Row],[Costo total]]</f>
        <v>192</v>
      </c>
      <c r="Q841" s="2">
        <f>gemini_code_1787702791259[[#This Row],[Ganancia bruta]]/gemini_code_1787702791259[[#This Row],[venta total]]</f>
        <v>0.53333333333333333</v>
      </c>
      <c r="R841" t="str">
        <f>IF(gemini_code_1787702791259[[#This Row],[Dias_Entrega]]&lt;=gemini_code_1787702791259[[#This Row],[Promesa_SLA_Dias]],"A tiempo","Fuera de SLA")</f>
        <v>Fuera de SLA</v>
      </c>
    </row>
    <row r="842" spans="1:18" x14ac:dyDescent="0.25">
      <c r="A842" t="s">
        <v>13</v>
      </c>
      <c r="B842" s="1">
        <v>46235</v>
      </c>
      <c r="C842" t="s">
        <v>14</v>
      </c>
      <c r="D842" t="s">
        <v>15</v>
      </c>
      <c r="E842" t="s">
        <v>16</v>
      </c>
      <c r="F842" t="s">
        <v>17</v>
      </c>
      <c r="G842" t="s">
        <v>18</v>
      </c>
      <c r="H842">
        <v>2</v>
      </c>
      <c r="I842" s="12">
        <v>850</v>
      </c>
      <c r="J842" s="12">
        <v>600</v>
      </c>
      <c r="K842">
        <v>2</v>
      </c>
      <c r="L842">
        <v>3</v>
      </c>
      <c r="M842">
        <v>1500</v>
      </c>
      <c r="N842" s="12">
        <f>+gemini_code_1787702791259[[#This Row],[Cantidad]]*gemini_code_1787702791259[[#This Row],[Precio_Unitario_USD]]</f>
        <v>1700</v>
      </c>
      <c r="O842" s="12">
        <f>+gemini_code_1787702791259[[#This Row],[Cantidad]]*gemini_code_1787702791259[[#This Row],[Costo_Unitario_USD]]</f>
        <v>1200</v>
      </c>
      <c r="P842" s="12">
        <f>+gemini_code_1787702791259[[#This Row],[venta total]]-gemini_code_1787702791259[[#This Row],[Costo total]]</f>
        <v>500</v>
      </c>
      <c r="Q842" s="2">
        <f>gemini_code_1787702791259[[#This Row],[Ganancia bruta]]/gemini_code_1787702791259[[#This Row],[venta total]]</f>
        <v>0.29411764705882354</v>
      </c>
      <c r="R842" t="str">
        <f>IF(gemini_code_1787702791259[[#This Row],[Dias_Entrega]]&lt;=gemini_code_1787702791259[[#This Row],[Promesa_SLA_Dias]],"A tiempo","Fuera de SLA")</f>
        <v>A tiempo</v>
      </c>
    </row>
    <row r="843" spans="1:18" x14ac:dyDescent="0.25">
      <c r="A843" t="s">
        <v>19</v>
      </c>
      <c r="B843" s="1">
        <v>46235</v>
      </c>
      <c r="C843" t="s">
        <v>20</v>
      </c>
      <c r="D843" t="s">
        <v>21</v>
      </c>
      <c r="E843" t="s">
        <v>22</v>
      </c>
      <c r="F843" t="s">
        <v>23</v>
      </c>
      <c r="G843" t="s">
        <v>24</v>
      </c>
      <c r="H843">
        <v>5</v>
      </c>
      <c r="I843" s="12">
        <v>120</v>
      </c>
      <c r="J843" s="12">
        <v>70</v>
      </c>
      <c r="K843">
        <v>3</v>
      </c>
      <c r="L843">
        <v>3</v>
      </c>
      <c r="M843">
        <v>500</v>
      </c>
      <c r="N843" s="12">
        <f>+gemini_code_1787702791259[[#This Row],[Cantidad]]*gemini_code_1787702791259[[#This Row],[Precio_Unitario_USD]]</f>
        <v>600</v>
      </c>
      <c r="O843" s="12">
        <f>+gemini_code_1787702791259[[#This Row],[Cantidad]]*gemini_code_1787702791259[[#This Row],[Costo_Unitario_USD]]</f>
        <v>350</v>
      </c>
      <c r="P843" s="12">
        <f>+gemini_code_1787702791259[[#This Row],[venta total]]-gemini_code_1787702791259[[#This Row],[Costo total]]</f>
        <v>250</v>
      </c>
      <c r="Q843" s="2">
        <f>gemini_code_1787702791259[[#This Row],[Ganancia bruta]]/gemini_code_1787702791259[[#This Row],[venta total]]</f>
        <v>0.41666666666666669</v>
      </c>
      <c r="R843" t="str">
        <f>IF(gemini_code_1787702791259[[#This Row],[Dias_Entrega]]&lt;=gemini_code_1787702791259[[#This Row],[Promesa_SLA_Dias]],"A tiempo","Fuera de SLA")</f>
        <v>A tiempo</v>
      </c>
    </row>
    <row r="844" spans="1:18" x14ac:dyDescent="0.25">
      <c r="A844" t="s">
        <v>25</v>
      </c>
      <c r="B844" s="1">
        <v>46235</v>
      </c>
      <c r="C844" t="s">
        <v>26</v>
      </c>
      <c r="D844" t="s">
        <v>27</v>
      </c>
      <c r="E844" t="s">
        <v>16</v>
      </c>
      <c r="F844" t="s">
        <v>28</v>
      </c>
      <c r="G844" t="s">
        <v>29</v>
      </c>
      <c r="H844">
        <v>3</v>
      </c>
      <c r="I844" s="12">
        <v>90</v>
      </c>
      <c r="J844" s="12">
        <v>50</v>
      </c>
      <c r="K844">
        <v>6</v>
      </c>
      <c r="L844">
        <v>4</v>
      </c>
      <c r="M844">
        <v>300</v>
      </c>
      <c r="N844" s="12">
        <f>+gemini_code_1787702791259[[#This Row],[Cantidad]]*gemini_code_1787702791259[[#This Row],[Precio_Unitario_USD]]</f>
        <v>270</v>
      </c>
      <c r="O844" s="12">
        <f>+gemini_code_1787702791259[[#This Row],[Cantidad]]*gemini_code_1787702791259[[#This Row],[Costo_Unitario_USD]]</f>
        <v>150</v>
      </c>
      <c r="P844" s="12">
        <f>+gemini_code_1787702791259[[#This Row],[venta total]]-gemini_code_1787702791259[[#This Row],[Costo total]]</f>
        <v>120</v>
      </c>
      <c r="Q844" s="2">
        <f>gemini_code_1787702791259[[#This Row],[Ganancia bruta]]/gemini_code_1787702791259[[#This Row],[venta total]]</f>
        <v>0.44444444444444442</v>
      </c>
      <c r="R844" t="str">
        <f>IF(gemini_code_1787702791259[[#This Row],[Dias_Entrega]]&lt;=gemini_code_1787702791259[[#This Row],[Promesa_SLA_Dias]],"A tiempo","Fuera de SLA")</f>
        <v>Fuera de SLA</v>
      </c>
    </row>
    <row r="845" spans="1:18" x14ac:dyDescent="0.25">
      <c r="A845" t="s">
        <v>30</v>
      </c>
      <c r="B845" s="1">
        <v>46236</v>
      </c>
      <c r="C845" t="s">
        <v>14</v>
      </c>
      <c r="D845" t="s">
        <v>15</v>
      </c>
      <c r="E845" t="s">
        <v>22</v>
      </c>
      <c r="F845" t="s">
        <v>31</v>
      </c>
      <c r="G845" t="s">
        <v>32</v>
      </c>
      <c r="H845">
        <v>4</v>
      </c>
      <c r="I845" s="12">
        <v>110</v>
      </c>
      <c r="J845" s="12">
        <v>60</v>
      </c>
      <c r="K845">
        <v>1</v>
      </c>
      <c r="L845">
        <v>2</v>
      </c>
      <c r="M845">
        <v>400</v>
      </c>
      <c r="N845" s="12">
        <f>+gemini_code_1787702791259[[#This Row],[Cantidad]]*gemini_code_1787702791259[[#This Row],[Precio_Unitario_USD]]</f>
        <v>440</v>
      </c>
      <c r="O845" s="12">
        <f>+gemini_code_1787702791259[[#This Row],[Cantidad]]*gemini_code_1787702791259[[#This Row],[Costo_Unitario_USD]]</f>
        <v>240</v>
      </c>
      <c r="P845" s="12">
        <f>+gemini_code_1787702791259[[#This Row],[venta total]]-gemini_code_1787702791259[[#This Row],[Costo total]]</f>
        <v>200</v>
      </c>
      <c r="Q845" s="2">
        <f>gemini_code_1787702791259[[#This Row],[Ganancia bruta]]/gemini_code_1787702791259[[#This Row],[venta total]]</f>
        <v>0.45454545454545453</v>
      </c>
      <c r="R845" t="str">
        <f>IF(gemini_code_1787702791259[[#This Row],[Dias_Entrega]]&lt;=gemini_code_1787702791259[[#This Row],[Promesa_SLA_Dias]],"A tiempo","Fuera de SLA")</f>
        <v>A tiempo</v>
      </c>
    </row>
    <row r="846" spans="1:18" x14ac:dyDescent="0.25">
      <c r="A846" t="s">
        <v>33</v>
      </c>
      <c r="B846" s="1">
        <v>46236</v>
      </c>
      <c r="C846" t="s">
        <v>20</v>
      </c>
      <c r="D846" t="s">
        <v>21</v>
      </c>
      <c r="E846" t="s">
        <v>16</v>
      </c>
      <c r="F846" t="s">
        <v>17</v>
      </c>
      <c r="G846" t="s">
        <v>34</v>
      </c>
      <c r="H846">
        <v>3</v>
      </c>
      <c r="I846" s="12">
        <v>650</v>
      </c>
      <c r="J846" s="12">
        <v>450</v>
      </c>
      <c r="K846">
        <v>2</v>
      </c>
      <c r="L846">
        <v>3</v>
      </c>
      <c r="M846">
        <v>1800</v>
      </c>
      <c r="N846" s="12">
        <f>+gemini_code_1787702791259[[#This Row],[Cantidad]]*gemini_code_1787702791259[[#This Row],[Precio_Unitario_USD]]</f>
        <v>1950</v>
      </c>
      <c r="O846" s="12">
        <f>+gemini_code_1787702791259[[#This Row],[Cantidad]]*gemini_code_1787702791259[[#This Row],[Costo_Unitario_USD]]</f>
        <v>1350</v>
      </c>
      <c r="P846" s="12">
        <f>+gemini_code_1787702791259[[#This Row],[venta total]]-gemini_code_1787702791259[[#This Row],[Costo total]]</f>
        <v>600</v>
      </c>
      <c r="Q846" s="2">
        <f>gemini_code_1787702791259[[#This Row],[Ganancia bruta]]/gemini_code_1787702791259[[#This Row],[venta total]]</f>
        <v>0.30769230769230771</v>
      </c>
      <c r="R846" t="str">
        <f>IF(gemini_code_1787702791259[[#This Row],[Dias_Entrega]]&lt;=gemini_code_1787702791259[[#This Row],[Promesa_SLA_Dias]],"A tiempo","Fuera de SLA")</f>
        <v>A tiempo</v>
      </c>
    </row>
    <row r="847" spans="1:18" x14ac:dyDescent="0.25">
      <c r="A847" t="s">
        <v>35</v>
      </c>
      <c r="B847" s="1">
        <v>46236</v>
      </c>
      <c r="C847" t="s">
        <v>26</v>
      </c>
      <c r="D847" t="s">
        <v>27</v>
      </c>
      <c r="E847" t="s">
        <v>16</v>
      </c>
      <c r="F847" t="s">
        <v>23</v>
      </c>
      <c r="G847" t="s">
        <v>36</v>
      </c>
      <c r="H847">
        <v>8</v>
      </c>
      <c r="I847" s="12">
        <v>45</v>
      </c>
      <c r="J847" s="12">
        <v>20</v>
      </c>
      <c r="K847">
        <v>5</v>
      </c>
      <c r="L847">
        <v>3</v>
      </c>
      <c r="M847">
        <v>400</v>
      </c>
      <c r="N847" s="12">
        <f>+gemini_code_1787702791259[[#This Row],[Cantidad]]*gemini_code_1787702791259[[#This Row],[Precio_Unitario_USD]]</f>
        <v>360</v>
      </c>
      <c r="O847" s="12">
        <f>+gemini_code_1787702791259[[#This Row],[Cantidad]]*gemini_code_1787702791259[[#This Row],[Costo_Unitario_USD]]</f>
        <v>160</v>
      </c>
      <c r="P847" s="12">
        <f>+gemini_code_1787702791259[[#This Row],[venta total]]-gemini_code_1787702791259[[#This Row],[Costo total]]</f>
        <v>200</v>
      </c>
      <c r="Q847" s="2">
        <f>gemini_code_1787702791259[[#This Row],[Ganancia bruta]]/gemini_code_1787702791259[[#This Row],[venta total]]</f>
        <v>0.55555555555555558</v>
      </c>
      <c r="R847" t="str">
        <f>IF(gemini_code_1787702791259[[#This Row],[Dias_Entrega]]&lt;=gemini_code_1787702791259[[#This Row],[Promesa_SLA_Dias]],"A tiempo","Fuera de SLA")</f>
        <v>Fuera de SLA</v>
      </c>
    </row>
    <row r="848" spans="1:18" x14ac:dyDescent="0.25">
      <c r="A848" t="s">
        <v>37</v>
      </c>
      <c r="B848" s="1">
        <v>46237</v>
      </c>
      <c r="C848" t="s">
        <v>14</v>
      </c>
      <c r="D848" t="s">
        <v>15</v>
      </c>
      <c r="E848" t="s">
        <v>16</v>
      </c>
      <c r="F848" t="s">
        <v>28</v>
      </c>
      <c r="G848" t="s">
        <v>38</v>
      </c>
      <c r="H848">
        <v>2</v>
      </c>
      <c r="I848" s="12">
        <v>280</v>
      </c>
      <c r="J848" s="12">
        <v>180</v>
      </c>
      <c r="K848">
        <v>3</v>
      </c>
      <c r="L848">
        <v>3</v>
      </c>
      <c r="M848">
        <v>500</v>
      </c>
      <c r="N848" s="12">
        <f>+gemini_code_1787702791259[[#This Row],[Cantidad]]*gemini_code_1787702791259[[#This Row],[Precio_Unitario_USD]]</f>
        <v>560</v>
      </c>
      <c r="O848" s="12">
        <f>+gemini_code_1787702791259[[#This Row],[Cantidad]]*gemini_code_1787702791259[[#This Row],[Costo_Unitario_USD]]</f>
        <v>360</v>
      </c>
      <c r="P848" s="12">
        <f>+gemini_code_1787702791259[[#This Row],[venta total]]-gemini_code_1787702791259[[#This Row],[Costo total]]</f>
        <v>200</v>
      </c>
      <c r="Q848" s="2">
        <f>gemini_code_1787702791259[[#This Row],[Ganancia bruta]]/gemini_code_1787702791259[[#This Row],[venta total]]</f>
        <v>0.35714285714285715</v>
      </c>
      <c r="R848" t="str">
        <f>IF(gemini_code_1787702791259[[#This Row],[Dias_Entrega]]&lt;=gemini_code_1787702791259[[#This Row],[Promesa_SLA_Dias]],"A tiempo","Fuera de SLA")</f>
        <v>A tiempo</v>
      </c>
    </row>
    <row r="849" spans="1:18" x14ac:dyDescent="0.25">
      <c r="A849" t="s">
        <v>39</v>
      </c>
      <c r="B849" s="1">
        <v>46237</v>
      </c>
      <c r="C849" t="s">
        <v>20</v>
      </c>
      <c r="D849" t="s">
        <v>21</v>
      </c>
      <c r="E849" t="s">
        <v>22</v>
      </c>
      <c r="F849" t="s">
        <v>31</v>
      </c>
      <c r="G849" t="s">
        <v>40</v>
      </c>
      <c r="H849">
        <v>3</v>
      </c>
      <c r="I849" s="12">
        <v>150</v>
      </c>
      <c r="J849" s="12">
        <v>85</v>
      </c>
      <c r="K849">
        <v>2</v>
      </c>
      <c r="L849">
        <v>2</v>
      </c>
      <c r="M849">
        <v>400</v>
      </c>
      <c r="N849" s="12">
        <f>+gemini_code_1787702791259[[#This Row],[Cantidad]]*gemini_code_1787702791259[[#This Row],[Precio_Unitario_USD]]</f>
        <v>450</v>
      </c>
      <c r="O849" s="12">
        <f>+gemini_code_1787702791259[[#This Row],[Cantidad]]*gemini_code_1787702791259[[#This Row],[Costo_Unitario_USD]]</f>
        <v>255</v>
      </c>
      <c r="P849" s="12">
        <f>+gemini_code_1787702791259[[#This Row],[venta total]]-gemini_code_1787702791259[[#This Row],[Costo total]]</f>
        <v>195</v>
      </c>
      <c r="Q849" s="2">
        <f>gemini_code_1787702791259[[#This Row],[Ganancia bruta]]/gemini_code_1787702791259[[#This Row],[venta total]]</f>
        <v>0.43333333333333335</v>
      </c>
      <c r="R849" t="str">
        <f>IF(gemini_code_1787702791259[[#This Row],[Dias_Entrega]]&lt;=gemini_code_1787702791259[[#This Row],[Promesa_SLA_Dias]],"A tiempo","Fuera de SLA")</f>
        <v>A tiempo</v>
      </c>
    </row>
    <row r="850" spans="1:18" x14ac:dyDescent="0.25">
      <c r="A850" t="s">
        <v>41</v>
      </c>
      <c r="B850" s="1">
        <v>46237</v>
      </c>
      <c r="C850" t="s">
        <v>26</v>
      </c>
      <c r="D850" t="s">
        <v>27</v>
      </c>
      <c r="E850" t="s">
        <v>16</v>
      </c>
      <c r="F850" t="s">
        <v>17</v>
      </c>
      <c r="G850" t="s">
        <v>42</v>
      </c>
      <c r="H850">
        <v>2</v>
      </c>
      <c r="I850" s="12">
        <v>520</v>
      </c>
      <c r="J850" s="12">
        <v>380</v>
      </c>
      <c r="K850">
        <v>7</v>
      </c>
      <c r="L850">
        <v>4</v>
      </c>
      <c r="M850">
        <v>1000</v>
      </c>
      <c r="N850" s="12">
        <f>+gemini_code_1787702791259[[#This Row],[Cantidad]]*gemini_code_1787702791259[[#This Row],[Precio_Unitario_USD]]</f>
        <v>1040</v>
      </c>
      <c r="O850" s="12">
        <f>+gemini_code_1787702791259[[#This Row],[Cantidad]]*gemini_code_1787702791259[[#This Row],[Costo_Unitario_USD]]</f>
        <v>760</v>
      </c>
      <c r="P850" s="12">
        <f>+gemini_code_1787702791259[[#This Row],[venta total]]-gemini_code_1787702791259[[#This Row],[Costo total]]</f>
        <v>280</v>
      </c>
      <c r="Q850" s="2">
        <f>gemini_code_1787702791259[[#This Row],[Ganancia bruta]]/gemini_code_1787702791259[[#This Row],[venta total]]</f>
        <v>0.26923076923076922</v>
      </c>
      <c r="R850" t="str">
        <f>IF(gemini_code_1787702791259[[#This Row],[Dias_Entrega]]&lt;=gemini_code_1787702791259[[#This Row],[Promesa_SLA_Dias]],"A tiempo","Fuera de SLA")</f>
        <v>Fuera de SLA</v>
      </c>
    </row>
    <row r="851" spans="1:18" x14ac:dyDescent="0.25">
      <c r="A851" t="s">
        <v>43</v>
      </c>
      <c r="B851" s="1">
        <v>46238</v>
      </c>
      <c r="C851" t="s">
        <v>14</v>
      </c>
      <c r="D851" t="s">
        <v>15</v>
      </c>
      <c r="E851" t="s">
        <v>22</v>
      </c>
      <c r="F851" t="s">
        <v>23</v>
      </c>
      <c r="G851" t="s">
        <v>44</v>
      </c>
      <c r="H851">
        <v>6</v>
      </c>
      <c r="I851" s="12">
        <v>55</v>
      </c>
      <c r="J851" s="12">
        <v>25</v>
      </c>
      <c r="K851">
        <v>2</v>
      </c>
      <c r="L851">
        <v>3</v>
      </c>
      <c r="M851">
        <v>300</v>
      </c>
      <c r="N851" s="12">
        <f>+gemini_code_1787702791259[[#This Row],[Cantidad]]*gemini_code_1787702791259[[#This Row],[Precio_Unitario_USD]]</f>
        <v>330</v>
      </c>
      <c r="O851" s="12">
        <f>+gemini_code_1787702791259[[#This Row],[Cantidad]]*gemini_code_1787702791259[[#This Row],[Costo_Unitario_USD]]</f>
        <v>150</v>
      </c>
      <c r="P851" s="12">
        <f>+gemini_code_1787702791259[[#This Row],[venta total]]-gemini_code_1787702791259[[#This Row],[Costo total]]</f>
        <v>180</v>
      </c>
      <c r="Q851" s="2">
        <f>gemini_code_1787702791259[[#This Row],[Ganancia bruta]]/gemini_code_1787702791259[[#This Row],[venta total]]</f>
        <v>0.54545454545454541</v>
      </c>
      <c r="R851" t="str">
        <f>IF(gemini_code_1787702791259[[#This Row],[Dias_Entrega]]&lt;=gemini_code_1787702791259[[#This Row],[Promesa_SLA_Dias]],"A tiempo","Fuera de SLA")</f>
        <v>A tiempo</v>
      </c>
    </row>
    <row r="852" spans="1:18" x14ac:dyDescent="0.25">
      <c r="A852" t="s">
        <v>45</v>
      </c>
      <c r="B852" s="1">
        <v>46238</v>
      </c>
      <c r="C852" t="s">
        <v>20</v>
      </c>
      <c r="D852" t="s">
        <v>21</v>
      </c>
      <c r="E852" t="s">
        <v>16</v>
      </c>
      <c r="F852" t="s">
        <v>28</v>
      </c>
      <c r="G852" t="s">
        <v>46</v>
      </c>
      <c r="H852">
        <v>1</v>
      </c>
      <c r="I852" s="12">
        <v>450</v>
      </c>
      <c r="J852" s="12">
        <v>290</v>
      </c>
      <c r="K852">
        <v>4</v>
      </c>
      <c r="L852">
        <v>3</v>
      </c>
      <c r="M852">
        <v>400</v>
      </c>
      <c r="N852" s="12">
        <f>+gemini_code_1787702791259[[#This Row],[Cantidad]]*gemini_code_1787702791259[[#This Row],[Precio_Unitario_USD]]</f>
        <v>450</v>
      </c>
      <c r="O852" s="12">
        <f>+gemini_code_1787702791259[[#This Row],[Cantidad]]*gemini_code_1787702791259[[#This Row],[Costo_Unitario_USD]]</f>
        <v>290</v>
      </c>
      <c r="P852" s="12">
        <f>+gemini_code_1787702791259[[#This Row],[venta total]]-gemini_code_1787702791259[[#This Row],[Costo total]]</f>
        <v>160</v>
      </c>
      <c r="Q852" s="2">
        <f>gemini_code_1787702791259[[#This Row],[Ganancia bruta]]/gemini_code_1787702791259[[#This Row],[venta total]]</f>
        <v>0.35555555555555557</v>
      </c>
      <c r="R852" t="str">
        <f>IF(gemini_code_1787702791259[[#This Row],[Dias_Entrega]]&lt;=gemini_code_1787702791259[[#This Row],[Promesa_SLA_Dias]],"A tiempo","Fuera de SLA")</f>
        <v>Fuera de SLA</v>
      </c>
    </row>
    <row r="853" spans="1:18" x14ac:dyDescent="0.25">
      <c r="A853" t="s">
        <v>47</v>
      </c>
      <c r="B853" s="1">
        <v>46238</v>
      </c>
      <c r="C853" t="s">
        <v>26</v>
      </c>
      <c r="D853" t="s">
        <v>27</v>
      </c>
      <c r="E853" t="s">
        <v>22</v>
      </c>
      <c r="F853" t="s">
        <v>31</v>
      </c>
      <c r="G853" t="s">
        <v>48</v>
      </c>
      <c r="H853">
        <v>10</v>
      </c>
      <c r="I853" s="12">
        <v>35</v>
      </c>
      <c r="J853" s="12">
        <v>15</v>
      </c>
      <c r="K853">
        <v>4</v>
      </c>
      <c r="L853">
        <v>3</v>
      </c>
      <c r="M853">
        <v>300</v>
      </c>
      <c r="N853" s="12">
        <f>+gemini_code_1787702791259[[#This Row],[Cantidad]]*gemini_code_1787702791259[[#This Row],[Precio_Unitario_USD]]</f>
        <v>350</v>
      </c>
      <c r="O853" s="12">
        <f>+gemini_code_1787702791259[[#This Row],[Cantidad]]*gemini_code_1787702791259[[#This Row],[Costo_Unitario_USD]]</f>
        <v>150</v>
      </c>
      <c r="P853" s="12">
        <f>+gemini_code_1787702791259[[#This Row],[venta total]]-gemini_code_1787702791259[[#This Row],[Costo total]]</f>
        <v>200</v>
      </c>
      <c r="Q853" s="2">
        <f>gemini_code_1787702791259[[#This Row],[Ganancia bruta]]/gemini_code_1787702791259[[#This Row],[venta total]]</f>
        <v>0.5714285714285714</v>
      </c>
      <c r="R853" t="str">
        <f>IF(gemini_code_1787702791259[[#This Row],[Dias_Entrega]]&lt;=gemini_code_1787702791259[[#This Row],[Promesa_SLA_Dias]],"A tiempo","Fuera de SLA")</f>
        <v>Fuera de SLA</v>
      </c>
    </row>
    <row r="854" spans="1:18" x14ac:dyDescent="0.25">
      <c r="A854" t="s">
        <v>49</v>
      </c>
      <c r="B854" s="1">
        <v>46239</v>
      </c>
      <c r="C854" t="s">
        <v>14</v>
      </c>
      <c r="D854" t="s">
        <v>15</v>
      </c>
      <c r="E854" t="s">
        <v>16</v>
      </c>
      <c r="F854" t="s">
        <v>17</v>
      </c>
      <c r="G854" t="s">
        <v>50</v>
      </c>
      <c r="H854">
        <v>4</v>
      </c>
      <c r="I854" s="12">
        <v>220</v>
      </c>
      <c r="J854" s="12">
        <v>140</v>
      </c>
      <c r="K854">
        <v>2</v>
      </c>
      <c r="L854">
        <v>3</v>
      </c>
      <c r="M854">
        <v>800</v>
      </c>
      <c r="N854" s="12">
        <f>+gemini_code_1787702791259[[#This Row],[Cantidad]]*gemini_code_1787702791259[[#This Row],[Precio_Unitario_USD]]</f>
        <v>880</v>
      </c>
      <c r="O854" s="12">
        <f>+gemini_code_1787702791259[[#This Row],[Cantidad]]*gemini_code_1787702791259[[#This Row],[Costo_Unitario_USD]]</f>
        <v>560</v>
      </c>
      <c r="P854" s="12">
        <f>+gemini_code_1787702791259[[#This Row],[venta total]]-gemini_code_1787702791259[[#This Row],[Costo total]]</f>
        <v>320</v>
      </c>
      <c r="Q854" s="2">
        <f>gemini_code_1787702791259[[#This Row],[Ganancia bruta]]/gemini_code_1787702791259[[#This Row],[venta total]]</f>
        <v>0.36363636363636365</v>
      </c>
      <c r="R854" t="str">
        <f>IF(gemini_code_1787702791259[[#This Row],[Dias_Entrega]]&lt;=gemini_code_1787702791259[[#This Row],[Promesa_SLA_Dias]],"A tiempo","Fuera de SLA")</f>
        <v>A tiempo</v>
      </c>
    </row>
    <row r="855" spans="1:18" x14ac:dyDescent="0.25">
      <c r="A855" t="s">
        <v>51</v>
      </c>
      <c r="B855" s="1">
        <v>46239</v>
      </c>
      <c r="C855" t="s">
        <v>20</v>
      </c>
      <c r="D855" t="s">
        <v>21</v>
      </c>
      <c r="E855" t="s">
        <v>16</v>
      </c>
      <c r="F855" t="s">
        <v>23</v>
      </c>
      <c r="G855" t="s">
        <v>52</v>
      </c>
      <c r="H855">
        <v>5</v>
      </c>
      <c r="I855" s="12">
        <v>65</v>
      </c>
      <c r="J855" s="12">
        <v>30</v>
      </c>
      <c r="K855">
        <v>2</v>
      </c>
      <c r="L855">
        <v>3</v>
      </c>
      <c r="M855">
        <v>300</v>
      </c>
      <c r="N855" s="12">
        <f>+gemini_code_1787702791259[[#This Row],[Cantidad]]*gemini_code_1787702791259[[#This Row],[Precio_Unitario_USD]]</f>
        <v>325</v>
      </c>
      <c r="O855" s="12">
        <f>+gemini_code_1787702791259[[#This Row],[Cantidad]]*gemini_code_1787702791259[[#This Row],[Costo_Unitario_USD]]</f>
        <v>150</v>
      </c>
      <c r="P855" s="12">
        <f>+gemini_code_1787702791259[[#This Row],[venta total]]-gemini_code_1787702791259[[#This Row],[Costo total]]</f>
        <v>175</v>
      </c>
      <c r="Q855" s="2">
        <f>gemini_code_1787702791259[[#This Row],[Ganancia bruta]]/gemini_code_1787702791259[[#This Row],[venta total]]</f>
        <v>0.53846153846153844</v>
      </c>
      <c r="R855" t="str">
        <f>IF(gemini_code_1787702791259[[#This Row],[Dias_Entrega]]&lt;=gemini_code_1787702791259[[#This Row],[Promesa_SLA_Dias]],"A tiempo","Fuera de SLA")</f>
        <v>A tiempo</v>
      </c>
    </row>
    <row r="856" spans="1:18" x14ac:dyDescent="0.25">
      <c r="A856" t="s">
        <v>53</v>
      </c>
      <c r="B856" s="1">
        <v>46239</v>
      </c>
      <c r="C856" t="s">
        <v>26</v>
      </c>
      <c r="D856" t="s">
        <v>27</v>
      </c>
      <c r="E856" t="s">
        <v>16</v>
      </c>
      <c r="F856" t="s">
        <v>28</v>
      </c>
      <c r="G856" t="s">
        <v>54</v>
      </c>
      <c r="H856">
        <v>2</v>
      </c>
      <c r="I856" s="12">
        <v>180</v>
      </c>
      <c r="J856" s="12">
        <v>110</v>
      </c>
      <c r="K856">
        <v>6</v>
      </c>
      <c r="L856">
        <v>3</v>
      </c>
      <c r="M856">
        <v>350</v>
      </c>
      <c r="N856" s="12">
        <f>+gemini_code_1787702791259[[#This Row],[Cantidad]]*gemini_code_1787702791259[[#This Row],[Precio_Unitario_USD]]</f>
        <v>360</v>
      </c>
      <c r="O856" s="12">
        <f>+gemini_code_1787702791259[[#This Row],[Cantidad]]*gemini_code_1787702791259[[#This Row],[Costo_Unitario_USD]]</f>
        <v>220</v>
      </c>
      <c r="P856" s="12">
        <f>+gemini_code_1787702791259[[#This Row],[venta total]]-gemini_code_1787702791259[[#This Row],[Costo total]]</f>
        <v>140</v>
      </c>
      <c r="Q856" s="2">
        <f>gemini_code_1787702791259[[#This Row],[Ganancia bruta]]/gemini_code_1787702791259[[#This Row],[venta total]]</f>
        <v>0.3888888888888889</v>
      </c>
      <c r="R856" t="str">
        <f>IF(gemini_code_1787702791259[[#This Row],[Dias_Entrega]]&lt;=gemini_code_1787702791259[[#This Row],[Promesa_SLA_Dias]],"A tiempo","Fuera de SLA")</f>
        <v>Fuera de SLA</v>
      </c>
    </row>
    <row r="857" spans="1:18" x14ac:dyDescent="0.25">
      <c r="A857" t="s">
        <v>55</v>
      </c>
      <c r="B857" s="1">
        <v>46240</v>
      </c>
      <c r="C857" t="s">
        <v>14</v>
      </c>
      <c r="D857" t="s">
        <v>15</v>
      </c>
      <c r="E857" t="s">
        <v>22</v>
      </c>
      <c r="F857" t="s">
        <v>31</v>
      </c>
      <c r="G857" t="s">
        <v>56</v>
      </c>
      <c r="H857">
        <v>6</v>
      </c>
      <c r="I857" s="12">
        <v>85</v>
      </c>
      <c r="J857" s="12">
        <v>45</v>
      </c>
      <c r="K857">
        <v>1</v>
      </c>
      <c r="L857">
        <v>2</v>
      </c>
      <c r="M857">
        <v>500</v>
      </c>
      <c r="N857" s="12">
        <f>+gemini_code_1787702791259[[#This Row],[Cantidad]]*gemini_code_1787702791259[[#This Row],[Precio_Unitario_USD]]</f>
        <v>510</v>
      </c>
      <c r="O857" s="12">
        <f>+gemini_code_1787702791259[[#This Row],[Cantidad]]*gemini_code_1787702791259[[#This Row],[Costo_Unitario_USD]]</f>
        <v>270</v>
      </c>
      <c r="P857" s="12">
        <f>+gemini_code_1787702791259[[#This Row],[venta total]]-gemini_code_1787702791259[[#This Row],[Costo total]]</f>
        <v>240</v>
      </c>
      <c r="Q857" s="2">
        <f>gemini_code_1787702791259[[#This Row],[Ganancia bruta]]/gemini_code_1787702791259[[#This Row],[venta total]]</f>
        <v>0.47058823529411764</v>
      </c>
      <c r="R857" t="str">
        <f>IF(gemini_code_1787702791259[[#This Row],[Dias_Entrega]]&lt;=gemini_code_1787702791259[[#This Row],[Promesa_SLA_Dias]],"A tiempo","Fuera de SLA")</f>
        <v>A tiempo</v>
      </c>
    </row>
    <row r="858" spans="1:18" x14ac:dyDescent="0.25">
      <c r="A858" t="s">
        <v>57</v>
      </c>
      <c r="B858" s="1">
        <v>46240</v>
      </c>
      <c r="C858" t="s">
        <v>20</v>
      </c>
      <c r="D858" t="s">
        <v>21</v>
      </c>
      <c r="E858" t="s">
        <v>16</v>
      </c>
      <c r="F858" t="s">
        <v>17</v>
      </c>
      <c r="G858" t="s">
        <v>58</v>
      </c>
      <c r="H858">
        <v>12</v>
      </c>
      <c r="I858" s="12">
        <v>75</v>
      </c>
      <c r="J858" s="12">
        <v>35</v>
      </c>
      <c r="K858">
        <v>1</v>
      </c>
      <c r="L858">
        <v>2</v>
      </c>
      <c r="M858">
        <v>800</v>
      </c>
      <c r="N858" s="12">
        <f>+gemini_code_1787702791259[[#This Row],[Cantidad]]*gemini_code_1787702791259[[#This Row],[Precio_Unitario_USD]]</f>
        <v>900</v>
      </c>
      <c r="O858" s="12">
        <f>+gemini_code_1787702791259[[#This Row],[Cantidad]]*gemini_code_1787702791259[[#This Row],[Costo_Unitario_USD]]</f>
        <v>420</v>
      </c>
      <c r="P858" s="12">
        <f>+gemini_code_1787702791259[[#This Row],[venta total]]-gemini_code_1787702791259[[#This Row],[Costo total]]</f>
        <v>480</v>
      </c>
      <c r="Q858" s="2">
        <f>gemini_code_1787702791259[[#This Row],[Ganancia bruta]]/gemini_code_1787702791259[[#This Row],[venta total]]</f>
        <v>0.53333333333333333</v>
      </c>
      <c r="R858" t="str">
        <f>IF(gemini_code_1787702791259[[#This Row],[Dias_Entrega]]&lt;=gemini_code_1787702791259[[#This Row],[Promesa_SLA_Dias]],"A tiempo","Fuera de SLA")</f>
        <v>A tiempo</v>
      </c>
    </row>
    <row r="859" spans="1:18" x14ac:dyDescent="0.25">
      <c r="A859" t="s">
        <v>59</v>
      </c>
      <c r="B859" s="1">
        <v>46240</v>
      </c>
      <c r="C859" t="s">
        <v>26</v>
      </c>
      <c r="D859" t="s">
        <v>27</v>
      </c>
      <c r="E859" t="s">
        <v>22</v>
      </c>
      <c r="F859" t="s">
        <v>23</v>
      </c>
      <c r="G859" t="s">
        <v>60</v>
      </c>
      <c r="H859">
        <v>4</v>
      </c>
      <c r="I859" s="12">
        <v>110</v>
      </c>
      <c r="J859" s="12">
        <v>55</v>
      </c>
      <c r="K859">
        <v>5</v>
      </c>
      <c r="L859">
        <v>3</v>
      </c>
      <c r="M859">
        <v>400</v>
      </c>
      <c r="N859" s="12">
        <f>+gemini_code_1787702791259[[#This Row],[Cantidad]]*gemini_code_1787702791259[[#This Row],[Precio_Unitario_USD]]</f>
        <v>440</v>
      </c>
      <c r="O859" s="12">
        <f>+gemini_code_1787702791259[[#This Row],[Cantidad]]*gemini_code_1787702791259[[#This Row],[Costo_Unitario_USD]]</f>
        <v>220</v>
      </c>
      <c r="P859" s="12">
        <f>+gemini_code_1787702791259[[#This Row],[venta total]]-gemini_code_1787702791259[[#This Row],[Costo total]]</f>
        <v>220</v>
      </c>
      <c r="Q859" s="2">
        <f>gemini_code_1787702791259[[#This Row],[Ganancia bruta]]/gemini_code_1787702791259[[#This Row],[venta total]]</f>
        <v>0.5</v>
      </c>
      <c r="R859" t="str">
        <f>IF(gemini_code_1787702791259[[#This Row],[Dias_Entrega]]&lt;=gemini_code_1787702791259[[#This Row],[Promesa_SLA_Dias]],"A tiempo","Fuera de SLA")</f>
        <v>Fuera de SLA</v>
      </c>
    </row>
    <row r="860" spans="1:18" x14ac:dyDescent="0.25">
      <c r="A860" t="s">
        <v>61</v>
      </c>
      <c r="B860" s="1">
        <v>46241</v>
      </c>
      <c r="C860" t="s">
        <v>14</v>
      </c>
      <c r="D860" t="s">
        <v>15</v>
      </c>
      <c r="E860" t="s">
        <v>16</v>
      </c>
      <c r="F860" t="s">
        <v>28</v>
      </c>
      <c r="G860" t="s">
        <v>62</v>
      </c>
      <c r="H860">
        <v>15</v>
      </c>
      <c r="I860" s="12">
        <v>25</v>
      </c>
      <c r="J860" s="12">
        <v>10</v>
      </c>
      <c r="K860">
        <v>2</v>
      </c>
      <c r="L860">
        <v>3</v>
      </c>
      <c r="M860">
        <v>300</v>
      </c>
      <c r="N860" s="12">
        <f>+gemini_code_1787702791259[[#This Row],[Cantidad]]*gemini_code_1787702791259[[#This Row],[Precio_Unitario_USD]]</f>
        <v>375</v>
      </c>
      <c r="O860" s="12">
        <f>+gemini_code_1787702791259[[#This Row],[Cantidad]]*gemini_code_1787702791259[[#This Row],[Costo_Unitario_USD]]</f>
        <v>150</v>
      </c>
      <c r="P860" s="12">
        <f>+gemini_code_1787702791259[[#This Row],[venta total]]-gemini_code_1787702791259[[#This Row],[Costo total]]</f>
        <v>225</v>
      </c>
      <c r="Q860" s="2">
        <f>gemini_code_1787702791259[[#This Row],[Ganancia bruta]]/gemini_code_1787702791259[[#This Row],[venta total]]</f>
        <v>0.6</v>
      </c>
      <c r="R860" t="str">
        <f>IF(gemini_code_1787702791259[[#This Row],[Dias_Entrega]]&lt;=gemini_code_1787702791259[[#This Row],[Promesa_SLA_Dias]],"A tiempo","Fuera de SLA")</f>
        <v>A tiempo</v>
      </c>
    </row>
    <row r="861" spans="1:18" x14ac:dyDescent="0.25">
      <c r="A861" t="s">
        <v>63</v>
      </c>
      <c r="B861" s="1">
        <v>46241</v>
      </c>
      <c r="C861" t="s">
        <v>20</v>
      </c>
      <c r="D861" t="s">
        <v>21</v>
      </c>
      <c r="E861" t="s">
        <v>22</v>
      </c>
      <c r="F861" t="s">
        <v>31</v>
      </c>
      <c r="G861" t="s">
        <v>64</v>
      </c>
      <c r="H861">
        <v>5</v>
      </c>
      <c r="I861" s="12">
        <v>130</v>
      </c>
      <c r="J861" s="12">
        <v>70</v>
      </c>
      <c r="K861">
        <v>3</v>
      </c>
      <c r="L861">
        <v>3</v>
      </c>
      <c r="M861">
        <v>600</v>
      </c>
      <c r="N861" s="12">
        <f>+gemini_code_1787702791259[[#This Row],[Cantidad]]*gemini_code_1787702791259[[#This Row],[Precio_Unitario_USD]]</f>
        <v>650</v>
      </c>
      <c r="O861" s="12">
        <f>+gemini_code_1787702791259[[#This Row],[Cantidad]]*gemini_code_1787702791259[[#This Row],[Costo_Unitario_USD]]</f>
        <v>350</v>
      </c>
      <c r="P861" s="12">
        <f>+gemini_code_1787702791259[[#This Row],[venta total]]-gemini_code_1787702791259[[#This Row],[Costo total]]</f>
        <v>300</v>
      </c>
      <c r="Q861" s="2">
        <f>gemini_code_1787702791259[[#This Row],[Ganancia bruta]]/gemini_code_1787702791259[[#This Row],[venta total]]</f>
        <v>0.46153846153846156</v>
      </c>
      <c r="R861" t="str">
        <f>IF(gemini_code_1787702791259[[#This Row],[Dias_Entrega]]&lt;=gemini_code_1787702791259[[#This Row],[Promesa_SLA_Dias]],"A tiempo","Fuera de SLA")</f>
        <v>A tiempo</v>
      </c>
    </row>
    <row r="862" spans="1:18" x14ac:dyDescent="0.25">
      <c r="A862" t="s">
        <v>65</v>
      </c>
      <c r="B862" s="1">
        <v>46241</v>
      </c>
      <c r="C862" t="s">
        <v>26</v>
      </c>
      <c r="D862" t="s">
        <v>27</v>
      </c>
      <c r="E862" t="s">
        <v>16</v>
      </c>
      <c r="F862" t="s">
        <v>17</v>
      </c>
      <c r="G862" t="s">
        <v>66</v>
      </c>
      <c r="H862">
        <v>2</v>
      </c>
      <c r="I862" s="12">
        <v>500</v>
      </c>
      <c r="J862" s="12">
        <v>380</v>
      </c>
      <c r="K862">
        <v>6</v>
      </c>
      <c r="L862">
        <v>4</v>
      </c>
      <c r="M862">
        <v>900</v>
      </c>
      <c r="N862" s="12">
        <f>+gemini_code_1787702791259[[#This Row],[Cantidad]]*gemini_code_1787702791259[[#This Row],[Precio_Unitario_USD]]</f>
        <v>1000</v>
      </c>
      <c r="O862" s="12">
        <f>+gemini_code_1787702791259[[#This Row],[Cantidad]]*gemini_code_1787702791259[[#This Row],[Costo_Unitario_USD]]</f>
        <v>760</v>
      </c>
      <c r="P862" s="12">
        <f>+gemini_code_1787702791259[[#This Row],[venta total]]-gemini_code_1787702791259[[#This Row],[Costo total]]</f>
        <v>240</v>
      </c>
      <c r="Q862" s="2">
        <f>gemini_code_1787702791259[[#This Row],[Ganancia bruta]]/gemini_code_1787702791259[[#This Row],[venta total]]</f>
        <v>0.24</v>
      </c>
      <c r="R862" t="str">
        <f>IF(gemini_code_1787702791259[[#This Row],[Dias_Entrega]]&lt;=gemini_code_1787702791259[[#This Row],[Promesa_SLA_Dias]],"A tiempo","Fuera de SLA")</f>
        <v>Fuera de SLA</v>
      </c>
    </row>
    <row r="863" spans="1:18" x14ac:dyDescent="0.25">
      <c r="A863" t="s">
        <v>67</v>
      </c>
      <c r="B863" s="1">
        <v>46242</v>
      </c>
      <c r="C863" t="s">
        <v>14</v>
      </c>
      <c r="D863" t="s">
        <v>15</v>
      </c>
      <c r="E863" t="s">
        <v>16</v>
      </c>
      <c r="F863" t="s">
        <v>23</v>
      </c>
      <c r="G863" t="s">
        <v>68</v>
      </c>
      <c r="H863">
        <v>3</v>
      </c>
      <c r="I863" s="12">
        <v>95</v>
      </c>
      <c r="J863" s="12">
        <v>45</v>
      </c>
      <c r="K863">
        <v>2</v>
      </c>
      <c r="L863">
        <v>3</v>
      </c>
      <c r="M863">
        <v>300</v>
      </c>
      <c r="N863" s="12">
        <f>+gemini_code_1787702791259[[#This Row],[Cantidad]]*gemini_code_1787702791259[[#This Row],[Precio_Unitario_USD]]</f>
        <v>285</v>
      </c>
      <c r="O863" s="12">
        <f>+gemini_code_1787702791259[[#This Row],[Cantidad]]*gemini_code_1787702791259[[#This Row],[Costo_Unitario_USD]]</f>
        <v>135</v>
      </c>
      <c r="P863" s="12">
        <f>+gemini_code_1787702791259[[#This Row],[venta total]]-gemini_code_1787702791259[[#This Row],[Costo total]]</f>
        <v>150</v>
      </c>
      <c r="Q863" s="2">
        <f>gemini_code_1787702791259[[#This Row],[Ganancia bruta]]/gemini_code_1787702791259[[#This Row],[venta total]]</f>
        <v>0.52631578947368418</v>
      </c>
      <c r="R863" t="str">
        <f>IF(gemini_code_1787702791259[[#This Row],[Dias_Entrega]]&lt;=gemini_code_1787702791259[[#This Row],[Promesa_SLA_Dias]],"A tiempo","Fuera de SLA")</f>
        <v>A tiempo</v>
      </c>
    </row>
    <row r="864" spans="1:18" x14ac:dyDescent="0.25">
      <c r="A864" t="s">
        <v>69</v>
      </c>
      <c r="B864" s="1">
        <v>46242</v>
      </c>
      <c r="C864" t="s">
        <v>20</v>
      </c>
      <c r="D864" t="s">
        <v>21</v>
      </c>
      <c r="E864" t="s">
        <v>16</v>
      </c>
      <c r="F864" t="s">
        <v>28</v>
      </c>
      <c r="G864" t="s">
        <v>70</v>
      </c>
      <c r="H864">
        <v>4</v>
      </c>
      <c r="I864" s="12">
        <v>160</v>
      </c>
      <c r="J864" s="12">
        <v>95</v>
      </c>
      <c r="K864">
        <v>2</v>
      </c>
      <c r="L864">
        <v>3</v>
      </c>
      <c r="M864">
        <v>600</v>
      </c>
      <c r="N864" s="12">
        <f>+gemini_code_1787702791259[[#This Row],[Cantidad]]*gemini_code_1787702791259[[#This Row],[Precio_Unitario_USD]]</f>
        <v>640</v>
      </c>
      <c r="O864" s="12">
        <f>+gemini_code_1787702791259[[#This Row],[Cantidad]]*gemini_code_1787702791259[[#This Row],[Costo_Unitario_USD]]</f>
        <v>380</v>
      </c>
      <c r="P864" s="12">
        <f>+gemini_code_1787702791259[[#This Row],[venta total]]-gemini_code_1787702791259[[#This Row],[Costo total]]</f>
        <v>260</v>
      </c>
      <c r="Q864" s="2">
        <f>gemini_code_1787702791259[[#This Row],[Ganancia bruta]]/gemini_code_1787702791259[[#This Row],[venta total]]</f>
        <v>0.40625</v>
      </c>
      <c r="R864" t="str">
        <f>IF(gemini_code_1787702791259[[#This Row],[Dias_Entrega]]&lt;=gemini_code_1787702791259[[#This Row],[Promesa_SLA_Dias]],"A tiempo","Fuera de SLA")</f>
        <v>A tiempo</v>
      </c>
    </row>
    <row r="865" spans="1:18" x14ac:dyDescent="0.25">
      <c r="A865" t="s">
        <v>71</v>
      </c>
      <c r="B865" s="1">
        <v>46242</v>
      </c>
      <c r="C865" t="s">
        <v>26</v>
      </c>
      <c r="D865" t="s">
        <v>27</v>
      </c>
      <c r="E865" t="s">
        <v>22</v>
      </c>
      <c r="F865" t="s">
        <v>31</v>
      </c>
      <c r="G865" t="s">
        <v>72</v>
      </c>
      <c r="H865">
        <v>7</v>
      </c>
      <c r="I865" s="12">
        <v>90</v>
      </c>
      <c r="J865" s="12">
        <v>45</v>
      </c>
      <c r="K865">
        <v>4</v>
      </c>
      <c r="L865">
        <v>3</v>
      </c>
      <c r="M865">
        <v>600</v>
      </c>
      <c r="N865" s="12">
        <f>+gemini_code_1787702791259[[#This Row],[Cantidad]]*gemini_code_1787702791259[[#This Row],[Precio_Unitario_USD]]</f>
        <v>630</v>
      </c>
      <c r="O865" s="12">
        <f>+gemini_code_1787702791259[[#This Row],[Cantidad]]*gemini_code_1787702791259[[#This Row],[Costo_Unitario_USD]]</f>
        <v>315</v>
      </c>
      <c r="P865" s="12">
        <f>+gemini_code_1787702791259[[#This Row],[venta total]]-gemini_code_1787702791259[[#This Row],[Costo total]]</f>
        <v>315</v>
      </c>
      <c r="Q865" s="2">
        <f>gemini_code_1787702791259[[#This Row],[Ganancia bruta]]/gemini_code_1787702791259[[#This Row],[venta total]]</f>
        <v>0.5</v>
      </c>
      <c r="R865" t="str">
        <f>IF(gemini_code_1787702791259[[#This Row],[Dias_Entrega]]&lt;=gemini_code_1787702791259[[#This Row],[Promesa_SLA_Dias]],"A tiempo","Fuera de SLA")</f>
        <v>Fuera de SLA</v>
      </c>
    </row>
    <row r="866" spans="1:18" x14ac:dyDescent="0.25">
      <c r="A866" t="s">
        <v>73</v>
      </c>
      <c r="B866" s="1">
        <v>46243</v>
      </c>
      <c r="C866" t="s">
        <v>14</v>
      </c>
      <c r="D866" t="s">
        <v>15</v>
      </c>
      <c r="E866" t="s">
        <v>22</v>
      </c>
      <c r="F866" t="s">
        <v>17</v>
      </c>
      <c r="G866" t="s">
        <v>74</v>
      </c>
      <c r="H866">
        <v>3</v>
      </c>
      <c r="I866" s="12">
        <v>310</v>
      </c>
      <c r="J866" s="12">
        <v>210</v>
      </c>
      <c r="K866">
        <v>2</v>
      </c>
      <c r="L866">
        <v>3</v>
      </c>
      <c r="M866">
        <v>900</v>
      </c>
      <c r="N866" s="12">
        <f>+gemini_code_1787702791259[[#This Row],[Cantidad]]*gemini_code_1787702791259[[#This Row],[Precio_Unitario_USD]]</f>
        <v>930</v>
      </c>
      <c r="O866" s="12">
        <f>+gemini_code_1787702791259[[#This Row],[Cantidad]]*gemini_code_1787702791259[[#This Row],[Costo_Unitario_USD]]</f>
        <v>630</v>
      </c>
      <c r="P866" s="12">
        <f>+gemini_code_1787702791259[[#This Row],[venta total]]-gemini_code_1787702791259[[#This Row],[Costo total]]</f>
        <v>300</v>
      </c>
      <c r="Q866" s="2">
        <f>gemini_code_1787702791259[[#This Row],[Ganancia bruta]]/gemini_code_1787702791259[[#This Row],[venta total]]</f>
        <v>0.32258064516129031</v>
      </c>
      <c r="R866" t="str">
        <f>IF(gemini_code_1787702791259[[#This Row],[Dias_Entrega]]&lt;=gemini_code_1787702791259[[#This Row],[Promesa_SLA_Dias]],"A tiempo","Fuera de SLA")</f>
        <v>A tiempo</v>
      </c>
    </row>
    <row r="867" spans="1:18" x14ac:dyDescent="0.25">
      <c r="A867" t="s">
        <v>75</v>
      </c>
      <c r="B867" s="1">
        <v>46243</v>
      </c>
      <c r="C867" t="s">
        <v>20</v>
      </c>
      <c r="D867" t="s">
        <v>21</v>
      </c>
      <c r="E867" t="s">
        <v>16</v>
      </c>
      <c r="F867" t="s">
        <v>23</v>
      </c>
      <c r="G867" t="s">
        <v>76</v>
      </c>
      <c r="H867">
        <v>8</v>
      </c>
      <c r="I867" s="12">
        <v>50</v>
      </c>
      <c r="J867" s="12">
        <v>22</v>
      </c>
      <c r="K867">
        <v>2</v>
      </c>
      <c r="L867">
        <v>3</v>
      </c>
      <c r="M867">
        <v>400</v>
      </c>
      <c r="N867" s="12">
        <f>+gemini_code_1787702791259[[#This Row],[Cantidad]]*gemini_code_1787702791259[[#This Row],[Precio_Unitario_USD]]</f>
        <v>400</v>
      </c>
      <c r="O867" s="12">
        <f>+gemini_code_1787702791259[[#This Row],[Cantidad]]*gemini_code_1787702791259[[#This Row],[Costo_Unitario_USD]]</f>
        <v>176</v>
      </c>
      <c r="P867" s="12">
        <f>+gemini_code_1787702791259[[#This Row],[venta total]]-gemini_code_1787702791259[[#This Row],[Costo total]]</f>
        <v>224</v>
      </c>
      <c r="Q867" s="2">
        <f>gemini_code_1787702791259[[#This Row],[Ganancia bruta]]/gemini_code_1787702791259[[#This Row],[venta total]]</f>
        <v>0.56000000000000005</v>
      </c>
      <c r="R867" t="str">
        <f>IF(gemini_code_1787702791259[[#This Row],[Dias_Entrega]]&lt;=gemini_code_1787702791259[[#This Row],[Promesa_SLA_Dias]],"A tiempo","Fuera de SLA")</f>
        <v>A tiempo</v>
      </c>
    </row>
    <row r="868" spans="1:18" x14ac:dyDescent="0.25">
      <c r="A868" t="s">
        <v>77</v>
      </c>
      <c r="B868" s="1">
        <v>46243</v>
      </c>
      <c r="C868" t="s">
        <v>26</v>
      </c>
      <c r="D868" t="s">
        <v>27</v>
      </c>
      <c r="E868" t="s">
        <v>16</v>
      </c>
      <c r="F868" t="s">
        <v>28</v>
      </c>
      <c r="G868" t="s">
        <v>78</v>
      </c>
      <c r="H868">
        <v>1</v>
      </c>
      <c r="I868" s="12">
        <v>750</v>
      </c>
      <c r="J868" s="12">
        <v>480</v>
      </c>
      <c r="K868">
        <v>8</v>
      </c>
      <c r="L868">
        <v>4</v>
      </c>
      <c r="M868">
        <v>700</v>
      </c>
      <c r="N868" s="12">
        <f>+gemini_code_1787702791259[[#This Row],[Cantidad]]*gemini_code_1787702791259[[#This Row],[Precio_Unitario_USD]]</f>
        <v>750</v>
      </c>
      <c r="O868" s="12">
        <f>+gemini_code_1787702791259[[#This Row],[Cantidad]]*gemini_code_1787702791259[[#This Row],[Costo_Unitario_USD]]</f>
        <v>480</v>
      </c>
      <c r="P868" s="12">
        <f>+gemini_code_1787702791259[[#This Row],[venta total]]-gemini_code_1787702791259[[#This Row],[Costo total]]</f>
        <v>270</v>
      </c>
      <c r="Q868" s="2">
        <f>gemini_code_1787702791259[[#This Row],[Ganancia bruta]]/gemini_code_1787702791259[[#This Row],[venta total]]</f>
        <v>0.36</v>
      </c>
      <c r="R868" t="str">
        <f>IF(gemini_code_1787702791259[[#This Row],[Dias_Entrega]]&lt;=gemini_code_1787702791259[[#This Row],[Promesa_SLA_Dias]],"A tiempo","Fuera de SLA")</f>
        <v>Fuera de SLA</v>
      </c>
    </row>
    <row r="869" spans="1:18" x14ac:dyDescent="0.25">
      <c r="A869" t="s">
        <v>79</v>
      </c>
      <c r="B869" s="1">
        <v>46244</v>
      </c>
      <c r="C869" t="s">
        <v>14</v>
      </c>
      <c r="D869" t="s">
        <v>15</v>
      </c>
      <c r="E869" t="s">
        <v>16</v>
      </c>
      <c r="F869" t="s">
        <v>31</v>
      </c>
      <c r="G869" t="s">
        <v>80</v>
      </c>
      <c r="H869">
        <v>4</v>
      </c>
      <c r="I869" s="12">
        <v>140</v>
      </c>
      <c r="J869" s="12">
        <v>75</v>
      </c>
      <c r="K869">
        <v>3</v>
      </c>
      <c r="L869">
        <v>3</v>
      </c>
      <c r="M869">
        <v>500</v>
      </c>
      <c r="N869" s="12">
        <f>+gemini_code_1787702791259[[#This Row],[Cantidad]]*gemini_code_1787702791259[[#This Row],[Precio_Unitario_USD]]</f>
        <v>560</v>
      </c>
      <c r="O869" s="12">
        <f>+gemini_code_1787702791259[[#This Row],[Cantidad]]*gemini_code_1787702791259[[#This Row],[Costo_Unitario_USD]]</f>
        <v>300</v>
      </c>
      <c r="P869" s="12">
        <f>+gemini_code_1787702791259[[#This Row],[venta total]]-gemini_code_1787702791259[[#This Row],[Costo total]]</f>
        <v>260</v>
      </c>
      <c r="Q869" s="2">
        <f>gemini_code_1787702791259[[#This Row],[Ganancia bruta]]/gemini_code_1787702791259[[#This Row],[venta total]]</f>
        <v>0.4642857142857143</v>
      </c>
      <c r="R869" t="str">
        <f>IF(gemini_code_1787702791259[[#This Row],[Dias_Entrega]]&lt;=gemini_code_1787702791259[[#This Row],[Promesa_SLA_Dias]],"A tiempo","Fuera de SLA")</f>
        <v>A tiempo</v>
      </c>
    </row>
    <row r="870" spans="1:18" x14ac:dyDescent="0.25">
      <c r="A870" t="s">
        <v>81</v>
      </c>
      <c r="B870" s="1">
        <v>46244</v>
      </c>
      <c r="C870" t="s">
        <v>20</v>
      </c>
      <c r="D870" t="s">
        <v>21</v>
      </c>
      <c r="E870" t="s">
        <v>22</v>
      </c>
      <c r="F870" t="s">
        <v>17</v>
      </c>
      <c r="G870" t="s">
        <v>82</v>
      </c>
      <c r="H870">
        <v>6</v>
      </c>
      <c r="I870" s="12">
        <v>90</v>
      </c>
      <c r="J870" s="12">
        <v>50</v>
      </c>
      <c r="K870">
        <v>1</v>
      </c>
      <c r="L870">
        <v>2</v>
      </c>
      <c r="M870">
        <v>500</v>
      </c>
      <c r="N870" s="12">
        <f>+gemini_code_1787702791259[[#This Row],[Cantidad]]*gemini_code_1787702791259[[#This Row],[Precio_Unitario_USD]]</f>
        <v>540</v>
      </c>
      <c r="O870" s="12">
        <f>+gemini_code_1787702791259[[#This Row],[Cantidad]]*gemini_code_1787702791259[[#This Row],[Costo_Unitario_USD]]</f>
        <v>300</v>
      </c>
      <c r="P870" s="12">
        <f>+gemini_code_1787702791259[[#This Row],[venta total]]-gemini_code_1787702791259[[#This Row],[Costo total]]</f>
        <v>240</v>
      </c>
      <c r="Q870" s="2">
        <f>gemini_code_1787702791259[[#This Row],[Ganancia bruta]]/gemini_code_1787702791259[[#This Row],[venta total]]</f>
        <v>0.44444444444444442</v>
      </c>
      <c r="R870" t="str">
        <f>IF(gemini_code_1787702791259[[#This Row],[Dias_Entrega]]&lt;=gemini_code_1787702791259[[#This Row],[Promesa_SLA_Dias]],"A tiempo","Fuera de SLA")</f>
        <v>A tiempo</v>
      </c>
    </row>
    <row r="871" spans="1:18" x14ac:dyDescent="0.25">
      <c r="A871" t="s">
        <v>83</v>
      </c>
      <c r="B871" s="1">
        <v>46244</v>
      </c>
      <c r="C871" t="s">
        <v>26</v>
      </c>
      <c r="D871" t="s">
        <v>27</v>
      </c>
      <c r="E871" t="s">
        <v>16</v>
      </c>
      <c r="F871" t="s">
        <v>23</v>
      </c>
      <c r="G871" t="s">
        <v>84</v>
      </c>
      <c r="H871">
        <v>6</v>
      </c>
      <c r="I871" s="12">
        <v>60</v>
      </c>
      <c r="J871" s="12">
        <v>28</v>
      </c>
      <c r="K871">
        <v>5</v>
      </c>
      <c r="L871">
        <v>3</v>
      </c>
      <c r="M871">
        <v>350</v>
      </c>
      <c r="N871" s="12">
        <f>+gemini_code_1787702791259[[#This Row],[Cantidad]]*gemini_code_1787702791259[[#This Row],[Precio_Unitario_USD]]</f>
        <v>360</v>
      </c>
      <c r="O871" s="12">
        <f>+gemini_code_1787702791259[[#This Row],[Cantidad]]*gemini_code_1787702791259[[#This Row],[Costo_Unitario_USD]]</f>
        <v>168</v>
      </c>
      <c r="P871" s="12">
        <f>+gemini_code_1787702791259[[#This Row],[venta total]]-gemini_code_1787702791259[[#This Row],[Costo total]]</f>
        <v>192</v>
      </c>
      <c r="Q871" s="2">
        <f>gemini_code_1787702791259[[#This Row],[Ganancia bruta]]/gemini_code_1787702791259[[#This Row],[venta total]]</f>
        <v>0.53333333333333333</v>
      </c>
      <c r="R871" t="str">
        <f>IF(gemini_code_1787702791259[[#This Row],[Dias_Entrega]]&lt;=gemini_code_1787702791259[[#This Row],[Promesa_SLA_Dias]],"A tiempo","Fuera de SLA")</f>
        <v>Fuera de SLA</v>
      </c>
    </row>
    <row r="872" spans="1:18" x14ac:dyDescent="0.25">
      <c r="A872" t="s">
        <v>13</v>
      </c>
      <c r="B872" s="1">
        <v>46235</v>
      </c>
      <c r="C872" t="s">
        <v>14</v>
      </c>
      <c r="D872" t="s">
        <v>15</v>
      </c>
      <c r="E872" t="s">
        <v>16</v>
      </c>
      <c r="F872" t="s">
        <v>17</v>
      </c>
      <c r="G872" t="s">
        <v>18</v>
      </c>
      <c r="H872">
        <v>2</v>
      </c>
      <c r="I872" s="12">
        <v>850</v>
      </c>
      <c r="J872" s="12">
        <v>600</v>
      </c>
      <c r="K872">
        <v>2</v>
      </c>
      <c r="L872">
        <v>3</v>
      </c>
      <c r="M872">
        <v>1500</v>
      </c>
      <c r="N872" s="12">
        <f>+gemini_code_1787702791259[[#This Row],[Cantidad]]*gemini_code_1787702791259[[#This Row],[Precio_Unitario_USD]]</f>
        <v>1700</v>
      </c>
      <c r="O872" s="12">
        <f>+gemini_code_1787702791259[[#This Row],[Cantidad]]*gemini_code_1787702791259[[#This Row],[Costo_Unitario_USD]]</f>
        <v>1200</v>
      </c>
      <c r="P872" s="12">
        <f>+gemini_code_1787702791259[[#This Row],[venta total]]-gemini_code_1787702791259[[#This Row],[Costo total]]</f>
        <v>500</v>
      </c>
      <c r="Q872" s="2">
        <f>gemini_code_1787702791259[[#This Row],[Ganancia bruta]]/gemini_code_1787702791259[[#This Row],[venta total]]</f>
        <v>0.29411764705882354</v>
      </c>
      <c r="R872" t="str">
        <f>IF(gemini_code_1787702791259[[#This Row],[Dias_Entrega]]&lt;=gemini_code_1787702791259[[#This Row],[Promesa_SLA_Dias]],"A tiempo","Fuera de SLA")</f>
        <v>A tiempo</v>
      </c>
    </row>
    <row r="873" spans="1:18" x14ac:dyDescent="0.25">
      <c r="A873" t="s">
        <v>19</v>
      </c>
      <c r="B873" s="1">
        <v>46235</v>
      </c>
      <c r="C873" t="s">
        <v>20</v>
      </c>
      <c r="D873" t="s">
        <v>21</v>
      </c>
      <c r="E873" t="s">
        <v>22</v>
      </c>
      <c r="F873" t="s">
        <v>23</v>
      </c>
      <c r="G873" t="s">
        <v>24</v>
      </c>
      <c r="H873">
        <v>5</v>
      </c>
      <c r="I873" s="12">
        <v>120</v>
      </c>
      <c r="J873" s="12">
        <v>70</v>
      </c>
      <c r="K873">
        <v>3</v>
      </c>
      <c r="L873">
        <v>3</v>
      </c>
      <c r="M873">
        <v>500</v>
      </c>
      <c r="N873" s="12">
        <f>+gemini_code_1787702791259[[#This Row],[Cantidad]]*gemini_code_1787702791259[[#This Row],[Precio_Unitario_USD]]</f>
        <v>600</v>
      </c>
      <c r="O873" s="12">
        <f>+gemini_code_1787702791259[[#This Row],[Cantidad]]*gemini_code_1787702791259[[#This Row],[Costo_Unitario_USD]]</f>
        <v>350</v>
      </c>
      <c r="P873" s="12">
        <f>+gemini_code_1787702791259[[#This Row],[venta total]]-gemini_code_1787702791259[[#This Row],[Costo total]]</f>
        <v>250</v>
      </c>
      <c r="Q873" s="2">
        <f>gemini_code_1787702791259[[#This Row],[Ganancia bruta]]/gemini_code_1787702791259[[#This Row],[venta total]]</f>
        <v>0.41666666666666669</v>
      </c>
      <c r="R873" t="str">
        <f>IF(gemini_code_1787702791259[[#This Row],[Dias_Entrega]]&lt;=gemini_code_1787702791259[[#This Row],[Promesa_SLA_Dias]],"A tiempo","Fuera de SLA")</f>
        <v>A tiempo</v>
      </c>
    </row>
    <row r="874" spans="1:18" x14ac:dyDescent="0.25">
      <c r="A874" t="s">
        <v>25</v>
      </c>
      <c r="B874" s="1">
        <v>46235</v>
      </c>
      <c r="C874" t="s">
        <v>26</v>
      </c>
      <c r="D874" t="s">
        <v>27</v>
      </c>
      <c r="E874" t="s">
        <v>16</v>
      </c>
      <c r="F874" t="s">
        <v>28</v>
      </c>
      <c r="G874" t="s">
        <v>29</v>
      </c>
      <c r="H874">
        <v>3</v>
      </c>
      <c r="I874" s="12">
        <v>90</v>
      </c>
      <c r="J874" s="12">
        <v>50</v>
      </c>
      <c r="K874">
        <v>6</v>
      </c>
      <c r="L874">
        <v>4</v>
      </c>
      <c r="M874">
        <v>300</v>
      </c>
      <c r="N874" s="12">
        <f>+gemini_code_1787702791259[[#This Row],[Cantidad]]*gemini_code_1787702791259[[#This Row],[Precio_Unitario_USD]]</f>
        <v>270</v>
      </c>
      <c r="O874" s="12">
        <f>+gemini_code_1787702791259[[#This Row],[Cantidad]]*gemini_code_1787702791259[[#This Row],[Costo_Unitario_USD]]</f>
        <v>150</v>
      </c>
      <c r="P874" s="12">
        <f>+gemini_code_1787702791259[[#This Row],[venta total]]-gemini_code_1787702791259[[#This Row],[Costo total]]</f>
        <v>120</v>
      </c>
      <c r="Q874" s="2">
        <f>gemini_code_1787702791259[[#This Row],[Ganancia bruta]]/gemini_code_1787702791259[[#This Row],[venta total]]</f>
        <v>0.44444444444444442</v>
      </c>
      <c r="R874" t="str">
        <f>IF(gemini_code_1787702791259[[#This Row],[Dias_Entrega]]&lt;=gemini_code_1787702791259[[#This Row],[Promesa_SLA_Dias]],"A tiempo","Fuera de SLA")</f>
        <v>Fuera de SLA</v>
      </c>
    </row>
    <row r="875" spans="1:18" x14ac:dyDescent="0.25">
      <c r="A875" t="s">
        <v>30</v>
      </c>
      <c r="B875" s="1">
        <v>46236</v>
      </c>
      <c r="C875" t="s">
        <v>14</v>
      </c>
      <c r="D875" t="s">
        <v>15</v>
      </c>
      <c r="E875" t="s">
        <v>22</v>
      </c>
      <c r="F875" t="s">
        <v>31</v>
      </c>
      <c r="G875" t="s">
        <v>32</v>
      </c>
      <c r="H875">
        <v>4</v>
      </c>
      <c r="I875" s="12">
        <v>110</v>
      </c>
      <c r="J875" s="12">
        <v>60</v>
      </c>
      <c r="K875">
        <v>1</v>
      </c>
      <c r="L875">
        <v>2</v>
      </c>
      <c r="M875">
        <v>400</v>
      </c>
      <c r="N875" s="12">
        <f>+gemini_code_1787702791259[[#This Row],[Cantidad]]*gemini_code_1787702791259[[#This Row],[Precio_Unitario_USD]]</f>
        <v>440</v>
      </c>
      <c r="O875" s="12">
        <f>+gemini_code_1787702791259[[#This Row],[Cantidad]]*gemini_code_1787702791259[[#This Row],[Costo_Unitario_USD]]</f>
        <v>240</v>
      </c>
      <c r="P875" s="12">
        <f>+gemini_code_1787702791259[[#This Row],[venta total]]-gemini_code_1787702791259[[#This Row],[Costo total]]</f>
        <v>200</v>
      </c>
      <c r="Q875" s="2">
        <f>gemini_code_1787702791259[[#This Row],[Ganancia bruta]]/gemini_code_1787702791259[[#This Row],[venta total]]</f>
        <v>0.45454545454545453</v>
      </c>
      <c r="R875" t="str">
        <f>IF(gemini_code_1787702791259[[#This Row],[Dias_Entrega]]&lt;=gemini_code_1787702791259[[#This Row],[Promesa_SLA_Dias]],"A tiempo","Fuera de SLA")</f>
        <v>A tiempo</v>
      </c>
    </row>
    <row r="876" spans="1:18" x14ac:dyDescent="0.25">
      <c r="A876" t="s">
        <v>33</v>
      </c>
      <c r="B876" s="1">
        <v>46236</v>
      </c>
      <c r="C876" t="s">
        <v>20</v>
      </c>
      <c r="D876" t="s">
        <v>21</v>
      </c>
      <c r="E876" t="s">
        <v>16</v>
      </c>
      <c r="F876" t="s">
        <v>17</v>
      </c>
      <c r="G876" t="s">
        <v>34</v>
      </c>
      <c r="H876">
        <v>3</v>
      </c>
      <c r="I876" s="12">
        <v>650</v>
      </c>
      <c r="J876" s="12">
        <v>450</v>
      </c>
      <c r="K876">
        <v>2</v>
      </c>
      <c r="L876">
        <v>3</v>
      </c>
      <c r="M876">
        <v>1800</v>
      </c>
      <c r="N876" s="12">
        <f>+gemini_code_1787702791259[[#This Row],[Cantidad]]*gemini_code_1787702791259[[#This Row],[Precio_Unitario_USD]]</f>
        <v>1950</v>
      </c>
      <c r="O876" s="12">
        <f>+gemini_code_1787702791259[[#This Row],[Cantidad]]*gemini_code_1787702791259[[#This Row],[Costo_Unitario_USD]]</f>
        <v>1350</v>
      </c>
      <c r="P876" s="12">
        <f>+gemini_code_1787702791259[[#This Row],[venta total]]-gemini_code_1787702791259[[#This Row],[Costo total]]</f>
        <v>600</v>
      </c>
      <c r="Q876" s="2">
        <f>gemini_code_1787702791259[[#This Row],[Ganancia bruta]]/gemini_code_1787702791259[[#This Row],[venta total]]</f>
        <v>0.30769230769230771</v>
      </c>
      <c r="R876" t="str">
        <f>IF(gemini_code_1787702791259[[#This Row],[Dias_Entrega]]&lt;=gemini_code_1787702791259[[#This Row],[Promesa_SLA_Dias]],"A tiempo","Fuera de SLA")</f>
        <v>A tiempo</v>
      </c>
    </row>
    <row r="877" spans="1:18" x14ac:dyDescent="0.25">
      <c r="A877" t="s">
        <v>35</v>
      </c>
      <c r="B877" s="1">
        <v>46236</v>
      </c>
      <c r="C877" t="s">
        <v>26</v>
      </c>
      <c r="D877" t="s">
        <v>27</v>
      </c>
      <c r="E877" t="s">
        <v>16</v>
      </c>
      <c r="F877" t="s">
        <v>23</v>
      </c>
      <c r="G877" t="s">
        <v>36</v>
      </c>
      <c r="H877">
        <v>8</v>
      </c>
      <c r="I877" s="12">
        <v>45</v>
      </c>
      <c r="J877" s="12">
        <v>20</v>
      </c>
      <c r="K877">
        <v>5</v>
      </c>
      <c r="L877">
        <v>3</v>
      </c>
      <c r="M877">
        <v>400</v>
      </c>
      <c r="N877" s="12">
        <f>+gemini_code_1787702791259[[#This Row],[Cantidad]]*gemini_code_1787702791259[[#This Row],[Precio_Unitario_USD]]</f>
        <v>360</v>
      </c>
      <c r="O877" s="12">
        <f>+gemini_code_1787702791259[[#This Row],[Cantidad]]*gemini_code_1787702791259[[#This Row],[Costo_Unitario_USD]]</f>
        <v>160</v>
      </c>
      <c r="P877" s="12">
        <f>+gemini_code_1787702791259[[#This Row],[venta total]]-gemini_code_1787702791259[[#This Row],[Costo total]]</f>
        <v>200</v>
      </c>
      <c r="Q877" s="2">
        <f>gemini_code_1787702791259[[#This Row],[Ganancia bruta]]/gemini_code_1787702791259[[#This Row],[venta total]]</f>
        <v>0.55555555555555558</v>
      </c>
      <c r="R877" t="str">
        <f>IF(gemini_code_1787702791259[[#This Row],[Dias_Entrega]]&lt;=gemini_code_1787702791259[[#This Row],[Promesa_SLA_Dias]],"A tiempo","Fuera de SLA")</f>
        <v>Fuera de SLA</v>
      </c>
    </row>
    <row r="878" spans="1:18" x14ac:dyDescent="0.25">
      <c r="A878" t="s">
        <v>37</v>
      </c>
      <c r="B878" s="1">
        <v>46237</v>
      </c>
      <c r="C878" t="s">
        <v>14</v>
      </c>
      <c r="D878" t="s">
        <v>15</v>
      </c>
      <c r="E878" t="s">
        <v>16</v>
      </c>
      <c r="F878" t="s">
        <v>28</v>
      </c>
      <c r="G878" t="s">
        <v>38</v>
      </c>
      <c r="H878">
        <v>2</v>
      </c>
      <c r="I878" s="12">
        <v>280</v>
      </c>
      <c r="J878" s="12">
        <v>180</v>
      </c>
      <c r="K878">
        <v>3</v>
      </c>
      <c r="L878">
        <v>3</v>
      </c>
      <c r="M878">
        <v>500</v>
      </c>
      <c r="N878" s="12">
        <f>+gemini_code_1787702791259[[#This Row],[Cantidad]]*gemini_code_1787702791259[[#This Row],[Precio_Unitario_USD]]</f>
        <v>560</v>
      </c>
      <c r="O878" s="12">
        <f>+gemini_code_1787702791259[[#This Row],[Cantidad]]*gemini_code_1787702791259[[#This Row],[Costo_Unitario_USD]]</f>
        <v>360</v>
      </c>
      <c r="P878" s="12">
        <f>+gemini_code_1787702791259[[#This Row],[venta total]]-gemini_code_1787702791259[[#This Row],[Costo total]]</f>
        <v>200</v>
      </c>
      <c r="Q878" s="2">
        <f>gemini_code_1787702791259[[#This Row],[Ganancia bruta]]/gemini_code_1787702791259[[#This Row],[venta total]]</f>
        <v>0.35714285714285715</v>
      </c>
      <c r="R878" t="str">
        <f>IF(gemini_code_1787702791259[[#This Row],[Dias_Entrega]]&lt;=gemini_code_1787702791259[[#This Row],[Promesa_SLA_Dias]],"A tiempo","Fuera de SLA")</f>
        <v>A tiempo</v>
      </c>
    </row>
    <row r="879" spans="1:18" x14ac:dyDescent="0.25">
      <c r="A879" t="s">
        <v>39</v>
      </c>
      <c r="B879" s="1">
        <v>46237</v>
      </c>
      <c r="C879" t="s">
        <v>20</v>
      </c>
      <c r="D879" t="s">
        <v>21</v>
      </c>
      <c r="E879" t="s">
        <v>22</v>
      </c>
      <c r="F879" t="s">
        <v>31</v>
      </c>
      <c r="G879" t="s">
        <v>40</v>
      </c>
      <c r="H879">
        <v>3</v>
      </c>
      <c r="I879" s="12">
        <v>150</v>
      </c>
      <c r="J879" s="12">
        <v>85</v>
      </c>
      <c r="K879">
        <v>2</v>
      </c>
      <c r="L879">
        <v>2</v>
      </c>
      <c r="M879">
        <v>400</v>
      </c>
      <c r="N879" s="12">
        <f>+gemini_code_1787702791259[[#This Row],[Cantidad]]*gemini_code_1787702791259[[#This Row],[Precio_Unitario_USD]]</f>
        <v>450</v>
      </c>
      <c r="O879" s="12">
        <f>+gemini_code_1787702791259[[#This Row],[Cantidad]]*gemini_code_1787702791259[[#This Row],[Costo_Unitario_USD]]</f>
        <v>255</v>
      </c>
      <c r="P879" s="12">
        <f>+gemini_code_1787702791259[[#This Row],[venta total]]-gemini_code_1787702791259[[#This Row],[Costo total]]</f>
        <v>195</v>
      </c>
      <c r="Q879" s="2">
        <f>gemini_code_1787702791259[[#This Row],[Ganancia bruta]]/gemini_code_1787702791259[[#This Row],[venta total]]</f>
        <v>0.43333333333333335</v>
      </c>
      <c r="R879" t="str">
        <f>IF(gemini_code_1787702791259[[#This Row],[Dias_Entrega]]&lt;=gemini_code_1787702791259[[#This Row],[Promesa_SLA_Dias]],"A tiempo","Fuera de SLA")</f>
        <v>A tiempo</v>
      </c>
    </row>
    <row r="880" spans="1:18" x14ac:dyDescent="0.25">
      <c r="A880" t="s">
        <v>41</v>
      </c>
      <c r="B880" s="1">
        <v>46237</v>
      </c>
      <c r="C880" t="s">
        <v>26</v>
      </c>
      <c r="D880" t="s">
        <v>27</v>
      </c>
      <c r="E880" t="s">
        <v>16</v>
      </c>
      <c r="F880" t="s">
        <v>17</v>
      </c>
      <c r="G880" t="s">
        <v>42</v>
      </c>
      <c r="H880">
        <v>2</v>
      </c>
      <c r="I880" s="12">
        <v>520</v>
      </c>
      <c r="J880" s="12">
        <v>380</v>
      </c>
      <c r="K880">
        <v>7</v>
      </c>
      <c r="L880">
        <v>4</v>
      </c>
      <c r="M880">
        <v>1000</v>
      </c>
      <c r="N880" s="12">
        <f>+gemini_code_1787702791259[[#This Row],[Cantidad]]*gemini_code_1787702791259[[#This Row],[Precio_Unitario_USD]]</f>
        <v>1040</v>
      </c>
      <c r="O880" s="12">
        <f>+gemini_code_1787702791259[[#This Row],[Cantidad]]*gemini_code_1787702791259[[#This Row],[Costo_Unitario_USD]]</f>
        <v>760</v>
      </c>
      <c r="P880" s="12">
        <f>+gemini_code_1787702791259[[#This Row],[venta total]]-gemini_code_1787702791259[[#This Row],[Costo total]]</f>
        <v>280</v>
      </c>
      <c r="Q880" s="2">
        <f>gemini_code_1787702791259[[#This Row],[Ganancia bruta]]/gemini_code_1787702791259[[#This Row],[venta total]]</f>
        <v>0.26923076923076922</v>
      </c>
      <c r="R880" t="str">
        <f>IF(gemini_code_1787702791259[[#This Row],[Dias_Entrega]]&lt;=gemini_code_1787702791259[[#This Row],[Promesa_SLA_Dias]],"A tiempo","Fuera de SLA")</f>
        <v>Fuera de SLA</v>
      </c>
    </row>
    <row r="881" spans="1:18" x14ac:dyDescent="0.25">
      <c r="A881" t="s">
        <v>43</v>
      </c>
      <c r="B881" s="1">
        <v>46238</v>
      </c>
      <c r="C881" t="s">
        <v>14</v>
      </c>
      <c r="D881" t="s">
        <v>15</v>
      </c>
      <c r="E881" t="s">
        <v>22</v>
      </c>
      <c r="F881" t="s">
        <v>23</v>
      </c>
      <c r="G881" t="s">
        <v>44</v>
      </c>
      <c r="H881">
        <v>6</v>
      </c>
      <c r="I881" s="12">
        <v>55</v>
      </c>
      <c r="J881" s="12">
        <v>25</v>
      </c>
      <c r="K881">
        <v>2</v>
      </c>
      <c r="L881">
        <v>3</v>
      </c>
      <c r="M881">
        <v>300</v>
      </c>
      <c r="N881" s="12">
        <f>+gemini_code_1787702791259[[#This Row],[Cantidad]]*gemini_code_1787702791259[[#This Row],[Precio_Unitario_USD]]</f>
        <v>330</v>
      </c>
      <c r="O881" s="12">
        <f>+gemini_code_1787702791259[[#This Row],[Cantidad]]*gemini_code_1787702791259[[#This Row],[Costo_Unitario_USD]]</f>
        <v>150</v>
      </c>
      <c r="P881" s="12">
        <f>+gemini_code_1787702791259[[#This Row],[venta total]]-gemini_code_1787702791259[[#This Row],[Costo total]]</f>
        <v>180</v>
      </c>
      <c r="Q881" s="2">
        <f>gemini_code_1787702791259[[#This Row],[Ganancia bruta]]/gemini_code_1787702791259[[#This Row],[venta total]]</f>
        <v>0.54545454545454541</v>
      </c>
      <c r="R881" t="str">
        <f>IF(gemini_code_1787702791259[[#This Row],[Dias_Entrega]]&lt;=gemini_code_1787702791259[[#This Row],[Promesa_SLA_Dias]],"A tiempo","Fuera de SLA")</f>
        <v>A tiempo</v>
      </c>
    </row>
    <row r="882" spans="1:18" x14ac:dyDescent="0.25">
      <c r="A882" t="s">
        <v>45</v>
      </c>
      <c r="B882" s="1">
        <v>46238</v>
      </c>
      <c r="C882" t="s">
        <v>20</v>
      </c>
      <c r="D882" t="s">
        <v>21</v>
      </c>
      <c r="E882" t="s">
        <v>16</v>
      </c>
      <c r="F882" t="s">
        <v>28</v>
      </c>
      <c r="G882" t="s">
        <v>46</v>
      </c>
      <c r="H882">
        <v>1</v>
      </c>
      <c r="I882" s="12">
        <v>450</v>
      </c>
      <c r="J882" s="12">
        <v>290</v>
      </c>
      <c r="K882">
        <v>4</v>
      </c>
      <c r="L882">
        <v>3</v>
      </c>
      <c r="M882">
        <v>400</v>
      </c>
      <c r="N882" s="12">
        <f>+gemini_code_1787702791259[[#This Row],[Cantidad]]*gemini_code_1787702791259[[#This Row],[Precio_Unitario_USD]]</f>
        <v>450</v>
      </c>
      <c r="O882" s="12">
        <f>+gemini_code_1787702791259[[#This Row],[Cantidad]]*gemini_code_1787702791259[[#This Row],[Costo_Unitario_USD]]</f>
        <v>290</v>
      </c>
      <c r="P882" s="12">
        <f>+gemini_code_1787702791259[[#This Row],[venta total]]-gemini_code_1787702791259[[#This Row],[Costo total]]</f>
        <v>160</v>
      </c>
      <c r="Q882" s="2">
        <f>gemini_code_1787702791259[[#This Row],[Ganancia bruta]]/gemini_code_1787702791259[[#This Row],[venta total]]</f>
        <v>0.35555555555555557</v>
      </c>
      <c r="R882" t="str">
        <f>IF(gemini_code_1787702791259[[#This Row],[Dias_Entrega]]&lt;=gemini_code_1787702791259[[#This Row],[Promesa_SLA_Dias]],"A tiempo","Fuera de SLA")</f>
        <v>Fuera de SLA</v>
      </c>
    </row>
    <row r="883" spans="1:18" x14ac:dyDescent="0.25">
      <c r="A883" t="s">
        <v>47</v>
      </c>
      <c r="B883" s="1">
        <v>46238</v>
      </c>
      <c r="C883" t="s">
        <v>26</v>
      </c>
      <c r="D883" t="s">
        <v>27</v>
      </c>
      <c r="E883" t="s">
        <v>22</v>
      </c>
      <c r="F883" t="s">
        <v>31</v>
      </c>
      <c r="G883" t="s">
        <v>48</v>
      </c>
      <c r="H883">
        <v>10</v>
      </c>
      <c r="I883" s="12">
        <v>35</v>
      </c>
      <c r="J883" s="12">
        <v>15</v>
      </c>
      <c r="K883">
        <v>4</v>
      </c>
      <c r="L883">
        <v>3</v>
      </c>
      <c r="M883">
        <v>300</v>
      </c>
      <c r="N883" s="12">
        <f>+gemini_code_1787702791259[[#This Row],[Cantidad]]*gemini_code_1787702791259[[#This Row],[Precio_Unitario_USD]]</f>
        <v>350</v>
      </c>
      <c r="O883" s="12">
        <f>+gemini_code_1787702791259[[#This Row],[Cantidad]]*gemini_code_1787702791259[[#This Row],[Costo_Unitario_USD]]</f>
        <v>150</v>
      </c>
      <c r="P883" s="12">
        <f>+gemini_code_1787702791259[[#This Row],[venta total]]-gemini_code_1787702791259[[#This Row],[Costo total]]</f>
        <v>200</v>
      </c>
      <c r="Q883" s="2">
        <f>gemini_code_1787702791259[[#This Row],[Ganancia bruta]]/gemini_code_1787702791259[[#This Row],[venta total]]</f>
        <v>0.5714285714285714</v>
      </c>
      <c r="R883" t="str">
        <f>IF(gemini_code_1787702791259[[#This Row],[Dias_Entrega]]&lt;=gemini_code_1787702791259[[#This Row],[Promesa_SLA_Dias]],"A tiempo","Fuera de SLA")</f>
        <v>Fuera de SLA</v>
      </c>
    </row>
    <row r="884" spans="1:18" x14ac:dyDescent="0.25">
      <c r="A884" t="s">
        <v>49</v>
      </c>
      <c r="B884" s="1">
        <v>46239</v>
      </c>
      <c r="C884" t="s">
        <v>14</v>
      </c>
      <c r="D884" t="s">
        <v>15</v>
      </c>
      <c r="E884" t="s">
        <v>16</v>
      </c>
      <c r="F884" t="s">
        <v>17</v>
      </c>
      <c r="G884" t="s">
        <v>50</v>
      </c>
      <c r="H884">
        <v>4</v>
      </c>
      <c r="I884" s="12">
        <v>220</v>
      </c>
      <c r="J884" s="12">
        <v>140</v>
      </c>
      <c r="K884">
        <v>2</v>
      </c>
      <c r="L884">
        <v>3</v>
      </c>
      <c r="M884">
        <v>800</v>
      </c>
      <c r="N884" s="12">
        <f>+gemini_code_1787702791259[[#This Row],[Cantidad]]*gemini_code_1787702791259[[#This Row],[Precio_Unitario_USD]]</f>
        <v>880</v>
      </c>
      <c r="O884" s="12">
        <f>+gemini_code_1787702791259[[#This Row],[Cantidad]]*gemini_code_1787702791259[[#This Row],[Costo_Unitario_USD]]</f>
        <v>560</v>
      </c>
      <c r="P884" s="12">
        <f>+gemini_code_1787702791259[[#This Row],[venta total]]-gemini_code_1787702791259[[#This Row],[Costo total]]</f>
        <v>320</v>
      </c>
      <c r="Q884" s="2">
        <f>gemini_code_1787702791259[[#This Row],[Ganancia bruta]]/gemini_code_1787702791259[[#This Row],[venta total]]</f>
        <v>0.36363636363636365</v>
      </c>
      <c r="R884" t="str">
        <f>IF(gemini_code_1787702791259[[#This Row],[Dias_Entrega]]&lt;=gemini_code_1787702791259[[#This Row],[Promesa_SLA_Dias]],"A tiempo","Fuera de SLA")</f>
        <v>A tiempo</v>
      </c>
    </row>
    <row r="885" spans="1:18" x14ac:dyDescent="0.25">
      <c r="A885" t="s">
        <v>51</v>
      </c>
      <c r="B885" s="1">
        <v>46239</v>
      </c>
      <c r="C885" t="s">
        <v>20</v>
      </c>
      <c r="D885" t="s">
        <v>21</v>
      </c>
      <c r="E885" t="s">
        <v>16</v>
      </c>
      <c r="F885" t="s">
        <v>23</v>
      </c>
      <c r="G885" t="s">
        <v>52</v>
      </c>
      <c r="H885">
        <v>5</v>
      </c>
      <c r="I885" s="12">
        <v>65</v>
      </c>
      <c r="J885" s="12">
        <v>30</v>
      </c>
      <c r="K885">
        <v>2</v>
      </c>
      <c r="L885">
        <v>3</v>
      </c>
      <c r="M885">
        <v>300</v>
      </c>
      <c r="N885" s="12">
        <f>+gemini_code_1787702791259[[#This Row],[Cantidad]]*gemini_code_1787702791259[[#This Row],[Precio_Unitario_USD]]</f>
        <v>325</v>
      </c>
      <c r="O885" s="12">
        <f>+gemini_code_1787702791259[[#This Row],[Cantidad]]*gemini_code_1787702791259[[#This Row],[Costo_Unitario_USD]]</f>
        <v>150</v>
      </c>
      <c r="P885" s="12">
        <f>+gemini_code_1787702791259[[#This Row],[venta total]]-gemini_code_1787702791259[[#This Row],[Costo total]]</f>
        <v>175</v>
      </c>
      <c r="Q885" s="2">
        <f>gemini_code_1787702791259[[#This Row],[Ganancia bruta]]/gemini_code_1787702791259[[#This Row],[venta total]]</f>
        <v>0.53846153846153844</v>
      </c>
      <c r="R885" t="str">
        <f>IF(gemini_code_1787702791259[[#This Row],[Dias_Entrega]]&lt;=gemini_code_1787702791259[[#This Row],[Promesa_SLA_Dias]],"A tiempo","Fuera de SLA")</f>
        <v>A tiempo</v>
      </c>
    </row>
    <row r="886" spans="1:18" x14ac:dyDescent="0.25">
      <c r="A886" t="s">
        <v>53</v>
      </c>
      <c r="B886" s="1">
        <v>46239</v>
      </c>
      <c r="C886" t="s">
        <v>26</v>
      </c>
      <c r="D886" t="s">
        <v>27</v>
      </c>
      <c r="E886" t="s">
        <v>16</v>
      </c>
      <c r="F886" t="s">
        <v>28</v>
      </c>
      <c r="G886" t="s">
        <v>54</v>
      </c>
      <c r="H886">
        <v>2</v>
      </c>
      <c r="I886" s="12">
        <v>180</v>
      </c>
      <c r="J886" s="12">
        <v>110</v>
      </c>
      <c r="K886">
        <v>6</v>
      </c>
      <c r="L886">
        <v>3</v>
      </c>
      <c r="M886">
        <v>350</v>
      </c>
      <c r="N886" s="12">
        <f>+gemini_code_1787702791259[[#This Row],[Cantidad]]*gemini_code_1787702791259[[#This Row],[Precio_Unitario_USD]]</f>
        <v>360</v>
      </c>
      <c r="O886" s="12">
        <f>+gemini_code_1787702791259[[#This Row],[Cantidad]]*gemini_code_1787702791259[[#This Row],[Costo_Unitario_USD]]</f>
        <v>220</v>
      </c>
      <c r="P886" s="12">
        <f>+gemini_code_1787702791259[[#This Row],[venta total]]-gemini_code_1787702791259[[#This Row],[Costo total]]</f>
        <v>140</v>
      </c>
      <c r="Q886" s="2">
        <f>gemini_code_1787702791259[[#This Row],[Ganancia bruta]]/gemini_code_1787702791259[[#This Row],[venta total]]</f>
        <v>0.3888888888888889</v>
      </c>
      <c r="R886" t="str">
        <f>IF(gemini_code_1787702791259[[#This Row],[Dias_Entrega]]&lt;=gemini_code_1787702791259[[#This Row],[Promesa_SLA_Dias]],"A tiempo","Fuera de SLA")</f>
        <v>Fuera de SLA</v>
      </c>
    </row>
    <row r="887" spans="1:18" x14ac:dyDescent="0.25">
      <c r="A887" t="s">
        <v>55</v>
      </c>
      <c r="B887" s="1">
        <v>46240</v>
      </c>
      <c r="C887" t="s">
        <v>14</v>
      </c>
      <c r="D887" t="s">
        <v>15</v>
      </c>
      <c r="E887" t="s">
        <v>22</v>
      </c>
      <c r="F887" t="s">
        <v>31</v>
      </c>
      <c r="G887" t="s">
        <v>56</v>
      </c>
      <c r="H887">
        <v>6</v>
      </c>
      <c r="I887" s="12">
        <v>85</v>
      </c>
      <c r="J887" s="12">
        <v>45</v>
      </c>
      <c r="K887">
        <v>1</v>
      </c>
      <c r="L887">
        <v>2</v>
      </c>
      <c r="M887">
        <v>500</v>
      </c>
      <c r="N887" s="12">
        <f>+gemini_code_1787702791259[[#This Row],[Cantidad]]*gemini_code_1787702791259[[#This Row],[Precio_Unitario_USD]]</f>
        <v>510</v>
      </c>
      <c r="O887" s="12">
        <f>+gemini_code_1787702791259[[#This Row],[Cantidad]]*gemini_code_1787702791259[[#This Row],[Costo_Unitario_USD]]</f>
        <v>270</v>
      </c>
      <c r="P887" s="12">
        <f>+gemini_code_1787702791259[[#This Row],[venta total]]-gemini_code_1787702791259[[#This Row],[Costo total]]</f>
        <v>240</v>
      </c>
      <c r="Q887" s="2">
        <f>gemini_code_1787702791259[[#This Row],[Ganancia bruta]]/gemini_code_1787702791259[[#This Row],[venta total]]</f>
        <v>0.47058823529411764</v>
      </c>
      <c r="R887" t="str">
        <f>IF(gemini_code_1787702791259[[#This Row],[Dias_Entrega]]&lt;=gemini_code_1787702791259[[#This Row],[Promesa_SLA_Dias]],"A tiempo","Fuera de SLA")</f>
        <v>A tiempo</v>
      </c>
    </row>
    <row r="888" spans="1:18" x14ac:dyDescent="0.25">
      <c r="A888" t="s">
        <v>57</v>
      </c>
      <c r="B888" s="1">
        <v>46240</v>
      </c>
      <c r="C888" t="s">
        <v>20</v>
      </c>
      <c r="D888" t="s">
        <v>21</v>
      </c>
      <c r="E888" t="s">
        <v>16</v>
      </c>
      <c r="F888" t="s">
        <v>17</v>
      </c>
      <c r="G888" t="s">
        <v>58</v>
      </c>
      <c r="H888">
        <v>12</v>
      </c>
      <c r="I888" s="12">
        <v>75</v>
      </c>
      <c r="J888" s="12">
        <v>35</v>
      </c>
      <c r="K888">
        <v>1</v>
      </c>
      <c r="L888">
        <v>2</v>
      </c>
      <c r="M888">
        <v>800</v>
      </c>
      <c r="N888" s="12">
        <f>+gemini_code_1787702791259[[#This Row],[Cantidad]]*gemini_code_1787702791259[[#This Row],[Precio_Unitario_USD]]</f>
        <v>900</v>
      </c>
      <c r="O888" s="12">
        <f>+gemini_code_1787702791259[[#This Row],[Cantidad]]*gemini_code_1787702791259[[#This Row],[Costo_Unitario_USD]]</f>
        <v>420</v>
      </c>
      <c r="P888" s="12">
        <f>+gemini_code_1787702791259[[#This Row],[venta total]]-gemini_code_1787702791259[[#This Row],[Costo total]]</f>
        <v>480</v>
      </c>
      <c r="Q888" s="2">
        <f>gemini_code_1787702791259[[#This Row],[Ganancia bruta]]/gemini_code_1787702791259[[#This Row],[venta total]]</f>
        <v>0.53333333333333333</v>
      </c>
      <c r="R888" t="str">
        <f>IF(gemini_code_1787702791259[[#This Row],[Dias_Entrega]]&lt;=gemini_code_1787702791259[[#This Row],[Promesa_SLA_Dias]],"A tiempo","Fuera de SLA")</f>
        <v>A tiempo</v>
      </c>
    </row>
    <row r="889" spans="1:18" x14ac:dyDescent="0.25">
      <c r="A889" t="s">
        <v>59</v>
      </c>
      <c r="B889" s="1">
        <v>46240</v>
      </c>
      <c r="C889" t="s">
        <v>26</v>
      </c>
      <c r="D889" t="s">
        <v>27</v>
      </c>
      <c r="E889" t="s">
        <v>22</v>
      </c>
      <c r="F889" t="s">
        <v>23</v>
      </c>
      <c r="G889" t="s">
        <v>60</v>
      </c>
      <c r="H889">
        <v>4</v>
      </c>
      <c r="I889" s="12">
        <v>110</v>
      </c>
      <c r="J889" s="12">
        <v>55</v>
      </c>
      <c r="K889">
        <v>5</v>
      </c>
      <c r="L889">
        <v>3</v>
      </c>
      <c r="M889">
        <v>400</v>
      </c>
      <c r="N889" s="12">
        <f>+gemini_code_1787702791259[[#This Row],[Cantidad]]*gemini_code_1787702791259[[#This Row],[Precio_Unitario_USD]]</f>
        <v>440</v>
      </c>
      <c r="O889" s="12">
        <f>+gemini_code_1787702791259[[#This Row],[Cantidad]]*gemini_code_1787702791259[[#This Row],[Costo_Unitario_USD]]</f>
        <v>220</v>
      </c>
      <c r="P889" s="12">
        <f>+gemini_code_1787702791259[[#This Row],[venta total]]-gemini_code_1787702791259[[#This Row],[Costo total]]</f>
        <v>220</v>
      </c>
      <c r="Q889" s="2">
        <f>gemini_code_1787702791259[[#This Row],[Ganancia bruta]]/gemini_code_1787702791259[[#This Row],[venta total]]</f>
        <v>0.5</v>
      </c>
      <c r="R889" t="str">
        <f>IF(gemini_code_1787702791259[[#This Row],[Dias_Entrega]]&lt;=gemini_code_1787702791259[[#This Row],[Promesa_SLA_Dias]],"A tiempo","Fuera de SLA")</f>
        <v>Fuera de SLA</v>
      </c>
    </row>
    <row r="890" spans="1:18" x14ac:dyDescent="0.25">
      <c r="A890" t="s">
        <v>61</v>
      </c>
      <c r="B890" s="1">
        <v>46241</v>
      </c>
      <c r="C890" t="s">
        <v>14</v>
      </c>
      <c r="D890" t="s">
        <v>15</v>
      </c>
      <c r="E890" t="s">
        <v>16</v>
      </c>
      <c r="F890" t="s">
        <v>28</v>
      </c>
      <c r="G890" t="s">
        <v>62</v>
      </c>
      <c r="H890">
        <v>15</v>
      </c>
      <c r="I890" s="12">
        <v>25</v>
      </c>
      <c r="J890" s="12">
        <v>10</v>
      </c>
      <c r="K890">
        <v>2</v>
      </c>
      <c r="L890">
        <v>3</v>
      </c>
      <c r="M890">
        <v>300</v>
      </c>
      <c r="N890" s="12">
        <f>+gemini_code_1787702791259[[#This Row],[Cantidad]]*gemini_code_1787702791259[[#This Row],[Precio_Unitario_USD]]</f>
        <v>375</v>
      </c>
      <c r="O890" s="12">
        <f>+gemini_code_1787702791259[[#This Row],[Cantidad]]*gemini_code_1787702791259[[#This Row],[Costo_Unitario_USD]]</f>
        <v>150</v>
      </c>
      <c r="P890" s="12">
        <f>+gemini_code_1787702791259[[#This Row],[venta total]]-gemini_code_1787702791259[[#This Row],[Costo total]]</f>
        <v>225</v>
      </c>
      <c r="Q890" s="2">
        <f>gemini_code_1787702791259[[#This Row],[Ganancia bruta]]/gemini_code_1787702791259[[#This Row],[venta total]]</f>
        <v>0.6</v>
      </c>
      <c r="R890" t="str">
        <f>IF(gemini_code_1787702791259[[#This Row],[Dias_Entrega]]&lt;=gemini_code_1787702791259[[#This Row],[Promesa_SLA_Dias]],"A tiempo","Fuera de SLA")</f>
        <v>A tiempo</v>
      </c>
    </row>
    <row r="891" spans="1:18" x14ac:dyDescent="0.25">
      <c r="A891" t="s">
        <v>63</v>
      </c>
      <c r="B891" s="1">
        <v>46241</v>
      </c>
      <c r="C891" t="s">
        <v>20</v>
      </c>
      <c r="D891" t="s">
        <v>21</v>
      </c>
      <c r="E891" t="s">
        <v>22</v>
      </c>
      <c r="F891" t="s">
        <v>31</v>
      </c>
      <c r="G891" t="s">
        <v>64</v>
      </c>
      <c r="H891">
        <v>5</v>
      </c>
      <c r="I891" s="12">
        <v>130</v>
      </c>
      <c r="J891" s="12">
        <v>70</v>
      </c>
      <c r="K891">
        <v>3</v>
      </c>
      <c r="L891">
        <v>3</v>
      </c>
      <c r="M891">
        <v>600</v>
      </c>
      <c r="N891" s="12">
        <f>+gemini_code_1787702791259[[#This Row],[Cantidad]]*gemini_code_1787702791259[[#This Row],[Precio_Unitario_USD]]</f>
        <v>650</v>
      </c>
      <c r="O891" s="12">
        <f>+gemini_code_1787702791259[[#This Row],[Cantidad]]*gemini_code_1787702791259[[#This Row],[Costo_Unitario_USD]]</f>
        <v>350</v>
      </c>
      <c r="P891" s="12">
        <f>+gemini_code_1787702791259[[#This Row],[venta total]]-gemini_code_1787702791259[[#This Row],[Costo total]]</f>
        <v>300</v>
      </c>
      <c r="Q891" s="2">
        <f>gemini_code_1787702791259[[#This Row],[Ganancia bruta]]/gemini_code_1787702791259[[#This Row],[venta total]]</f>
        <v>0.46153846153846156</v>
      </c>
      <c r="R891" t="str">
        <f>IF(gemini_code_1787702791259[[#This Row],[Dias_Entrega]]&lt;=gemini_code_1787702791259[[#This Row],[Promesa_SLA_Dias]],"A tiempo","Fuera de SLA")</f>
        <v>A tiempo</v>
      </c>
    </row>
    <row r="892" spans="1:18" x14ac:dyDescent="0.25">
      <c r="A892" t="s">
        <v>65</v>
      </c>
      <c r="B892" s="1">
        <v>46241</v>
      </c>
      <c r="C892" t="s">
        <v>26</v>
      </c>
      <c r="D892" t="s">
        <v>27</v>
      </c>
      <c r="E892" t="s">
        <v>16</v>
      </c>
      <c r="F892" t="s">
        <v>17</v>
      </c>
      <c r="G892" t="s">
        <v>66</v>
      </c>
      <c r="H892">
        <v>2</v>
      </c>
      <c r="I892" s="12">
        <v>500</v>
      </c>
      <c r="J892" s="12">
        <v>380</v>
      </c>
      <c r="K892">
        <v>6</v>
      </c>
      <c r="L892">
        <v>4</v>
      </c>
      <c r="M892">
        <v>900</v>
      </c>
      <c r="N892" s="12">
        <f>+gemini_code_1787702791259[[#This Row],[Cantidad]]*gemini_code_1787702791259[[#This Row],[Precio_Unitario_USD]]</f>
        <v>1000</v>
      </c>
      <c r="O892" s="12">
        <f>+gemini_code_1787702791259[[#This Row],[Cantidad]]*gemini_code_1787702791259[[#This Row],[Costo_Unitario_USD]]</f>
        <v>760</v>
      </c>
      <c r="P892" s="12">
        <f>+gemini_code_1787702791259[[#This Row],[venta total]]-gemini_code_1787702791259[[#This Row],[Costo total]]</f>
        <v>240</v>
      </c>
      <c r="Q892" s="2">
        <f>gemini_code_1787702791259[[#This Row],[Ganancia bruta]]/gemini_code_1787702791259[[#This Row],[venta total]]</f>
        <v>0.24</v>
      </c>
      <c r="R892" t="str">
        <f>IF(gemini_code_1787702791259[[#This Row],[Dias_Entrega]]&lt;=gemini_code_1787702791259[[#This Row],[Promesa_SLA_Dias]],"A tiempo","Fuera de SLA")</f>
        <v>Fuera de SLA</v>
      </c>
    </row>
    <row r="893" spans="1:18" x14ac:dyDescent="0.25">
      <c r="A893" t="s">
        <v>67</v>
      </c>
      <c r="B893" s="1">
        <v>46242</v>
      </c>
      <c r="C893" t="s">
        <v>14</v>
      </c>
      <c r="D893" t="s">
        <v>15</v>
      </c>
      <c r="E893" t="s">
        <v>16</v>
      </c>
      <c r="F893" t="s">
        <v>23</v>
      </c>
      <c r="G893" t="s">
        <v>68</v>
      </c>
      <c r="H893">
        <v>3</v>
      </c>
      <c r="I893" s="12">
        <v>95</v>
      </c>
      <c r="J893" s="12">
        <v>45</v>
      </c>
      <c r="K893">
        <v>2</v>
      </c>
      <c r="L893">
        <v>3</v>
      </c>
      <c r="M893">
        <v>300</v>
      </c>
      <c r="N893" s="12">
        <f>+gemini_code_1787702791259[[#This Row],[Cantidad]]*gemini_code_1787702791259[[#This Row],[Precio_Unitario_USD]]</f>
        <v>285</v>
      </c>
      <c r="O893" s="12">
        <f>+gemini_code_1787702791259[[#This Row],[Cantidad]]*gemini_code_1787702791259[[#This Row],[Costo_Unitario_USD]]</f>
        <v>135</v>
      </c>
      <c r="P893" s="12">
        <f>+gemini_code_1787702791259[[#This Row],[venta total]]-gemini_code_1787702791259[[#This Row],[Costo total]]</f>
        <v>150</v>
      </c>
      <c r="Q893" s="2">
        <f>gemini_code_1787702791259[[#This Row],[Ganancia bruta]]/gemini_code_1787702791259[[#This Row],[venta total]]</f>
        <v>0.52631578947368418</v>
      </c>
      <c r="R893" t="str">
        <f>IF(gemini_code_1787702791259[[#This Row],[Dias_Entrega]]&lt;=gemini_code_1787702791259[[#This Row],[Promesa_SLA_Dias]],"A tiempo","Fuera de SLA")</f>
        <v>A tiempo</v>
      </c>
    </row>
    <row r="894" spans="1:18" x14ac:dyDescent="0.25">
      <c r="A894" t="s">
        <v>69</v>
      </c>
      <c r="B894" s="1">
        <v>46242</v>
      </c>
      <c r="C894" t="s">
        <v>20</v>
      </c>
      <c r="D894" t="s">
        <v>21</v>
      </c>
      <c r="E894" t="s">
        <v>16</v>
      </c>
      <c r="F894" t="s">
        <v>28</v>
      </c>
      <c r="G894" t="s">
        <v>70</v>
      </c>
      <c r="H894">
        <v>4</v>
      </c>
      <c r="I894" s="12">
        <v>160</v>
      </c>
      <c r="J894" s="12">
        <v>95</v>
      </c>
      <c r="K894">
        <v>2</v>
      </c>
      <c r="L894">
        <v>3</v>
      </c>
      <c r="M894">
        <v>600</v>
      </c>
      <c r="N894" s="12">
        <f>+gemini_code_1787702791259[[#This Row],[Cantidad]]*gemini_code_1787702791259[[#This Row],[Precio_Unitario_USD]]</f>
        <v>640</v>
      </c>
      <c r="O894" s="12">
        <f>+gemini_code_1787702791259[[#This Row],[Cantidad]]*gemini_code_1787702791259[[#This Row],[Costo_Unitario_USD]]</f>
        <v>380</v>
      </c>
      <c r="P894" s="12">
        <f>+gemini_code_1787702791259[[#This Row],[venta total]]-gemini_code_1787702791259[[#This Row],[Costo total]]</f>
        <v>260</v>
      </c>
      <c r="Q894" s="2">
        <f>gemini_code_1787702791259[[#This Row],[Ganancia bruta]]/gemini_code_1787702791259[[#This Row],[venta total]]</f>
        <v>0.40625</v>
      </c>
      <c r="R894" t="str">
        <f>IF(gemini_code_1787702791259[[#This Row],[Dias_Entrega]]&lt;=gemini_code_1787702791259[[#This Row],[Promesa_SLA_Dias]],"A tiempo","Fuera de SLA")</f>
        <v>A tiempo</v>
      </c>
    </row>
    <row r="895" spans="1:18" x14ac:dyDescent="0.25">
      <c r="A895" t="s">
        <v>71</v>
      </c>
      <c r="B895" s="1">
        <v>46242</v>
      </c>
      <c r="C895" t="s">
        <v>26</v>
      </c>
      <c r="D895" t="s">
        <v>27</v>
      </c>
      <c r="E895" t="s">
        <v>22</v>
      </c>
      <c r="F895" t="s">
        <v>31</v>
      </c>
      <c r="G895" t="s">
        <v>72</v>
      </c>
      <c r="H895">
        <v>7</v>
      </c>
      <c r="I895" s="12">
        <v>90</v>
      </c>
      <c r="J895" s="12">
        <v>45</v>
      </c>
      <c r="K895">
        <v>4</v>
      </c>
      <c r="L895">
        <v>3</v>
      </c>
      <c r="M895">
        <v>600</v>
      </c>
      <c r="N895" s="12">
        <f>+gemini_code_1787702791259[[#This Row],[Cantidad]]*gemini_code_1787702791259[[#This Row],[Precio_Unitario_USD]]</f>
        <v>630</v>
      </c>
      <c r="O895" s="12">
        <f>+gemini_code_1787702791259[[#This Row],[Cantidad]]*gemini_code_1787702791259[[#This Row],[Costo_Unitario_USD]]</f>
        <v>315</v>
      </c>
      <c r="P895" s="12">
        <f>+gemini_code_1787702791259[[#This Row],[venta total]]-gemini_code_1787702791259[[#This Row],[Costo total]]</f>
        <v>315</v>
      </c>
      <c r="Q895" s="2">
        <f>gemini_code_1787702791259[[#This Row],[Ganancia bruta]]/gemini_code_1787702791259[[#This Row],[venta total]]</f>
        <v>0.5</v>
      </c>
      <c r="R895" t="str">
        <f>IF(gemini_code_1787702791259[[#This Row],[Dias_Entrega]]&lt;=gemini_code_1787702791259[[#This Row],[Promesa_SLA_Dias]],"A tiempo","Fuera de SLA")</f>
        <v>Fuera de SLA</v>
      </c>
    </row>
    <row r="896" spans="1:18" x14ac:dyDescent="0.25">
      <c r="A896" t="s">
        <v>73</v>
      </c>
      <c r="B896" s="1">
        <v>46243</v>
      </c>
      <c r="C896" t="s">
        <v>14</v>
      </c>
      <c r="D896" t="s">
        <v>15</v>
      </c>
      <c r="E896" t="s">
        <v>22</v>
      </c>
      <c r="F896" t="s">
        <v>17</v>
      </c>
      <c r="G896" t="s">
        <v>74</v>
      </c>
      <c r="H896">
        <v>3</v>
      </c>
      <c r="I896" s="12">
        <v>310</v>
      </c>
      <c r="J896" s="12">
        <v>210</v>
      </c>
      <c r="K896">
        <v>2</v>
      </c>
      <c r="L896">
        <v>3</v>
      </c>
      <c r="M896">
        <v>900</v>
      </c>
      <c r="N896" s="12">
        <f>+gemini_code_1787702791259[[#This Row],[Cantidad]]*gemini_code_1787702791259[[#This Row],[Precio_Unitario_USD]]</f>
        <v>930</v>
      </c>
      <c r="O896" s="12">
        <f>+gemini_code_1787702791259[[#This Row],[Cantidad]]*gemini_code_1787702791259[[#This Row],[Costo_Unitario_USD]]</f>
        <v>630</v>
      </c>
      <c r="P896" s="12">
        <f>+gemini_code_1787702791259[[#This Row],[venta total]]-gemini_code_1787702791259[[#This Row],[Costo total]]</f>
        <v>300</v>
      </c>
      <c r="Q896" s="2">
        <f>gemini_code_1787702791259[[#This Row],[Ganancia bruta]]/gemini_code_1787702791259[[#This Row],[venta total]]</f>
        <v>0.32258064516129031</v>
      </c>
      <c r="R896" t="str">
        <f>IF(gemini_code_1787702791259[[#This Row],[Dias_Entrega]]&lt;=gemini_code_1787702791259[[#This Row],[Promesa_SLA_Dias]],"A tiempo","Fuera de SLA")</f>
        <v>A tiempo</v>
      </c>
    </row>
    <row r="897" spans="1:18" x14ac:dyDescent="0.25">
      <c r="A897" t="s">
        <v>75</v>
      </c>
      <c r="B897" s="1">
        <v>46243</v>
      </c>
      <c r="C897" t="s">
        <v>20</v>
      </c>
      <c r="D897" t="s">
        <v>21</v>
      </c>
      <c r="E897" t="s">
        <v>16</v>
      </c>
      <c r="F897" t="s">
        <v>23</v>
      </c>
      <c r="G897" t="s">
        <v>76</v>
      </c>
      <c r="H897">
        <v>8</v>
      </c>
      <c r="I897" s="12">
        <v>50</v>
      </c>
      <c r="J897" s="12">
        <v>22</v>
      </c>
      <c r="K897">
        <v>2</v>
      </c>
      <c r="L897">
        <v>3</v>
      </c>
      <c r="M897">
        <v>400</v>
      </c>
      <c r="N897" s="12">
        <f>+gemini_code_1787702791259[[#This Row],[Cantidad]]*gemini_code_1787702791259[[#This Row],[Precio_Unitario_USD]]</f>
        <v>400</v>
      </c>
      <c r="O897" s="12">
        <f>+gemini_code_1787702791259[[#This Row],[Cantidad]]*gemini_code_1787702791259[[#This Row],[Costo_Unitario_USD]]</f>
        <v>176</v>
      </c>
      <c r="P897" s="12">
        <f>+gemini_code_1787702791259[[#This Row],[venta total]]-gemini_code_1787702791259[[#This Row],[Costo total]]</f>
        <v>224</v>
      </c>
      <c r="Q897" s="2">
        <f>gemini_code_1787702791259[[#This Row],[Ganancia bruta]]/gemini_code_1787702791259[[#This Row],[venta total]]</f>
        <v>0.56000000000000005</v>
      </c>
      <c r="R897" t="str">
        <f>IF(gemini_code_1787702791259[[#This Row],[Dias_Entrega]]&lt;=gemini_code_1787702791259[[#This Row],[Promesa_SLA_Dias]],"A tiempo","Fuera de SLA")</f>
        <v>A tiempo</v>
      </c>
    </row>
    <row r="898" spans="1:18" x14ac:dyDescent="0.25">
      <c r="A898" t="s">
        <v>77</v>
      </c>
      <c r="B898" s="1">
        <v>46243</v>
      </c>
      <c r="C898" t="s">
        <v>26</v>
      </c>
      <c r="D898" t="s">
        <v>27</v>
      </c>
      <c r="E898" t="s">
        <v>16</v>
      </c>
      <c r="F898" t="s">
        <v>28</v>
      </c>
      <c r="G898" t="s">
        <v>78</v>
      </c>
      <c r="H898">
        <v>1</v>
      </c>
      <c r="I898" s="12">
        <v>750</v>
      </c>
      <c r="J898" s="12">
        <v>480</v>
      </c>
      <c r="K898">
        <v>8</v>
      </c>
      <c r="L898">
        <v>4</v>
      </c>
      <c r="M898">
        <v>700</v>
      </c>
      <c r="N898" s="12">
        <f>+gemini_code_1787702791259[[#This Row],[Cantidad]]*gemini_code_1787702791259[[#This Row],[Precio_Unitario_USD]]</f>
        <v>750</v>
      </c>
      <c r="O898" s="12">
        <f>+gemini_code_1787702791259[[#This Row],[Cantidad]]*gemini_code_1787702791259[[#This Row],[Costo_Unitario_USD]]</f>
        <v>480</v>
      </c>
      <c r="P898" s="12">
        <f>+gemini_code_1787702791259[[#This Row],[venta total]]-gemini_code_1787702791259[[#This Row],[Costo total]]</f>
        <v>270</v>
      </c>
      <c r="Q898" s="2">
        <f>gemini_code_1787702791259[[#This Row],[Ganancia bruta]]/gemini_code_1787702791259[[#This Row],[venta total]]</f>
        <v>0.36</v>
      </c>
      <c r="R898" t="str">
        <f>IF(gemini_code_1787702791259[[#This Row],[Dias_Entrega]]&lt;=gemini_code_1787702791259[[#This Row],[Promesa_SLA_Dias]],"A tiempo","Fuera de SLA")</f>
        <v>Fuera de SLA</v>
      </c>
    </row>
    <row r="899" spans="1:18" x14ac:dyDescent="0.25">
      <c r="A899" t="s">
        <v>79</v>
      </c>
      <c r="B899" s="1">
        <v>46244</v>
      </c>
      <c r="C899" t="s">
        <v>14</v>
      </c>
      <c r="D899" t="s">
        <v>15</v>
      </c>
      <c r="E899" t="s">
        <v>16</v>
      </c>
      <c r="F899" t="s">
        <v>31</v>
      </c>
      <c r="G899" t="s">
        <v>80</v>
      </c>
      <c r="H899">
        <v>4</v>
      </c>
      <c r="I899" s="12">
        <v>140</v>
      </c>
      <c r="J899" s="12">
        <v>75</v>
      </c>
      <c r="K899">
        <v>3</v>
      </c>
      <c r="L899">
        <v>3</v>
      </c>
      <c r="M899">
        <v>500</v>
      </c>
      <c r="N899" s="12">
        <f>+gemini_code_1787702791259[[#This Row],[Cantidad]]*gemini_code_1787702791259[[#This Row],[Precio_Unitario_USD]]</f>
        <v>560</v>
      </c>
      <c r="O899" s="12">
        <f>+gemini_code_1787702791259[[#This Row],[Cantidad]]*gemini_code_1787702791259[[#This Row],[Costo_Unitario_USD]]</f>
        <v>300</v>
      </c>
      <c r="P899" s="12">
        <f>+gemini_code_1787702791259[[#This Row],[venta total]]-gemini_code_1787702791259[[#This Row],[Costo total]]</f>
        <v>260</v>
      </c>
      <c r="Q899" s="2">
        <f>gemini_code_1787702791259[[#This Row],[Ganancia bruta]]/gemini_code_1787702791259[[#This Row],[venta total]]</f>
        <v>0.4642857142857143</v>
      </c>
      <c r="R899" t="str">
        <f>IF(gemini_code_1787702791259[[#This Row],[Dias_Entrega]]&lt;=gemini_code_1787702791259[[#This Row],[Promesa_SLA_Dias]],"A tiempo","Fuera de SLA")</f>
        <v>A tiempo</v>
      </c>
    </row>
    <row r="900" spans="1:18" x14ac:dyDescent="0.25">
      <c r="A900" t="s">
        <v>81</v>
      </c>
      <c r="B900" s="1">
        <v>46244</v>
      </c>
      <c r="C900" t="s">
        <v>20</v>
      </c>
      <c r="D900" t="s">
        <v>21</v>
      </c>
      <c r="E900" t="s">
        <v>22</v>
      </c>
      <c r="F900" t="s">
        <v>17</v>
      </c>
      <c r="G900" t="s">
        <v>82</v>
      </c>
      <c r="H900">
        <v>6</v>
      </c>
      <c r="I900" s="12">
        <v>90</v>
      </c>
      <c r="J900" s="12">
        <v>50</v>
      </c>
      <c r="K900">
        <v>1</v>
      </c>
      <c r="L900">
        <v>2</v>
      </c>
      <c r="M900">
        <v>500</v>
      </c>
      <c r="N900" s="12">
        <f>+gemini_code_1787702791259[[#This Row],[Cantidad]]*gemini_code_1787702791259[[#This Row],[Precio_Unitario_USD]]</f>
        <v>540</v>
      </c>
      <c r="O900" s="12">
        <f>+gemini_code_1787702791259[[#This Row],[Cantidad]]*gemini_code_1787702791259[[#This Row],[Costo_Unitario_USD]]</f>
        <v>300</v>
      </c>
      <c r="P900" s="12">
        <f>+gemini_code_1787702791259[[#This Row],[venta total]]-gemini_code_1787702791259[[#This Row],[Costo total]]</f>
        <v>240</v>
      </c>
      <c r="Q900" s="2">
        <f>gemini_code_1787702791259[[#This Row],[Ganancia bruta]]/gemini_code_1787702791259[[#This Row],[venta total]]</f>
        <v>0.44444444444444442</v>
      </c>
      <c r="R900" t="str">
        <f>IF(gemini_code_1787702791259[[#This Row],[Dias_Entrega]]&lt;=gemini_code_1787702791259[[#This Row],[Promesa_SLA_Dias]],"A tiempo","Fuera de SLA")</f>
        <v>A tiempo</v>
      </c>
    </row>
    <row r="901" spans="1:18" x14ac:dyDescent="0.25">
      <c r="A901" t="s">
        <v>83</v>
      </c>
      <c r="B901" s="1">
        <v>46244</v>
      </c>
      <c r="C901" t="s">
        <v>26</v>
      </c>
      <c r="D901" t="s">
        <v>27</v>
      </c>
      <c r="E901" t="s">
        <v>16</v>
      </c>
      <c r="F901" t="s">
        <v>23</v>
      </c>
      <c r="G901" t="s">
        <v>84</v>
      </c>
      <c r="H901">
        <v>6</v>
      </c>
      <c r="I901" s="12">
        <v>60</v>
      </c>
      <c r="J901" s="12">
        <v>28</v>
      </c>
      <c r="K901">
        <v>5</v>
      </c>
      <c r="L901">
        <v>3</v>
      </c>
      <c r="M901">
        <v>350</v>
      </c>
      <c r="N901" s="12">
        <f>+gemini_code_1787702791259[[#This Row],[Cantidad]]*gemini_code_1787702791259[[#This Row],[Precio_Unitario_USD]]</f>
        <v>360</v>
      </c>
      <c r="O901" s="12">
        <f>+gemini_code_1787702791259[[#This Row],[Cantidad]]*gemini_code_1787702791259[[#This Row],[Costo_Unitario_USD]]</f>
        <v>168</v>
      </c>
      <c r="P901" s="12">
        <f>+gemini_code_1787702791259[[#This Row],[venta total]]-gemini_code_1787702791259[[#This Row],[Costo total]]</f>
        <v>192</v>
      </c>
      <c r="Q901" s="2">
        <f>gemini_code_1787702791259[[#This Row],[Ganancia bruta]]/gemini_code_1787702791259[[#This Row],[venta total]]</f>
        <v>0.53333333333333333</v>
      </c>
      <c r="R901" t="str">
        <f>IF(gemini_code_1787702791259[[#This Row],[Dias_Entrega]]&lt;=gemini_code_1787702791259[[#This Row],[Promesa_SLA_Dias]],"A tiempo","Fuera de SLA")</f>
        <v>Fuera de SLA</v>
      </c>
    </row>
    <row r="902" spans="1:18" x14ac:dyDescent="0.25">
      <c r="A902" t="s">
        <v>13</v>
      </c>
      <c r="B902" s="1">
        <v>46235</v>
      </c>
      <c r="C902" t="s">
        <v>14</v>
      </c>
      <c r="D902" t="s">
        <v>15</v>
      </c>
      <c r="E902" t="s">
        <v>16</v>
      </c>
      <c r="F902" t="s">
        <v>17</v>
      </c>
      <c r="G902" t="s">
        <v>18</v>
      </c>
      <c r="H902">
        <v>2</v>
      </c>
      <c r="I902" s="12">
        <v>850</v>
      </c>
      <c r="J902" s="12">
        <v>600</v>
      </c>
      <c r="K902">
        <v>2</v>
      </c>
      <c r="L902">
        <v>3</v>
      </c>
      <c r="M902">
        <v>1500</v>
      </c>
      <c r="N902" s="12">
        <f>+gemini_code_1787702791259[[#This Row],[Cantidad]]*gemini_code_1787702791259[[#This Row],[Precio_Unitario_USD]]</f>
        <v>1700</v>
      </c>
      <c r="O902" s="12">
        <f>+gemini_code_1787702791259[[#This Row],[Cantidad]]*gemini_code_1787702791259[[#This Row],[Costo_Unitario_USD]]</f>
        <v>1200</v>
      </c>
      <c r="P902" s="12">
        <f>+gemini_code_1787702791259[[#This Row],[venta total]]-gemini_code_1787702791259[[#This Row],[Costo total]]</f>
        <v>500</v>
      </c>
      <c r="Q902" s="2">
        <f>gemini_code_1787702791259[[#This Row],[Ganancia bruta]]/gemini_code_1787702791259[[#This Row],[venta total]]</f>
        <v>0.29411764705882354</v>
      </c>
      <c r="R902" t="str">
        <f>IF(gemini_code_1787702791259[[#This Row],[Dias_Entrega]]&lt;=gemini_code_1787702791259[[#This Row],[Promesa_SLA_Dias]],"A tiempo","Fuera de SLA")</f>
        <v>A tiempo</v>
      </c>
    </row>
    <row r="903" spans="1:18" x14ac:dyDescent="0.25">
      <c r="A903" t="s">
        <v>19</v>
      </c>
      <c r="B903" s="1">
        <v>46235</v>
      </c>
      <c r="C903" t="s">
        <v>20</v>
      </c>
      <c r="D903" t="s">
        <v>21</v>
      </c>
      <c r="E903" t="s">
        <v>22</v>
      </c>
      <c r="F903" t="s">
        <v>23</v>
      </c>
      <c r="G903" t="s">
        <v>24</v>
      </c>
      <c r="H903">
        <v>5</v>
      </c>
      <c r="I903" s="12">
        <v>120</v>
      </c>
      <c r="J903" s="12">
        <v>70</v>
      </c>
      <c r="K903">
        <v>3</v>
      </c>
      <c r="L903">
        <v>3</v>
      </c>
      <c r="M903">
        <v>500</v>
      </c>
      <c r="N903" s="12">
        <f>+gemini_code_1787702791259[[#This Row],[Cantidad]]*gemini_code_1787702791259[[#This Row],[Precio_Unitario_USD]]</f>
        <v>600</v>
      </c>
      <c r="O903" s="12">
        <f>+gemini_code_1787702791259[[#This Row],[Cantidad]]*gemini_code_1787702791259[[#This Row],[Costo_Unitario_USD]]</f>
        <v>350</v>
      </c>
      <c r="P903" s="12">
        <f>+gemini_code_1787702791259[[#This Row],[venta total]]-gemini_code_1787702791259[[#This Row],[Costo total]]</f>
        <v>250</v>
      </c>
      <c r="Q903" s="2">
        <f>gemini_code_1787702791259[[#This Row],[Ganancia bruta]]/gemini_code_1787702791259[[#This Row],[venta total]]</f>
        <v>0.41666666666666669</v>
      </c>
      <c r="R903" t="str">
        <f>IF(gemini_code_1787702791259[[#This Row],[Dias_Entrega]]&lt;=gemini_code_1787702791259[[#This Row],[Promesa_SLA_Dias]],"A tiempo","Fuera de SLA")</f>
        <v>A tiempo</v>
      </c>
    </row>
    <row r="904" spans="1:18" x14ac:dyDescent="0.25">
      <c r="A904" t="s">
        <v>25</v>
      </c>
      <c r="B904" s="1">
        <v>46235</v>
      </c>
      <c r="C904" t="s">
        <v>26</v>
      </c>
      <c r="D904" t="s">
        <v>27</v>
      </c>
      <c r="E904" t="s">
        <v>16</v>
      </c>
      <c r="F904" t="s">
        <v>28</v>
      </c>
      <c r="G904" t="s">
        <v>29</v>
      </c>
      <c r="H904">
        <v>3</v>
      </c>
      <c r="I904" s="12">
        <v>90</v>
      </c>
      <c r="J904" s="12">
        <v>50</v>
      </c>
      <c r="K904">
        <v>6</v>
      </c>
      <c r="L904">
        <v>4</v>
      </c>
      <c r="M904">
        <v>300</v>
      </c>
      <c r="N904" s="12">
        <f>+gemini_code_1787702791259[[#This Row],[Cantidad]]*gemini_code_1787702791259[[#This Row],[Precio_Unitario_USD]]</f>
        <v>270</v>
      </c>
      <c r="O904" s="12">
        <f>+gemini_code_1787702791259[[#This Row],[Cantidad]]*gemini_code_1787702791259[[#This Row],[Costo_Unitario_USD]]</f>
        <v>150</v>
      </c>
      <c r="P904" s="12">
        <f>+gemini_code_1787702791259[[#This Row],[venta total]]-gemini_code_1787702791259[[#This Row],[Costo total]]</f>
        <v>120</v>
      </c>
      <c r="Q904" s="2">
        <f>gemini_code_1787702791259[[#This Row],[Ganancia bruta]]/gemini_code_1787702791259[[#This Row],[venta total]]</f>
        <v>0.44444444444444442</v>
      </c>
      <c r="R904" t="str">
        <f>IF(gemini_code_1787702791259[[#This Row],[Dias_Entrega]]&lt;=gemini_code_1787702791259[[#This Row],[Promesa_SLA_Dias]],"A tiempo","Fuera de SLA")</f>
        <v>Fuera de SLA</v>
      </c>
    </row>
    <row r="905" spans="1:18" x14ac:dyDescent="0.25">
      <c r="A905" t="s">
        <v>30</v>
      </c>
      <c r="B905" s="1">
        <v>46236</v>
      </c>
      <c r="C905" t="s">
        <v>14</v>
      </c>
      <c r="D905" t="s">
        <v>15</v>
      </c>
      <c r="E905" t="s">
        <v>22</v>
      </c>
      <c r="F905" t="s">
        <v>31</v>
      </c>
      <c r="G905" t="s">
        <v>32</v>
      </c>
      <c r="H905">
        <v>4</v>
      </c>
      <c r="I905" s="12">
        <v>110</v>
      </c>
      <c r="J905" s="12">
        <v>60</v>
      </c>
      <c r="K905">
        <v>1</v>
      </c>
      <c r="L905">
        <v>2</v>
      </c>
      <c r="M905">
        <v>400</v>
      </c>
      <c r="N905" s="12">
        <f>+gemini_code_1787702791259[[#This Row],[Cantidad]]*gemini_code_1787702791259[[#This Row],[Precio_Unitario_USD]]</f>
        <v>440</v>
      </c>
      <c r="O905" s="12">
        <f>+gemini_code_1787702791259[[#This Row],[Cantidad]]*gemini_code_1787702791259[[#This Row],[Costo_Unitario_USD]]</f>
        <v>240</v>
      </c>
      <c r="P905" s="12">
        <f>+gemini_code_1787702791259[[#This Row],[venta total]]-gemini_code_1787702791259[[#This Row],[Costo total]]</f>
        <v>200</v>
      </c>
      <c r="Q905" s="2">
        <f>gemini_code_1787702791259[[#This Row],[Ganancia bruta]]/gemini_code_1787702791259[[#This Row],[venta total]]</f>
        <v>0.45454545454545453</v>
      </c>
      <c r="R905" t="str">
        <f>IF(gemini_code_1787702791259[[#This Row],[Dias_Entrega]]&lt;=gemini_code_1787702791259[[#This Row],[Promesa_SLA_Dias]],"A tiempo","Fuera de SLA")</f>
        <v>A tiempo</v>
      </c>
    </row>
    <row r="906" spans="1:18" x14ac:dyDescent="0.25">
      <c r="A906" t="s">
        <v>33</v>
      </c>
      <c r="B906" s="1">
        <v>46236</v>
      </c>
      <c r="C906" t="s">
        <v>20</v>
      </c>
      <c r="D906" t="s">
        <v>21</v>
      </c>
      <c r="E906" t="s">
        <v>16</v>
      </c>
      <c r="F906" t="s">
        <v>17</v>
      </c>
      <c r="G906" t="s">
        <v>34</v>
      </c>
      <c r="H906">
        <v>3</v>
      </c>
      <c r="I906" s="12">
        <v>650</v>
      </c>
      <c r="J906" s="12">
        <v>450</v>
      </c>
      <c r="K906">
        <v>2</v>
      </c>
      <c r="L906">
        <v>3</v>
      </c>
      <c r="M906">
        <v>1800</v>
      </c>
      <c r="N906" s="12">
        <f>+gemini_code_1787702791259[[#This Row],[Cantidad]]*gemini_code_1787702791259[[#This Row],[Precio_Unitario_USD]]</f>
        <v>1950</v>
      </c>
      <c r="O906" s="12">
        <f>+gemini_code_1787702791259[[#This Row],[Cantidad]]*gemini_code_1787702791259[[#This Row],[Costo_Unitario_USD]]</f>
        <v>1350</v>
      </c>
      <c r="P906" s="12">
        <f>+gemini_code_1787702791259[[#This Row],[venta total]]-gemini_code_1787702791259[[#This Row],[Costo total]]</f>
        <v>600</v>
      </c>
      <c r="Q906" s="2">
        <f>gemini_code_1787702791259[[#This Row],[Ganancia bruta]]/gemini_code_1787702791259[[#This Row],[venta total]]</f>
        <v>0.30769230769230771</v>
      </c>
      <c r="R906" t="str">
        <f>IF(gemini_code_1787702791259[[#This Row],[Dias_Entrega]]&lt;=gemini_code_1787702791259[[#This Row],[Promesa_SLA_Dias]],"A tiempo","Fuera de SLA")</f>
        <v>A tiempo</v>
      </c>
    </row>
    <row r="907" spans="1:18" x14ac:dyDescent="0.25">
      <c r="A907" t="s">
        <v>35</v>
      </c>
      <c r="B907" s="1">
        <v>46236</v>
      </c>
      <c r="C907" t="s">
        <v>26</v>
      </c>
      <c r="D907" t="s">
        <v>27</v>
      </c>
      <c r="E907" t="s">
        <v>16</v>
      </c>
      <c r="F907" t="s">
        <v>23</v>
      </c>
      <c r="G907" t="s">
        <v>36</v>
      </c>
      <c r="H907">
        <v>8</v>
      </c>
      <c r="I907" s="12">
        <v>45</v>
      </c>
      <c r="J907" s="12">
        <v>20</v>
      </c>
      <c r="K907">
        <v>5</v>
      </c>
      <c r="L907">
        <v>3</v>
      </c>
      <c r="M907">
        <v>400</v>
      </c>
      <c r="N907" s="12">
        <f>+gemini_code_1787702791259[[#This Row],[Cantidad]]*gemini_code_1787702791259[[#This Row],[Precio_Unitario_USD]]</f>
        <v>360</v>
      </c>
      <c r="O907" s="12">
        <f>+gemini_code_1787702791259[[#This Row],[Cantidad]]*gemini_code_1787702791259[[#This Row],[Costo_Unitario_USD]]</f>
        <v>160</v>
      </c>
      <c r="P907" s="12">
        <f>+gemini_code_1787702791259[[#This Row],[venta total]]-gemini_code_1787702791259[[#This Row],[Costo total]]</f>
        <v>200</v>
      </c>
      <c r="Q907" s="2">
        <f>gemini_code_1787702791259[[#This Row],[Ganancia bruta]]/gemini_code_1787702791259[[#This Row],[venta total]]</f>
        <v>0.55555555555555558</v>
      </c>
      <c r="R907" t="str">
        <f>IF(gemini_code_1787702791259[[#This Row],[Dias_Entrega]]&lt;=gemini_code_1787702791259[[#This Row],[Promesa_SLA_Dias]],"A tiempo","Fuera de SLA")</f>
        <v>Fuera de SLA</v>
      </c>
    </row>
    <row r="908" spans="1:18" x14ac:dyDescent="0.25">
      <c r="A908" t="s">
        <v>37</v>
      </c>
      <c r="B908" s="1">
        <v>46237</v>
      </c>
      <c r="C908" t="s">
        <v>14</v>
      </c>
      <c r="D908" t="s">
        <v>15</v>
      </c>
      <c r="E908" t="s">
        <v>16</v>
      </c>
      <c r="F908" t="s">
        <v>28</v>
      </c>
      <c r="G908" t="s">
        <v>38</v>
      </c>
      <c r="H908">
        <v>2</v>
      </c>
      <c r="I908" s="12">
        <v>280</v>
      </c>
      <c r="J908" s="12">
        <v>180</v>
      </c>
      <c r="K908">
        <v>3</v>
      </c>
      <c r="L908">
        <v>3</v>
      </c>
      <c r="M908">
        <v>500</v>
      </c>
      <c r="N908" s="12">
        <f>+gemini_code_1787702791259[[#This Row],[Cantidad]]*gemini_code_1787702791259[[#This Row],[Precio_Unitario_USD]]</f>
        <v>560</v>
      </c>
      <c r="O908" s="12">
        <f>+gemini_code_1787702791259[[#This Row],[Cantidad]]*gemini_code_1787702791259[[#This Row],[Costo_Unitario_USD]]</f>
        <v>360</v>
      </c>
      <c r="P908" s="12">
        <f>+gemini_code_1787702791259[[#This Row],[venta total]]-gemini_code_1787702791259[[#This Row],[Costo total]]</f>
        <v>200</v>
      </c>
      <c r="Q908" s="2">
        <f>gemini_code_1787702791259[[#This Row],[Ganancia bruta]]/gemini_code_1787702791259[[#This Row],[venta total]]</f>
        <v>0.35714285714285715</v>
      </c>
      <c r="R908" t="str">
        <f>IF(gemini_code_1787702791259[[#This Row],[Dias_Entrega]]&lt;=gemini_code_1787702791259[[#This Row],[Promesa_SLA_Dias]],"A tiempo","Fuera de SLA")</f>
        <v>A tiempo</v>
      </c>
    </row>
    <row r="909" spans="1:18" x14ac:dyDescent="0.25">
      <c r="A909" t="s">
        <v>39</v>
      </c>
      <c r="B909" s="1">
        <v>46237</v>
      </c>
      <c r="C909" t="s">
        <v>20</v>
      </c>
      <c r="D909" t="s">
        <v>21</v>
      </c>
      <c r="E909" t="s">
        <v>22</v>
      </c>
      <c r="F909" t="s">
        <v>31</v>
      </c>
      <c r="G909" t="s">
        <v>40</v>
      </c>
      <c r="H909">
        <v>3</v>
      </c>
      <c r="I909" s="12">
        <v>150</v>
      </c>
      <c r="J909" s="12">
        <v>85</v>
      </c>
      <c r="K909">
        <v>2</v>
      </c>
      <c r="L909">
        <v>2</v>
      </c>
      <c r="M909">
        <v>400</v>
      </c>
      <c r="N909" s="12">
        <f>+gemini_code_1787702791259[[#This Row],[Cantidad]]*gemini_code_1787702791259[[#This Row],[Precio_Unitario_USD]]</f>
        <v>450</v>
      </c>
      <c r="O909" s="12">
        <f>+gemini_code_1787702791259[[#This Row],[Cantidad]]*gemini_code_1787702791259[[#This Row],[Costo_Unitario_USD]]</f>
        <v>255</v>
      </c>
      <c r="P909" s="12">
        <f>+gemini_code_1787702791259[[#This Row],[venta total]]-gemini_code_1787702791259[[#This Row],[Costo total]]</f>
        <v>195</v>
      </c>
      <c r="Q909" s="2">
        <f>gemini_code_1787702791259[[#This Row],[Ganancia bruta]]/gemini_code_1787702791259[[#This Row],[venta total]]</f>
        <v>0.43333333333333335</v>
      </c>
      <c r="R909" t="str">
        <f>IF(gemini_code_1787702791259[[#This Row],[Dias_Entrega]]&lt;=gemini_code_1787702791259[[#This Row],[Promesa_SLA_Dias]],"A tiempo","Fuera de SLA")</f>
        <v>A tiempo</v>
      </c>
    </row>
    <row r="910" spans="1:18" x14ac:dyDescent="0.25">
      <c r="A910" t="s">
        <v>41</v>
      </c>
      <c r="B910" s="1">
        <v>46237</v>
      </c>
      <c r="C910" t="s">
        <v>26</v>
      </c>
      <c r="D910" t="s">
        <v>27</v>
      </c>
      <c r="E910" t="s">
        <v>16</v>
      </c>
      <c r="F910" t="s">
        <v>17</v>
      </c>
      <c r="G910" t="s">
        <v>42</v>
      </c>
      <c r="H910">
        <v>2</v>
      </c>
      <c r="I910" s="12">
        <v>520</v>
      </c>
      <c r="J910" s="12">
        <v>380</v>
      </c>
      <c r="K910">
        <v>7</v>
      </c>
      <c r="L910">
        <v>4</v>
      </c>
      <c r="M910">
        <v>1000</v>
      </c>
      <c r="N910" s="12">
        <f>+gemini_code_1787702791259[[#This Row],[Cantidad]]*gemini_code_1787702791259[[#This Row],[Precio_Unitario_USD]]</f>
        <v>1040</v>
      </c>
      <c r="O910" s="12">
        <f>+gemini_code_1787702791259[[#This Row],[Cantidad]]*gemini_code_1787702791259[[#This Row],[Costo_Unitario_USD]]</f>
        <v>760</v>
      </c>
      <c r="P910" s="12">
        <f>+gemini_code_1787702791259[[#This Row],[venta total]]-gemini_code_1787702791259[[#This Row],[Costo total]]</f>
        <v>280</v>
      </c>
      <c r="Q910" s="2">
        <f>gemini_code_1787702791259[[#This Row],[Ganancia bruta]]/gemini_code_1787702791259[[#This Row],[venta total]]</f>
        <v>0.26923076923076922</v>
      </c>
      <c r="R910" t="str">
        <f>IF(gemini_code_1787702791259[[#This Row],[Dias_Entrega]]&lt;=gemini_code_1787702791259[[#This Row],[Promesa_SLA_Dias]],"A tiempo","Fuera de SLA")</f>
        <v>Fuera de SLA</v>
      </c>
    </row>
    <row r="911" spans="1:18" x14ac:dyDescent="0.25">
      <c r="A911" t="s">
        <v>43</v>
      </c>
      <c r="B911" s="1">
        <v>46238</v>
      </c>
      <c r="C911" t="s">
        <v>14</v>
      </c>
      <c r="D911" t="s">
        <v>15</v>
      </c>
      <c r="E911" t="s">
        <v>22</v>
      </c>
      <c r="F911" t="s">
        <v>23</v>
      </c>
      <c r="G911" t="s">
        <v>44</v>
      </c>
      <c r="H911">
        <v>6</v>
      </c>
      <c r="I911" s="12">
        <v>55</v>
      </c>
      <c r="J911" s="12">
        <v>25</v>
      </c>
      <c r="K911">
        <v>2</v>
      </c>
      <c r="L911">
        <v>3</v>
      </c>
      <c r="M911">
        <v>300</v>
      </c>
      <c r="N911" s="12">
        <f>+gemini_code_1787702791259[[#This Row],[Cantidad]]*gemini_code_1787702791259[[#This Row],[Precio_Unitario_USD]]</f>
        <v>330</v>
      </c>
      <c r="O911" s="12">
        <f>+gemini_code_1787702791259[[#This Row],[Cantidad]]*gemini_code_1787702791259[[#This Row],[Costo_Unitario_USD]]</f>
        <v>150</v>
      </c>
      <c r="P911" s="12">
        <f>+gemini_code_1787702791259[[#This Row],[venta total]]-gemini_code_1787702791259[[#This Row],[Costo total]]</f>
        <v>180</v>
      </c>
      <c r="Q911" s="2">
        <f>gemini_code_1787702791259[[#This Row],[Ganancia bruta]]/gemini_code_1787702791259[[#This Row],[venta total]]</f>
        <v>0.54545454545454541</v>
      </c>
      <c r="R911" t="str">
        <f>IF(gemini_code_1787702791259[[#This Row],[Dias_Entrega]]&lt;=gemini_code_1787702791259[[#This Row],[Promesa_SLA_Dias]],"A tiempo","Fuera de SLA")</f>
        <v>A tiempo</v>
      </c>
    </row>
    <row r="912" spans="1:18" x14ac:dyDescent="0.25">
      <c r="A912" t="s">
        <v>45</v>
      </c>
      <c r="B912" s="1">
        <v>46238</v>
      </c>
      <c r="C912" t="s">
        <v>20</v>
      </c>
      <c r="D912" t="s">
        <v>21</v>
      </c>
      <c r="E912" t="s">
        <v>16</v>
      </c>
      <c r="F912" t="s">
        <v>28</v>
      </c>
      <c r="G912" t="s">
        <v>46</v>
      </c>
      <c r="H912">
        <v>1</v>
      </c>
      <c r="I912" s="12">
        <v>450</v>
      </c>
      <c r="J912" s="12">
        <v>290</v>
      </c>
      <c r="K912">
        <v>4</v>
      </c>
      <c r="L912">
        <v>3</v>
      </c>
      <c r="M912">
        <v>400</v>
      </c>
      <c r="N912" s="12">
        <f>+gemini_code_1787702791259[[#This Row],[Cantidad]]*gemini_code_1787702791259[[#This Row],[Precio_Unitario_USD]]</f>
        <v>450</v>
      </c>
      <c r="O912" s="12">
        <f>+gemini_code_1787702791259[[#This Row],[Cantidad]]*gemini_code_1787702791259[[#This Row],[Costo_Unitario_USD]]</f>
        <v>290</v>
      </c>
      <c r="P912" s="12">
        <f>+gemini_code_1787702791259[[#This Row],[venta total]]-gemini_code_1787702791259[[#This Row],[Costo total]]</f>
        <v>160</v>
      </c>
      <c r="Q912" s="2">
        <f>gemini_code_1787702791259[[#This Row],[Ganancia bruta]]/gemini_code_1787702791259[[#This Row],[venta total]]</f>
        <v>0.35555555555555557</v>
      </c>
      <c r="R912" t="str">
        <f>IF(gemini_code_1787702791259[[#This Row],[Dias_Entrega]]&lt;=gemini_code_1787702791259[[#This Row],[Promesa_SLA_Dias]],"A tiempo","Fuera de SLA")</f>
        <v>Fuera de SLA</v>
      </c>
    </row>
    <row r="913" spans="1:18" x14ac:dyDescent="0.25">
      <c r="A913" t="s">
        <v>47</v>
      </c>
      <c r="B913" s="1">
        <v>46238</v>
      </c>
      <c r="C913" t="s">
        <v>26</v>
      </c>
      <c r="D913" t="s">
        <v>27</v>
      </c>
      <c r="E913" t="s">
        <v>22</v>
      </c>
      <c r="F913" t="s">
        <v>31</v>
      </c>
      <c r="G913" t="s">
        <v>48</v>
      </c>
      <c r="H913">
        <v>10</v>
      </c>
      <c r="I913" s="12">
        <v>35</v>
      </c>
      <c r="J913" s="12">
        <v>15</v>
      </c>
      <c r="K913">
        <v>4</v>
      </c>
      <c r="L913">
        <v>3</v>
      </c>
      <c r="M913">
        <v>300</v>
      </c>
      <c r="N913" s="12">
        <f>+gemini_code_1787702791259[[#This Row],[Cantidad]]*gemini_code_1787702791259[[#This Row],[Precio_Unitario_USD]]</f>
        <v>350</v>
      </c>
      <c r="O913" s="12">
        <f>+gemini_code_1787702791259[[#This Row],[Cantidad]]*gemini_code_1787702791259[[#This Row],[Costo_Unitario_USD]]</f>
        <v>150</v>
      </c>
      <c r="P913" s="12">
        <f>+gemini_code_1787702791259[[#This Row],[venta total]]-gemini_code_1787702791259[[#This Row],[Costo total]]</f>
        <v>200</v>
      </c>
      <c r="Q913" s="2">
        <f>gemini_code_1787702791259[[#This Row],[Ganancia bruta]]/gemini_code_1787702791259[[#This Row],[venta total]]</f>
        <v>0.5714285714285714</v>
      </c>
      <c r="R913" t="str">
        <f>IF(gemini_code_1787702791259[[#This Row],[Dias_Entrega]]&lt;=gemini_code_1787702791259[[#This Row],[Promesa_SLA_Dias]],"A tiempo","Fuera de SLA")</f>
        <v>Fuera de SLA</v>
      </c>
    </row>
    <row r="914" spans="1:18" x14ac:dyDescent="0.25">
      <c r="A914" t="s">
        <v>49</v>
      </c>
      <c r="B914" s="1">
        <v>46239</v>
      </c>
      <c r="C914" t="s">
        <v>14</v>
      </c>
      <c r="D914" t="s">
        <v>15</v>
      </c>
      <c r="E914" t="s">
        <v>16</v>
      </c>
      <c r="F914" t="s">
        <v>17</v>
      </c>
      <c r="G914" t="s">
        <v>50</v>
      </c>
      <c r="H914">
        <v>4</v>
      </c>
      <c r="I914" s="12">
        <v>220</v>
      </c>
      <c r="J914" s="12">
        <v>140</v>
      </c>
      <c r="K914">
        <v>2</v>
      </c>
      <c r="L914">
        <v>3</v>
      </c>
      <c r="M914">
        <v>800</v>
      </c>
      <c r="N914" s="12">
        <f>+gemini_code_1787702791259[[#This Row],[Cantidad]]*gemini_code_1787702791259[[#This Row],[Precio_Unitario_USD]]</f>
        <v>880</v>
      </c>
      <c r="O914" s="12">
        <f>+gemini_code_1787702791259[[#This Row],[Cantidad]]*gemini_code_1787702791259[[#This Row],[Costo_Unitario_USD]]</f>
        <v>560</v>
      </c>
      <c r="P914" s="12">
        <f>+gemini_code_1787702791259[[#This Row],[venta total]]-gemini_code_1787702791259[[#This Row],[Costo total]]</f>
        <v>320</v>
      </c>
      <c r="Q914" s="2">
        <f>gemini_code_1787702791259[[#This Row],[Ganancia bruta]]/gemini_code_1787702791259[[#This Row],[venta total]]</f>
        <v>0.36363636363636365</v>
      </c>
      <c r="R914" t="str">
        <f>IF(gemini_code_1787702791259[[#This Row],[Dias_Entrega]]&lt;=gemini_code_1787702791259[[#This Row],[Promesa_SLA_Dias]],"A tiempo","Fuera de SLA")</f>
        <v>A tiempo</v>
      </c>
    </row>
    <row r="915" spans="1:18" x14ac:dyDescent="0.25">
      <c r="A915" t="s">
        <v>51</v>
      </c>
      <c r="B915" s="1">
        <v>46239</v>
      </c>
      <c r="C915" t="s">
        <v>20</v>
      </c>
      <c r="D915" t="s">
        <v>21</v>
      </c>
      <c r="E915" t="s">
        <v>16</v>
      </c>
      <c r="F915" t="s">
        <v>23</v>
      </c>
      <c r="G915" t="s">
        <v>52</v>
      </c>
      <c r="H915">
        <v>5</v>
      </c>
      <c r="I915" s="12">
        <v>65</v>
      </c>
      <c r="J915" s="12">
        <v>30</v>
      </c>
      <c r="K915">
        <v>2</v>
      </c>
      <c r="L915">
        <v>3</v>
      </c>
      <c r="M915">
        <v>300</v>
      </c>
      <c r="N915" s="12">
        <f>+gemini_code_1787702791259[[#This Row],[Cantidad]]*gemini_code_1787702791259[[#This Row],[Precio_Unitario_USD]]</f>
        <v>325</v>
      </c>
      <c r="O915" s="12">
        <f>+gemini_code_1787702791259[[#This Row],[Cantidad]]*gemini_code_1787702791259[[#This Row],[Costo_Unitario_USD]]</f>
        <v>150</v>
      </c>
      <c r="P915" s="12">
        <f>+gemini_code_1787702791259[[#This Row],[venta total]]-gemini_code_1787702791259[[#This Row],[Costo total]]</f>
        <v>175</v>
      </c>
      <c r="Q915" s="2">
        <f>gemini_code_1787702791259[[#This Row],[Ganancia bruta]]/gemini_code_1787702791259[[#This Row],[venta total]]</f>
        <v>0.53846153846153844</v>
      </c>
      <c r="R915" t="str">
        <f>IF(gemini_code_1787702791259[[#This Row],[Dias_Entrega]]&lt;=gemini_code_1787702791259[[#This Row],[Promesa_SLA_Dias]],"A tiempo","Fuera de SLA")</f>
        <v>A tiempo</v>
      </c>
    </row>
    <row r="916" spans="1:18" x14ac:dyDescent="0.25">
      <c r="A916" t="s">
        <v>53</v>
      </c>
      <c r="B916" s="1">
        <v>46239</v>
      </c>
      <c r="C916" t="s">
        <v>26</v>
      </c>
      <c r="D916" t="s">
        <v>27</v>
      </c>
      <c r="E916" t="s">
        <v>16</v>
      </c>
      <c r="F916" t="s">
        <v>28</v>
      </c>
      <c r="G916" t="s">
        <v>54</v>
      </c>
      <c r="H916">
        <v>2</v>
      </c>
      <c r="I916" s="12">
        <v>180</v>
      </c>
      <c r="J916" s="12">
        <v>110</v>
      </c>
      <c r="K916">
        <v>6</v>
      </c>
      <c r="L916">
        <v>3</v>
      </c>
      <c r="M916">
        <v>350</v>
      </c>
      <c r="N916" s="12">
        <f>+gemini_code_1787702791259[[#This Row],[Cantidad]]*gemini_code_1787702791259[[#This Row],[Precio_Unitario_USD]]</f>
        <v>360</v>
      </c>
      <c r="O916" s="12">
        <f>+gemini_code_1787702791259[[#This Row],[Cantidad]]*gemini_code_1787702791259[[#This Row],[Costo_Unitario_USD]]</f>
        <v>220</v>
      </c>
      <c r="P916" s="12">
        <f>+gemini_code_1787702791259[[#This Row],[venta total]]-gemini_code_1787702791259[[#This Row],[Costo total]]</f>
        <v>140</v>
      </c>
      <c r="Q916" s="2">
        <f>gemini_code_1787702791259[[#This Row],[Ganancia bruta]]/gemini_code_1787702791259[[#This Row],[venta total]]</f>
        <v>0.3888888888888889</v>
      </c>
      <c r="R916" t="str">
        <f>IF(gemini_code_1787702791259[[#This Row],[Dias_Entrega]]&lt;=gemini_code_1787702791259[[#This Row],[Promesa_SLA_Dias]],"A tiempo","Fuera de SLA")</f>
        <v>Fuera de SLA</v>
      </c>
    </row>
    <row r="917" spans="1:18" x14ac:dyDescent="0.25">
      <c r="A917" t="s">
        <v>55</v>
      </c>
      <c r="B917" s="1">
        <v>46240</v>
      </c>
      <c r="C917" t="s">
        <v>14</v>
      </c>
      <c r="D917" t="s">
        <v>15</v>
      </c>
      <c r="E917" t="s">
        <v>22</v>
      </c>
      <c r="F917" t="s">
        <v>31</v>
      </c>
      <c r="G917" t="s">
        <v>56</v>
      </c>
      <c r="H917">
        <v>6</v>
      </c>
      <c r="I917" s="12">
        <v>85</v>
      </c>
      <c r="J917" s="12">
        <v>45</v>
      </c>
      <c r="K917">
        <v>1</v>
      </c>
      <c r="L917">
        <v>2</v>
      </c>
      <c r="M917">
        <v>500</v>
      </c>
      <c r="N917" s="12">
        <f>+gemini_code_1787702791259[[#This Row],[Cantidad]]*gemini_code_1787702791259[[#This Row],[Precio_Unitario_USD]]</f>
        <v>510</v>
      </c>
      <c r="O917" s="12">
        <f>+gemini_code_1787702791259[[#This Row],[Cantidad]]*gemini_code_1787702791259[[#This Row],[Costo_Unitario_USD]]</f>
        <v>270</v>
      </c>
      <c r="P917" s="12">
        <f>+gemini_code_1787702791259[[#This Row],[venta total]]-gemini_code_1787702791259[[#This Row],[Costo total]]</f>
        <v>240</v>
      </c>
      <c r="Q917" s="2">
        <f>gemini_code_1787702791259[[#This Row],[Ganancia bruta]]/gemini_code_1787702791259[[#This Row],[venta total]]</f>
        <v>0.47058823529411764</v>
      </c>
      <c r="R917" t="str">
        <f>IF(gemini_code_1787702791259[[#This Row],[Dias_Entrega]]&lt;=gemini_code_1787702791259[[#This Row],[Promesa_SLA_Dias]],"A tiempo","Fuera de SLA")</f>
        <v>A tiempo</v>
      </c>
    </row>
    <row r="918" spans="1:18" x14ac:dyDescent="0.25">
      <c r="A918" t="s">
        <v>57</v>
      </c>
      <c r="B918" s="1">
        <v>46240</v>
      </c>
      <c r="C918" t="s">
        <v>20</v>
      </c>
      <c r="D918" t="s">
        <v>21</v>
      </c>
      <c r="E918" t="s">
        <v>16</v>
      </c>
      <c r="F918" t="s">
        <v>17</v>
      </c>
      <c r="G918" t="s">
        <v>58</v>
      </c>
      <c r="H918">
        <v>12</v>
      </c>
      <c r="I918" s="12">
        <v>75</v>
      </c>
      <c r="J918" s="12">
        <v>35</v>
      </c>
      <c r="K918">
        <v>1</v>
      </c>
      <c r="L918">
        <v>2</v>
      </c>
      <c r="M918">
        <v>800</v>
      </c>
      <c r="N918" s="12">
        <f>+gemini_code_1787702791259[[#This Row],[Cantidad]]*gemini_code_1787702791259[[#This Row],[Precio_Unitario_USD]]</f>
        <v>900</v>
      </c>
      <c r="O918" s="12">
        <f>+gemini_code_1787702791259[[#This Row],[Cantidad]]*gemini_code_1787702791259[[#This Row],[Costo_Unitario_USD]]</f>
        <v>420</v>
      </c>
      <c r="P918" s="12">
        <f>+gemini_code_1787702791259[[#This Row],[venta total]]-gemini_code_1787702791259[[#This Row],[Costo total]]</f>
        <v>480</v>
      </c>
      <c r="Q918" s="2">
        <f>gemini_code_1787702791259[[#This Row],[Ganancia bruta]]/gemini_code_1787702791259[[#This Row],[venta total]]</f>
        <v>0.53333333333333333</v>
      </c>
      <c r="R918" t="str">
        <f>IF(gemini_code_1787702791259[[#This Row],[Dias_Entrega]]&lt;=gemini_code_1787702791259[[#This Row],[Promesa_SLA_Dias]],"A tiempo","Fuera de SLA")</f>
        <v>A tiempo</v>
      </c>
    </row>
    <row r="919" spans="1:18" x14ac:dyDescent="0.25">
      <c r="A919" t="s">
        <v>59</v>
      </c>
      <c r="B919" s="1">
        <v>46240</v>
      </c>
      <c r="C919" t="s">
        <v>26</v>
      </c>
      <c r="D919" t="s">
        <v>27</v>
      </c>
      <c r="E919" t="s">
        <v>22</v>
      </c>
      <c r="F919" t="s">
        <v>23</v>
      </c>
      <c r="G919" t="s">
        <v>60</v>
      </c>
      <c r="H919">
        <v>4</v>
      </c>
      <c r="I919" s="12">
        <v>110</v>
      </c>
      <c r="J919" s="12">
        <v>55</v>
      </c>
      <c r="K919">
        <v>5</v>
      </c>
      <c r="L919">
        <v>3</v>
      </c>
      <c r="M919">
        <v>400</v>
      </c>
      <c r="N919" s="12">
        <f>+gemini_code_1787702791259[[#This Row],[Cantidad]]*gemini_code_1787702791259[[#This Row],[Precio_Unitario_USD]]</f>
        <v>440</v>
      </c>
      <c r="O919" s="12">
        <f>+gemini_code_1787702791259[[#This Row],[Cantidad]]*gemini_code_1787702791259[[#This Row],[Costo_Unitario_USD]]</f>
        <v>220</v>
      </c>
      <c r="P919" s="12">
        <f>+gemini_code_1787702791259[[#This Row],[venta total]]-gemini_code_1787702791259[[#This Row],[Costo total]]</f>
        <v>220</v>
      </c>
      <c r="Q919" s="2">
        <f>gemini_code_1787702791259[[#This Row],[Ganancia bruta]]/gemini_code_1787702791259[[#This Row],[venta total]]</f>
        <v>0.5</v>
      </c>
      <c r="R919" t="str">
        <f>IF(gemini_code_1787702791259[[#This Row],[Dias_Entrega]]&lt;=gemini_code_1787702791259[[#This Row],[Promesa_SLA_Dias]],"A tiempo","Fuera de SLA")</f>
        <v>Fuera de SLA</v>
      </c>
    </row>
    <row r="920" spans="1:18" x14ac:dyDescent="0.25">
      <c r="A920" t="s">
        <v>61</v>
      </c>
      <c r="B920" s="1">
        <v>46241</v>
      </c>
      <c r="C920" t="s">
        <v>14</v>
      </c>
      <c r="D920" t="s">
        <v>15</v>
      </c>
      <c r="E920" t="s">
        <v>16</v>
      </c>
      <c r="F920" t="s">
        <v>28</v>
      </c>
      <c r="G920" t="s">
        <v>62</v>
      </c>
      <c r="H920">
        <v>15</v>
      </c>
      <c r="I920" s="12">
        <v>25</v>
      </c>
      <c r="J920" s="12">
        <v>10</v>
      </c>
      <c r="K920">
        <v>2</v>
      </c>
      <c r="L920">
        <v>3</v>
      </c>
      <c r="M920">
        <v>300</v>
      </c>
      <c r="N920" s="12">
        <f>+gemini_code_1787702791259[[#This Row],[Cantidad]]*gemini_code_1787702791259[[#This Row],[Precio_Unitario_USD]]</f>
        <v>375</v>
      </c>
      <c r="O920" s="12">
        <f>+gemini_code_1787702791259[[#This Row],[Cantidad]]*gemini_code_1787702791259[[#This Row],[Costo_Unitario_USD]]</f>
        <v>150</v>
      </c>
      <c r="P920" s="12">
        <f>+gemini_code_1787702791259[[#This Row],[venta total]]-gemini_code_1787702791259[[#This Row],[Costo total]]</f>
        <v>225</v>
      </c>
      <c r="Q920" s="2">
        <f>gemini_code_1787702791259[[#This Row],[Ganancia bruta]]/gemini_code_1787702791259[[#This Row],[venta total]]</f>
        <v>0.6</v>
      </c>
      <c r="R920" t="str">
        <f>IF(gemini_code_1787702791259[[#This Row],[Dias_Entrega]]&lt;=gemini_code_1787702791259[[#This Row],[Promesa_SLA_Dias]],"A tiempo","Fuera de SLA")</f>
        <v>A tiempo</v>
      </c>
    </row>
    <row r="921" spans="1:18" x14ac:dyDescent="0.25">
      <c r="A921" t="s">
        <v>63</v>
      </c>
      <c r="B921" s="1">
        <v>46241</v>
      </c>
      <c r="C921" t="s">
        <v>20</v>
      </c>
      <c r="D921" t="s">
        <v>21</v>
      </c>
      <c r="E921" t="s">
        <v>22</v>
      </c>
      <c r="F921" t="s">
        <v>31</v>
      </c>
      <c r="G921" t="s">
        <v>64</v>
      </c>
      <c r="H921">
        <v>5</v>
      </c>
      <c r="I921" s="12">
        <v>130</v>
      </c>
      <c r="J921" s="12">
        <v>70</v>
      </c>
      <c r="K921">
        <v>3</v>
      </c>
      <c r="L921">
        <v>3</v>
      </c>
      <c r="M921">
        <v>600</v>
      </c>
      <c r="N921" s="12">
        <f>+gemini_code_1787702791259[[#This Row],[Cantidad]]*gemini_code_1787702791259[[#This Row],[Precio_Unitario_USD]]</f>
        <v>650</v>
      </c>
      <c r="O921" s="12">
        <f>+gemini_code_1787702791259[[#This Row],[Cantidad]]*gemini_code_1787702791259[[#This Row],[Costo_Unitario_USD]]</f>
        <v>350</v>
      </c>
      <c r="P921" s="12">
        <f>+gemini_code_1787702791259[[#This Row],[venta total]]-gemini_code_1787702791259[[#This Row],[Costo total]]</f>
        <v>300</v>
      </c>
      <c r="Q921" s="2">
        <f>gemini_code_1787702791259[[#This Row],[Ganancia bruta]]/gemini_code_1787702791259[[#This Row],[venta total]]</f>
        <v>0.46153846153846156</v>
      </c>
      <c r="R921" t="str">
        <f>IF(gemini_code_1787702791259[[#This Row],[Dias_Entrega]]&lt;=gemini_code_1787702791259[[#This Row],[Promesa_SLA_Dias]],"A tiempo","Fuera de SLA")</f>
        <v>A tiempo</v>
      </c>
    </row>
    <row r="922" spans="1:18" x14ac:dyDescent="0.25">
      <c r="A922" t="s">
        <v>65</v>
      </c>
      <c r="B922" s="1">
        <v>46241</v>
      </c>
      <c r="C922" t="s">
        <v>26</v>
      </c>
      <c r="D922" t="s">
        <v>27</v>
      </c>
      <c r="E922" t="s">
        <v>16</v>
      </c>
      <c r="F922" t="s">
        <v>17</v>
      </c>
      <c r="G922" t="s">
        <v>66</v>
      </c>
      <c r="H922">
        <v>2</v>
      </c>
      <c r="I922" s="12">
        <v>500</v>
      </c>
      <c r="J922" s="12">
        <v>380</v>
      </c>
      <c r="K922">
        <v>6</v>
      </c>
      <c r="L922">
        <v>4</v>
      </c>
      <c r="M922">
        <v>900</v>
      </c>
      <c r="N922" s="12">
        <f>+gemini_code_1787702791259[[#This Row],[Cantidad]]*gemini_code_1787702791259[[#This Row],[Precio_Unitario_USD]]</f>
        <v>1000</v>
      </c>
      <c r="O922" s="12">
        <f>+gemini_code_1787702791259[[#This Row],[Cantidad]]*gemini_code_1787702791259[[#This Row],[Costo_Unitario_USD]]</f>
        <v>760</v>
      </c>
      <c r="P922" s="12">
        <f>+gemini_code_1787702791259[[#This Row],[venta total]]-gemini_code_1787702791259[[#This Row],[Costo total]]</f>
        <v>240</v>
      </c>
      <c r="Q922" s="2">
        <f>gemini_code_1787702791259[[#This Row],[Ganancia bruta]]/gemini_code_1787702791259[[#This Row],[venta total]]</f>
        <v>0.24</v>
      </c>
      <c r="R922" t="str">
        <f>IF(gemini_code_1787702791259[[#This Row],[Dias_Entrega]]&lt;=gemini_code_1787702791259[[#This Row],[Promesa_SLA_Dias]],"A tiempo","Fuera de SLA")</f>
        <v>Fuera de SLA</v>
      </c>
    </row>
    <row r="923" spans="1:18" x14ac:dyDescent="0.25">
      <c r="A923" t="s">
        <v>67</v>
      </c>
      <c r="B923" s="1">
        <v>46242</v>
      </c>
      <c r="C923" t="s">
        <v>14</v>
      </c>
      <c r="D923" t="s">
        <v>15</v>
      </c>
      <c r="E923" t="s">
        <v>16</v>
      </c>
      <c r="F923" t="s">
        <v>23</v>
      </c>
      <c r="G923" t="s">
        <v>68</v>
      </c>
      <c r="H923">
        <v>3</v>
      </c>
      <c r="I923" s="12">
        <v>95</v>
      </c>
      <c r="J923" s="12">
        <v>45</v>
      </c>
      <c r="K923">
        <v>2</v>
      </c>
      <c r="L923">
        <v>3</v>
      </c>
      <c r="M923">
        <v>300</v>
      </c>
      <c r="N923" s="12">
        <f>+gemini_code_1787702791259[[#This Row],[Cantidad]]*gemini_code_1787702791259[[#This Row],[Precio_Unitario_USD]]</f>
        <v>285</v>
      </c>
      <c r="O923" s="12">
        <f>+gemini_code_1787702791259[[#This Row],[Cantidad]]*gemini_code_1787702791259[[#This Row],[Costo_Unitario_USD]]</f>
        <v>135</v>
      </c>
      <c r="P923" s="12">
        <f>+gemini_code_1787702791259[[#This Row],[venta total]]-gemini_code_1787702791259[[#This Row],[Costo total]]</f>
        <v>150</v>
      </c>
      <c r="Q923" s="2">
        <f>gemini_code_1787702791259[[#This Row],[Ganancia bruta]]/gemini_code_1787702791259[[#This Row],[venta total]]</f>
        <v>0.52631578947368418</v>
      </c>
      <c r="R923" t="str">
        <f>IF(gemini_code_1787702791259[[#This Row],[Dias_Entrega]]&lt;=gemini_code_1787702791259[[#This Row],[Promesa_SLA_Dias]],"A tiempo","Fuera de SLA")</f>
        <v>A tiempo</v>
      </c>
    </row>
    <row r="924" spans="1:18" x14ac:dyDescent="0.25">
      <c r="A924" t="s">
        <v>69</v>
      </c>
      <c r="B924" s="1">
        <v>46242</v>
      </c>
      <c r="C924" t="s">
        <v>20</v>
      </c>
      <c r="D924" t="s">
        <v>21</v>
      </c>
      <c r="E924" t="s">
        <v>16</v>
      </c>
      <c r="F924" t="s">
        <v>28</v>
      </c>
      <c r="G924" t="s">
        <v>70</v>
      </c>
      <c r="H924">
        <v>4</v>
      </c>
      <c r="I924" s="12">
        <v>160</v>
      </c>
      <c r="J924" s="12">
        <v>95</v>
      </c>
      <c r="K924">
        <v>2</v>
      </c>
      <c r="L924">
        <v>3</v>
      </c>
      <c r="M924">
        <v>600</v>
      </c>
      <c r="N924" s="12">
        <f>+gemini_code_1787702791259[[#This Row],[Cantidad]]*gemini_code_1787702791259[[#This Row],[Precio_Unitario_USD]]</f>
        <v>640</v>
      </c>
      <c r="O924" s="12">
        <f>+gemini_code_1787702791259[[#This Row],[Cantidad]]*gemini_code_1787702791259[[#This Row],[Costo_Unitario_USD]]</f>
        <v>380</v>
      </c>
      <c r="P924" s="12">
        <f>+gemini_code_1787702791259[[#This Row],[venta total]]-gemini_code_1787702791259[[#This Row],[Costo total]]</f>
        <v>260</v>
      </c>
      <c r="Q924" s="2">
        <f>gemini_code_1787702791259[[#This Row],[Ganancia bruta]]/gemini_code_1787702791259[[#This Row],[venta total]]</f>
        <v>0.40625</v>
      </c>
      <c r="R924" t="str">
        <f>IF(gemini_code_1787702791259[[#This Row],[Dias_Entrega]]&lt;=gemini_code_1787702791259[[#This Row],[Promesa_SLA_Dias]],"A tiempo","Fuera de SLA")</f>
        <v>A tiempo</v>
      </c>
    </row>
    <row r="925" spans="1:18" x14ac:dyDescent="0.25">
      <c r="A925" t="s">
        <v>71</v>
      </c>
      <c r="B925" s="1">
        <v>46242</v>
      </c>
      <c r="C925" t="s">
        <v>26</v>
      </c>
      <c r="D925" t="s">
        <v>27</v>
      </c>
      <c r="E925" t="s">
        <v>22</v>
      </c>
      <c r="F925" t="s">
        <v>31</v>
      </c>
      <c r="G925" t="s">
        <v>72</v>
      </c>
      <c r="H925">
        <v>7</v>
      </c>
      <c r="I925" s="12">
        <v>90</v>
      </c>
      <c r="J925" s="12">
        <v>45</v>
      </c>
      <c r="K925">
        <v>4</v>
      </c>
      <c r="L925">
        <v>3</v>
      </c>
      <c r="M925">
        <v>600</v>
      </c>
      <c r="N925" s="12">
        <f>+gemini_code_1787702791259[[#This Row],[Cantidad]]*gemini_code_1787702791259[[#This Row],[Precio_Unitario_USD]]</f>
        <v>630</v>
      </c>
      <c r="O925" s="12">
        <f>+gemini_code_1787702791259[[#This Row],[Cantidad]]*gemini_code_1787702791259[[#This Row],[Costo_Unitario_USD]]</f>
        <v>315</v>
      </c>
      <c r="P925" s="12">
        <f>+gemini_code_1787702791259[[#This Row],[venta total]]-gemini_code_1787702791259[[#This Row],[Costo total]]</f>
        <v>315</v>
      </c>
      <c r="Q925" s="2">
        <f>gemini_code_1787702791259[[#This Row],[Ganancia bruta]]/gemini_code_1787702791259[[#This Row],[venta total]]</f>
        <v>0.5</v>
      </c>
      <c r="R925" t="str">
        <f>IF(gemini_code_1787702791259[[#This Row],[Dias_Entrega]]&lt;=gemini_code_1787702791259[[#This Row],[Promesa_SLA_Dias]],"A tiempo","Fuera de SLA")</f>
        <v>Fuera de SLA</v>
      </c>
    </row>
    <row r="926" spans="1:18" x14ac:dyDescent="0.25">
      <c r="A926" t="s">
        <v>73</v>
      </c>
      <c r="B926" s="1">
        <v>46243</v>
      </c>
      <c r="C926" t="s">
        <v>14</v>
      </c>
      <c r="D926" t="s">
        <v>15</v>
      </c>
      <c r="E926" t="s">
        <v>22</v>
      </c>
      <c r="F926" t="s">
        <v>17</v>
      </c>
      <c r="G926" t="s">
        <v>74</v>
      </c>
      <c r="H926">
        <v>3</v>
      </c>
      <c r="I926" s="12">
        <v>310</v>
      </c>
      <c r="J926" s="12">
        <v>210</v>
      </c>
      <c r="K926">
        <v>2</v>
      </c>
      <c r="L926">
        <v>3</v>
      </c>
      <c r="M926">
        <v>900</v>
      </c>
      <c r="N926" s="12">
        <f>+gemini_code_1787702791259[[#This Row],[Cantidad]]*gemini_code_1787702791259[[#This Row],[Precio_Unitario_USD]]</f>
        <v>930</v>
      </c>
      <c r="O926" s="12">
        <f>+gemini_code_1787702791259[[#This Row],[Cantidad]]*gemini_code_1787702791259[[#This Row],[Costo_Unitario_USD]]</f>
        <v>630</v>
      </c>
      <c r="P926" s="12">
        <f>+gemini_code_1787702791259[[#This Row],[venta total]]-gemini_code_1787702791259[[#This Row],[Costo total]]</f>
        <v>300</v>
      </c>
      <c r="Q926" s="2">
        <f>gemini_code_1787702791259[[#This Row],[Ganancia bruta]]/gemini_code_1787702791259[[#This Row],[venta total]]</f>
        <v>0.32258064516129031</v>
      </c>
      <c r="R926" t="str">
        <f>IF(gemini_code_1787702791259[[#This Row],[Dias_Entrega]]&lt;=gemini_code_1787702791259[[#This Row],[Promesa_SLA_Dias]],"A tiempo","Fuera de SLA")</f>
        <v>A tiempo</v>
      </c>
    </row>
    <row r="927" spans="1:18" x14ac:dyDescent="0.25">
      <c r="A927" t="s">
        <v>75</v>
      </c>
      <c r="B927" s="1">
        <v>46243</v>
      </c>
      <c r="C927" t="s">
        <v>20</v>
      </c>
      <c r="D927" t="s">
        <v>21</v>
      </c>
      <c r="E927" t="s">
        <v>16</v>
      </c>
      <c r="F927" t="s">
        <v>23</v>
      </c>
      <c r="G927" t="s">
        <v>76</v>
      </c>
      <c r="H927">
        <v>8</v>
      </c>
      <c r="I927" s="12">
        <v>50</v>
      </c>
      <c r="J927" s="12">
        <v>22</v>
      </c>
      <c r="K927">
        <v>2</v>
      </c>
      <c r="L927">
        <v>3</v>
      </c>
      <c r="M927">
        <v>400</v>
      </c>
      <c r="N927" s="12">
        <f>+gemini_code_1787702791259[[#This Row],[Cantidad]]*gemini_code_1787702791259[[#This Row],[Precio_Unitario_USD]]</f>
        <v>400</v>
      </c>
      <c r="O927" s="12">
        <f>+gemini_code_1787702791259[[#This Row],[Cantidad]]*gemini_code_1787702791259[[#This Row],[Costo_Unitario_USD]]</f>
        <v>176</v>
      </c>
      <c r="P927" s="12">
        <f>+gemini_code_1787702791259[[#This Row],[venta total]]-gemini_code_1787702791259[[#This Row],[Costo total]]</f>
        <v>224</v>
      </c>
      <c r="Q927" s="2">
        <f>gemini_code_1787702791259[[#This Row],[Ganancia bruta]]/gemini_code_1787702791259[[#This Row],[venta total]]</f>
        <v>0.56000000000000005</v>
      </c>
      <c r="R927" t="str">
        <f>IF(gemini_code_1787702791259[[#This Row],[Dias_Entrega]]&lt;=gemini_code_1787702791259[[#This Row],[Promesa_SLA_Dias]],"A tiempo","Fuera de SLA")</f>
        <v>A tiempo</v>
      </c>
    </row>
    <row r="928" spans="1:18" x14ac:dyDescent="0.25">
      <c r="A928" t="s">
        <v>77</v>
      </c>
      <c r="B928" s="1">
        <v>46243</v>
      </c>
      <c r="C928" t="s">
        <v>26</v>
      </c>
      <c r="D928" t="s">
        <v>27</v>
      </c>
      <c r="E928" t="s">
        <v>16</v>
      </c>
      <c r="F928" t="s">
        <v>28</v>
      </c>
      <c r="G928" t="s">
        <v>78</v>
      </c>
      <c r="H928">
        <v>1</v>
      </c>
      <c r="I928" s="12">
        <v>750</v>
      </c>
      <c r="J928" s="12">
        <v>480</v>
      </c>
      <c r="K928">
        <v>8</v>
      </c>
      <c r="L928">
        <v>4</v>
      </c>
      <c r="M928">
        <v>700</v>
      </c>
      <c r="N928" s="12">
        <f>+gemini_code_1787702791259[[#This Row],[Cantidad]]*gemini_code_1787702791259[[#This Row],[Precio_Unitario_USD]]</f>
        <v>750</v>
      </c>
      <c r="O928" s="12">
        <f>+gemini_code_1787702791259[[#This Row],[Cantidad]]*gemini_code_1787702791259[[#This Row],[Costo_Unitario_USD]]</f>
        <v>480</v>
      </c>
      <c r="P928" s="12">
        <f>+gemini_code_1787702791259[[#This Row],[venta total]]-gemini_code_1787702791259[[#This Row],[Costo total]]</f>
        <v>270</v>
      </c>
      <c r="Q928" s="2">
        <f>gemini_code_1787702791259[[#This Row],[Ganancia bruta]]/gemini_code_1787702791259[[#This Row],[venta total]]</f>
        <v>0.36</v>
      </c>
      <c r="R928" t="str">
        <f>IF(gemini_code_1787702791259[[#This Row],[Dias_Entrega]]&lt;=gemini_code_1787702791259[[#This Row],[Promesa_SLA_Dias]],"A tiempo","Fuera de SLA")</f>
        <v>Fuera de SLA</v>
      </c>
    </row>
    <row r="929" spans="1:18" x14ac:dyDescent="0.25">
      <c r="A929" t="s">
        <v>79</v>
      </c>
      <c r="B929" s="1">
        <v>46244</v>
      </c>
      <c r="C929" t="s">
        <v>14</v>
      </c>
      <c r="D929" t="s">
        <v>15</v>
      </c>
      <c r="E929" t="s">
        <v>16</v>
      </c>
      <c r="F929" t="s">
        <v>31</v>
      </c>
      <c r="G929" t="s">
        <v>80</v>
      </c>
      <c r="H929">
        <v>4</v>
      </c>
      <c r="I929" s="12">
        <v>140</v>
      </c>
      <c r="J929" s="12">
        <v>75</v>
      </c>
      <c r="K929">
        <v>3</v>
      </c>
      <c r="L929">
        <v>3</v>
      </c>
      <c r="M929">
        <v>500</v>
      </c>
      <c r="N929" s="12">
        <f>+gemini_code_1787702791259[[#This Row],[Cantidad]]*gemini_code_1787702791259[[#This Row],[Precio_Unitario_USD]]</f>
        <v>560</v>
      </c>
      <c r="O929" s="12">
        <f>+gemini_code_1787702791259[[#This Row],[Cantidad]]*gemini_code_1787702791259[[#This Row],[Costo_Unitario_USD]]</f>
        <v>300</v>
      </c>
      <c r="P929" s="12">
        <f>+gemini_code_1787702791259[[#This Row],[venta total]]-gemini_code_1787702791259[[#This Row],[Costo total]]</f>
        <v>260</v>
      </c>
      <c r="Q929" s="2">
        <f>gemini_code_1787702791259[[#This Row],[Ganancia bruta]]/gemini_code_1787702791259[[#This Row],[venta total]]</f>
        <v>0.4642857142857143</v>
      </c>
      <c r="R929" t="str">
        <f>IF(gemini_code_1787702791259[[#This Row],[Dias_Entrega]]&lt;=gemini_code_1787702791259[[#This Row],[Promesa_SLA_Dias]],"A tiempo","Fuera de SLA")</f>
        <v>A tiempo</v>
      </c>
    </row>
    <row r="930" spans="1:18" x14ac:dyDescent="0.25">
      <c r="A930" t="s">
        <v>81</v>
      </c>
      <c r="B930" s="1">
        <v>46244</v>
      </c>
      <c r="C930" t="s">
        <v>20</v>
      </c>
      <c r="D930" t="s">
        <v>21</v>
      </c>
      <c r="E930" t="s">
        <v>22</v>
      </c>
      <c r="F930" t="s">
        <v>17</v>
      </c>
      <c r="G930" t="s">
        <v>82</v>
      </c>
      <c r="H930">
        <v>6</v>
      </c>
      <c r="I930" s="12">
        <v>90</v>
      </c>
      <c r="J930" s="12">
        <v>50</v>
      </c>
      <c r="K930">
        <v>1</v>
      </c>
      <c r="L930">
        <v>2</v>
      </c>
      <c r="M930">
        <v>500</v>
      </c>
      <c r="N930" s="12">
        <f>+gemini_code_1787702791259[[#This Row],[Cantidad]]*gemini_code_1787702791259[[#This Row],[Precio_Unitario_USD]]</f>
        <v>540</v>
      </c>
      <c r="O930" s="12">
        <f>+gemini_code_1787702791259[[#This Row],[Cantidad]]*gemini_code_1787702791259[[#This Row],[Costo_Unitario_USD]]</f>
        <v>300</v>
      </c>
      <c r="P930" s="12">
        <f>+gemini_code_1787702791259[[#This Row],[venta total]]-gemini_code_1787702791259[[#This Row],[Costo total]]</f>
        <v>240</v>
      </c>
      <c r="Q930" s="2">
        <f>gemini_code_1787702791259[[#This Row],[Ganancia bruta]]/gemini_code_1787702791259[[#This Row],[venta total]]</f>
        <v>0.44444444444444442</v>
      </c>
      <c r="R930" t="str">
        <f>IF(gemini_code_1787702791259[[#This Row],[Dias_Entrega]]&lt;=gemini_code_1787702791259[[#This Row],[Promesa_SLA_Dias]],"A tiempo","Fuera de SLA")</f>
        <v>A tiempo</v>
      </c>
    </row>
    <row r="931" spans="1:18" x14ac:dyDescent="0.25">
      <c r="A931" t="s">
        <v>83</v>
      </c>
      <c r="B931" s="1">
        <v>46244</v>
      </c>
      <c r="C931" t="s">
        <v>26</v>
      </c>
      <c r="D931" t="s">
        <v>27</v>
      </c>
      <c r="E931" t="s">
        <v>16</v>
      </c>
      <c r="F931" t="s">
        <v>23</v>
      </c>
      <c r="G931" t="s">
        <v>84</v>
      </c>
      <c r="H931">
        <v>6</v>
      </c>
      <c r="I931" s="12">
        <v>60</v>
      </c>
      <c r="J931" s="12">
        <v>28</v>
      </c>
      <c r="K931">
        <v>5</v>
      </c>
      <c r="L931">
        <v>3</v>
      </c>
      <c r="M931">
        <v>350</v>
      </c>
      <c r="N931" s="12">
        <f>+gemini_code_1787702791259[[#This Row],[Cantidad]]*gemini_code_1787702791259[[#This Row],[Precio_Unitario_USD]]</f>
        <v>360</v>
      </c>
      <c r="O931" s="12">
        <f>+gemini_code_1787702791259[[#This Row],[Cantidad]]*gemini_code_1787702791259[[#This Row],[Costo_Unitario_USD]]</f>
        <v>168</v>
      </c>
      <c r="P931" s="12">
        <f>+gemini_code_1787702791259[[#This Row],[venta total]]-gemini_code_1787702791259[[#This Row],[Costo total]]</f>
        <v>192</v>
      </c>
      <c r="Q931" s="2">
        <f>gemini_code_1787702791259[[#This Row],[Ganancia bruta]]/gemini_code_1787702791259[[#This Row],[venta total]]</f>
        <v>0.53333333333333333</v>
      </c>
      <c r="R931" t="str">
        <f>IF(gemini_code_1787702791259[[#This Row],[Dias_Entrega]]&lt;=gemini_code_1787702791259[[#This Row],[Promesa_SLA_Dias]],"A tiempo","Fuera de SLA")</f>
        <v>Fuera de SLA</v>
      </c>
    </row>
    <row r="932" spans="1:18" x14ac:dyDescent="0.25">
      <c r="A932" t="s">
        <v>13</v>
      </c>
      <c r="B932" s="1">
        <v>46235</v>
      </c>
      <c r="C932" t="s">
        <v>14</v>
      </c>
      <c r="D932" t="s">
        <v>15</v>
      </c>
      <c r="E932" t="s">
        <v>16</v>
      </c>
      <c r="F932" t="s">
        <v>17</v>
      </c>
      <c r="G932" t="s">
        <v>18</v>
      </c>
      <c r="H932">
        <v>2</v>
      </c>
      <c r="I932" s="12">
        <v>850</v>
      </c>
      <c r="J932" s="12">
        <v>600</v>
      </c>
      <c r="K932">
        <v>2</v>
      </c>
      <c r="L932">
        <v>3</v>
      </c>
      <c r="M932">
        <v>1500</v>
      </c>
      <c r="N932" s="12">
        <f>+gemini_code_1787702791259[[#This Row],[Cantidad]]*gemini_code_1787702791259[[#This Row],[Precio_Unitario_USD]]</f>
        <v>1700</v>
      </c>
      <c r="O932" s="12">
        <f>+gemini_code_1787702791259[[#This Row],[Cantidad]]*gemini_code_1787702791259[[#This Row],[Costo_Unitario_USD]]</f>
        <v>1200</v>
      </c>
      <c r="P932" s="12">
        <f>+gemini_code_1787702791259[[#This Row],[venta total]]-gemini_code_1787702791259[[#This Row],[Costo total]]</f>
        <v>500</v>
      </c>
      <c r="Q932" s="2">
        <f>gemini_code_1787702791259[[#This Row],[Ganancia bruta]]/gemini_code_1787702791259[[#This Row],[venta total]]</f>
        <v>0.29411764705882354</v>
      </c>
      <c r="R932" t="str">
        <f>IF(gemini_code_1787702791259[[#This Row],[Dias_Entrega]]&lt;=gemini_code_1787702791259[[#This Row],[Promesa_SLA_Dias]],"A tiempo","Fuera de SLA")</f>
        <v>A tiempo</v>
      </c>
    </row>
    <row r="933" spans="1:18" x14ac:dyDescent="0.25">
      <c r="A933" t="s">
        <v>19</v>
      </c>
      <c r="B933" s="1">
        <v>46235</v>
      </c>
      <c r="C933" t="s">
        <v>20</v>
      </c>
      <c r="D933" t="s">
        <v>21</v>
      </c>
      <c r="E933" t="s">
        <v>22</v>
      </c>
      <c r="F933" t="s">
        <v>23</v>
      </c>
      <c r="G933" t="s">
        <v>24</v>
      </c>
      <c r="H933">
        <v>5</v>
      </c>
      <c r="I933" s="12">
        <v>120</v>
      </c>
      <c r="J933" s="12">
        <v>70</v>
      </c>
      <c r="K933">
        <v>3</v>
      </c>
      <c r="L933">
        <v>3</v>
      </c>
      <c r="M933">
        <v>500</v>
      </c>
      <c r="N933" s="12">
        <f>+gemini_code_1787702791259[[#This Row],[Cantidad]]*gemini_code_1787702791259[[#This Row],[Precio_Unitario_USD]]</f>
        <v>600</v>
      </c>
      <c r="O933" s="12">
        <f>+gemini_code_1787702791259[[#This Row],[Cantidad]]*gemini_code_1787702791259[[#This Row],[Costo_Unitario_USD]]</f>
        <v>350</v>
      </c>
      <c r="P933" s="12">
        <f>+gemini_code_1787702791259[[#This Row],[venta total]]-gemini_code_1787702791259[[#This Row],[Costo total]]</f>
        <v>250</v>
      </c>
      <c r="Q933" s="2">
        <f>gemini_code_1787702791259[[#This Row],[Ganancia bruta]]/gemini_code_1787702791259[[#This Row],[venta total]]</f>
        <v>0.41666666666666669</v>
      </c>
      <c r="R933" t="str">
        <f>IF(gemini_code_1787702791259[[#This Row],[Dias_Entrega]]&lt;=gemini_code_1787702791259[[#This Row],[Promesa_SLA_Dias]],"A tiempo","Fuera de SLA")</f>
        <v>A tiempo</v>
      </c>
    </row>
    <row r="934" spans="1:18" x14ac:dyDescent="0.25">
      <c r="A934" t="s">
        <v>25</v>
      </c>
      <c r="B934" s="1">
        <v>46235</v>
      </c>
      <c r="C934" t="s">
        <v>26</v>
      </c>
      <c r="D934" t="s">
        <v>27</v>
      </c>
      <c r="E934" t="s">
        <v>16</v>
      </c>
      <c r="F934" t="s">
        <v>28</v>
      </c>
      <c r="G934" t="s">
        <v>29</v>
      </c>
      <c r="H934">
        <v>3</v>
      </c>
      <c r="I934" s="12">
        <v>90</v>
      </c>
      <c r="J934" s="12">
        <v>50</v>
      </c>
      <c r="K934">
        <v>6</v>
      </c>
      <c r="L934">
        <v>4</v>
      </c>
      <c r="M934">
        <v>300</v>
      </c>
      <c r="N934" s="12">
        <f>+gemini_code_1787702791259[[#This Row],[Cantidad]]*gemini_code_1787702791259[[#This Row],[Precio_Unitario_USD]]</f>
        <v>270</v>
      </c>
      <c r="O934" s="12">
        <f>+gemini_code_1787702791259[[#This Row],[Cantidad]]*gemini_code_1787702791259[[#This Row],[Costo_Unitario_USD]]</f>
        <v>150</v>
      </c>
      <c r="P934" s="12">
        <f>+gemini_code_1787702791259[[#This Row],[venta total]]-gemini_code_1787702791259[[#This Row],[Costo total]]</f>
        <v>120</v>
      </c>
      <c r="Q934" s="2">
        <f>gemini_code_1787702791259[[#This Row],[Ganancia bruta]]/gemini_code_1787702791259[[#This Row],[venta total]]</f>
        <v>0.44444444444444442</v>
      </c>
      <c r="R934" t="str">
        <f>IF(gemini_code_1787702791259[[#This Row],[Dias_Entrega]]&lt;=gemini_code_1787702791259[[#This Row],[Promesa_SLA_Dias]],"A tiempo","Fuera de SLA")</f>
        <v>Fuera de SLA</v>
      </c>
    </row>
    <row r="935" spans="1:18" x14ac:dyDescent="0.25">
      <c r="A935" t="s">
        <v>30</v>
      </c>
      <c r="B935" s="1">
        <v>46236</v>
      </c>
      <c r="C935" t="s">
        <v>14</v>
      </c>
      <c r="D935" t="s">
        <v>15</v>
      </c>
      <c r="E935" t="s">
        <v>22</v>
      </c>
      <c r="F935" t="s">
        <v>31</v>
      </c>
      <c r="G935" t="s">
        <v>32</v>
      </c>
      <c r="H935">
        <v>4</v>
      </c>
      <c r="I935" s="12">
        <v>110</v>
      </c>
      <c r="J935" s="12">
        <v>60</v>
      </c>
      <c r="K935">
        <v>1</v>
      </c>
      <c r="L935">
        <v>2</v>
      </c>
      <c r="M935">
        <v>400</v>
      </c>
      <c r="N935" s="12">
        <f>+gemini_code_1787702791259[[#This Row],[Cantidad]]*gemini_code_1787702791259[[#This Row],[Precio_Unitario_USD]]</f>
        <v>440</v>
      </c>
      <c r="O935" s="12">
        <f>+gemini_code_1787702791259[[#This Row],[Cantidad]]*gemini_code_1787702791259[[#This Row],[Costo_Unitario_USD]]</f>
        <v>240</v>
      </c>
      <c r="P935" s="12">
        <f>+gemini_code_1787702791259[[#This Row],[venta total]]-gemini_code_1787702791259[[#This Row],[Costo total]]</f>
        <v>200</v>
      </c>
      <c r="Q935" s="2">
        <f>gemini_code_1787702791259[[#This Row],[Ganancia bruta]]/gemini_code_1787702791259[[#This Row],[venta total]]</f>
        <v>0.45454545454545453</v>
      </c>
      <c r="R935" t="str">
        <f>IF(gemini_code_1787702791259[[#This Row],[Dias_Entrega]]&lt;=gemini_code_1787702791259[[#This Row],[Promesa_SLA_Dias]],"A tiempo","Fuera de SLA")</f>
        <v>A tiempo</v>
      </c>
    </row>
    <row r="936" spans="1:18" x14ac:dyDescent="0.25">
      <c r="A936" t="s">
        <v>33</v>
      </c>
      <c r="B936" s="1">
        <v>46236</v>
      </c>
      <c r="C936" t="s">
        <v>20</v>
      </c>
      <c r="D936" t="s">
        <v>21</v>
      </c>
      <c r="E936" t="s">
        <v>16</v>
      </c>
      <c r="F936" t="s">
        <v>17</v>
      </c>
      <c r="G936" t="s">
        <v>34</v>
      </c>
      <c r="H936">
        <v>3</v>
      </c>
      <c r="I936" s="12">
        <v>650</v>
      </c>
      <c r="J936" s="12">
        <v>450</v>
      </c>
      <c r="K936">
        <v>2</v>
      </c>
      <c r="L936">
        <v>3</v>
      </c>
      <c r="M936">
        <v>1800</v>
      </c>
      <c r="N936" s="12">
        <f>+gemini_code_1787702791259[[#This Row],[Cantidad]]*gemini_code_1787702791259[[#This Row],[Precio_Unitario_USD]]</f>
        <v>1950</v>
      </c>
      <c r="O936" s="12">
        <f>+gemini_code_1787702791259[[#This Row],[Cantidad]]*gemini_code_1787702791259[[#This Row],[Costo_Unitario_USD]]</f>
        <v>1350</v>
      </c>
      <c r="P936" s="12">
        <f>+gemini_code_1787702791259[[#This Row],[venta total]]-gemini_code_1787702791259[[#This Row],[Costo total]]</f>
        <v>600</v>
      </c>
      <c r="Q936" s="2">
        <f>gemini_code_1787702791259[[#This Row],[Ganancia bruta]]/gemini_code_1787702791259[[#This Row],[venta total]]</f>
        <v>0.30769230769230771</v>
      </c>
      <c r="R936" t="str">
        <f>IF(gemini_code_1787702791259[[#This Row],[Dias_Entrega]]&lt;=gemini_code_1787702791259[[#This Row],[Promesa_SLA_Dias]],"A tiempo","Fuera de SLA")</f>
        <v>A tiempo</v>
      </c>
    </row>
    <row r="937" spans="1:18" x14ac:dyDescent="0.25">
      <c r="A937" t="s">
        <v>35</v>
      </c>
      <c r="B937" s="1">
        <v>46236</v>
      </c>
      <c r="C937" t="s">
        <v>26</v>
      </c>
      <c r="D937" t="s">
        <v>27</v>
      </c>
      <c r="E937" t="s">
        <v>16</v>
      </c>
      <c r="F937" t="s">
        <v>23</v>
      </c>
      <c r="G937" t="s">
        <v>36</v>
      </c>
      <c r="H937">
        <v>8</v>
      </c>
      <c r="I937" s="12">
        <v>45</v>
      </c>
      <c r="J937" s="12">
        <v>20</v>
      </c>
      <c r="K937">
        <v>5</v>
      </c>
      <c r="L937">
        <v>3</v>
      </c>
      <c r="M937">
        <v>400</v>
      </c>
      <c r="N937" s="12">
        <f>+gemini_code_1787702791259[[#This Row],[Cantidad]]*gemini_code_1787702791259[[#This Row],[Precio_Unitario_USD]]</f>
        <v>360</v>
      </c>
      <c r="O937" s="12">
        <f>+gemini_code_1787702791259[[#This Row],[Cantidad]]*gemini_code_1787702791259[[#This Row],[Costo_Unitario_USD]]</f>
        <v>160</v>
      </c>
      <c r="P937" s="12">
        <f>+gemini_code_1787702791259[[#This Row],[venta total]]-gemini_code_1787702791259[[#This Row],[Costo total]]</f>
        <v>200</v>
      </c>
      <c r="Q937" s="2">
        <f>gemini_code_1787702791259[[#This Row],[Ganancia bruta]]/gemini_code_1787702791259[[#This Row],[venta total]]</f>
        <v>0.55555555555555558</v>
      </c>
      <c r="R937" t="str">
        <f>IF(gemini_code_1787702791259[[#This Row],[Dias_Entrega]]&lt;=gemini_code_1787702791259[[#This Row],[Promesa_SLA_Dias]],"A tiempo","Fuera de SLA")</f>
        <v>Fuera de SLA</v>
      </c>
    </row>
    <row r="938" spans="1:18" x14ac:dyDescent="0.25">
      <c r="A938" t="s">
        <v>37</v>
      </c>
      <c r="B938" s="1">
        <v>46237</v>
      </c>
      <c r="C938" t="s">
        <v>14</v>
      </c>
      <c r="D938" t="s">
        <v>15</v>
      </c>
      <c r="E938" t="s">
        <v>16</v>
      </c>
      <c r="F938" t="s">
        <v>28</v>
      </c>
      <c r="G938" t="s">
        <v>38</v>
      </c>
      <c r="H938">
        <v>2</v>
      </c>
      <c r="I938" s="12">
        <v>280</v>
      </c>
      <c r="J938" s="12">
        <v>180</v>
      </c>
      <c r="K938">
        <v>3</v>
      </c>
      <c r="L938">
        <v>3</v>
      </c>
      <c r="M938">
        <v>500</v>
      </c>
      <c r="N938" s="12">
        <f>+gemini_code_1787702791259[[#This Row],[Cantidad]]*gemini_code_1787702791259[[#This Row],[Precio_Unitario_USD]]</f>
        <v>560</v>
      </c>
      <c r="O938" s="12">
        <f>+gemini_code_1787702791259[[#This Row],[Cantidad]]*gemini_code_1787702791259[[#This Row],[Costo_Unitario_USD]]</f>
        <v>360</v>
      </c>
      <c r="P938" s="12">
        <f>+gemini_code_1787702791259[[#This Row],[venta total]]-gemini_code_1787702791259[[#This Row],[Costo total]]</f>
        <v>200</v>
      </c>
      <c r="Q938" s="2">
        <f>gemini_code_1787702791259[[#This Row],[Ganancia bruta]]/gemini_code_1787702791259[[#This Row],[venta total]]</f>
        <v>0.35714285714285715</v>
      </c>
      <c r="R938" t="str">
        <f>IF(gemini_code_1787702791259[[#This Row],[Dias_Entrega]]&lt;=gemini_code_1787702791259[[#This Row],[Promesa_SLA_Dias]],"A tiempo","Fuera de SLA")</f>
        <v>A tiempo</v>
      </c>
    </row>
    <row r="939" spans="1:18" x14ac:dyDescent="0.25">
      <c r="A939" t="s">
        <v>39</v>
      </c>
      <c r="B939" s="1">
        <v>46237</v>
      </c>
      <c r="C939" t="s">
        <v>20</v>
      </c>
      <c r="D939" t="s">
        <v>21</v>
      </c>
      <c r="E939" t="s">
        <v>22</v>
      </c>
      <c r="F939" t="s">
        <v>31</v>
      </c>
      <c r="G939" t="s">
        <v>40</v>
      </c>
      <c r="H939">
        <v>3</v>
      </c>
      <c r="I939" s="12">
        <v>150</v>
      </c>
      <c r="J939" s="12">
        <v>85</v>
      </c>
      <c r="K939">
        <v>2</v>
      </c>
      <c r="L939">
        <v>2</v>
      </c>
      <c r="M939">
        <v>400</v>
      </c>
      <c r="N939" s="12">
        <f>+gemini_code_1787702791259[[#This Row],[Cantidad]]*gemini_code_1787702791259[[#This Row],[Precio_Unitario_USD]]</f>
        <v>450</v>
      </c>
      <c r="O939" s="12">
        <f>+gemini_code_1787702791259[[#This Row],[Cantidad]]*gemini_code_1787702791259[[#This Row],[Costo_Unitario_USD]]</f>
        <v>255</v>
      </c>
      <c r="P939" s="12">
        <f>+gemini_code_1787702791259[[#This Row],[venta total]]-gemini_code_1787702791259[[#This Row],[Costo total]]</f>
        <v>195</v>
      </c>
      <c r="Q939" s="2">
        <f>gemini_code_1787702791259[[#This Row],[Ganancia bruta]]/gemini_code_1787702791259[[#This Row],[venta total]]</f>
        <v>0.43333333333333335</v>
      </c>
      <c r="R939" t="str">
        <f>IF(gemini_code_1787702791259[[#This Row],[Dias_Entrega]]&lt;=gemini_code_1787702791259[[#This Row],[Promesa_SLA_Dias]],"A tiempo","Fuera de SLA")</f>
        <v>A tiempo</v>
      </c>
    </row>
    <row r="940" spans="1:18" x14ac:dyDescent="0.25">
      <c r="A940" t="s">
        <v>41</v>
      </c>
      <c r="B940" s="1">
        <v>46237</v>
      </c>
      <c r="C940" t="s">
        <v>26</v>
      </c>
      <c r="D940" t="s">
        <v>27</v>
      </c>
      <c r="E940" t="s">
        <v>16</v>
      </c>
      <c r="F940" t="s">
        <v>17</v>
      </c>
      <c r="G940" t="s">
        <v>42</v>
      </c>
      <c r="H940">
        <v>2</v>
      </c>
      <c r="I940" s="12">
        <v>520</v>
      </c>
      <c r="J940" s="12">
        <v>380</v>
      </c>
      <c r="K940">
        <v>7</v>
      </c>
      <c r="L940">
        <v>4</v>
      </c>
      <c r="M940">
        <v>1000</v>
      </c>
      <c r="N940" s="12">
        <f>+gemini_code_1787702791259[[#This Row],[Cantidad]]*gemini_code_1787702791259[[#This Row],[Precio_Unitario_USD]]</f>
        <v>1040</v>
      </c>
      <c r="O940" s="12">
        <f>+gemini_code_1787702791259[[#This Row],[Cantidad]]*gemini_code_1787702791259[[#This Row],[Costo_Unitario_USD]]</f>
        <v>760</v>
      </c>
      <c r="P940" s="12">
        <f>+gemini_code_1787702791259[[#This Row],[venta total]]-gemini_code_1787702791259[[#This Row],[Costo total]]</f>
        <v>280</v>
      </c>
      <c r="Q940" s="2">
        <f>gemini_code_1787702791259[[#This Row],[Ganancia bruta]]/gemini_code_1787702791259[[#This Row],[venta total]]</f>
        <v>0.26923076923076922</v>
      </c>
      <c r="R940" t="str">
        <f>IF(gemini_code_1787702791259[[#This Row],[Dias_Entrega]]&lt;=gemini_code_1787702791259[[#This Row],[Promesa_SLA_Dias]],"A tiempo","Fuera de SLA")</f>
        <v>Fuera de SLA</v>
      </c>
    </row>
    <row r="941" spans="1:18" x14ac:dyDescent="0.25">
      <c r="A941" t="s">
        <v>43</v>
      </c>
      <c r="B941" s="1">
        <v>46238</v>
      </c>
      <c r="C941" t="s">
        <v>14</v>
      </c>
      <c r="D941" t="s">
        <v>15</v>
      </c>
      <c r="E941" t="s">
        <v>22</v>
      </c>
      <c r="F941" t="s">
        <v>23</v>
      </c>
      <c r="G941" t="s">
        <v>44</v>
      </c>
      <c r="H941">
        <v>6</v>
      </c>
      <c r="I941" s="12">
        <v>55</v>
      </c>
      <c r="J941" s="12">
        <v>25</v>
      </c>
      <c r="K941">
        <v>2</v>
      </c>
      <c r="L941">
        <v>3</v>
      </c>
      <c r="M941">
        <v>300</v>
      </c>
      <c r="N941" s="12">
        <f>+gemini_code_1787702791259[[#This Row],[Cantidad]]*gemini_code_1787702791259[[#This Row],[Precio_Unitario_USD]]</f>
        <v>330</v>
      </c>
      <c r="O941" s="12">
        <f>+gemini_code_1787702791259[[#This Row],[Cantidad]]*gemini_code_1787702791259[[#This Row],[Costo_Unitario_USD]]</f>
        <v>150</v>
      </c>
      <c r="P941" s="12">
        <f>+gemini_code_1787702791259[[#This Row],[venta total]]-gemini_code_1787702791259[[#This Row],[Costo total]]</f>
        <v>180</v>
      </c>
      <c r="Q941" s="2">
        <f>gemini_code_1787702791259[[#This Row],[Ganancia bruta]]/gemini_code_1787702791259[[#This Row],[venta total]]</f>
        <v>0.54545454545454541</v>
      </c>
      <c r="R941" t="str">
        <f>IF(gemini_code_1787702791259[[#This Row],[Dias_Entrega]]&lt;=gemini_code_1787702791259[[#This Row],[Promesa_SLA_Dias]],"A tiempo","Fuera de SLA")</f>
        <v>A tiempo</v>
      </c>
    </row>
    <row r="942" spans="1:18" x14ac:dyDescent="0.25">
      <c r="A942" t="s">
        <v>45</v>
      </c>
      <c r="B942" s="1">
        <v>46238</v>
      </c>
      <c r="C942" t="s">
        <v>20</v>
      </c>
      <c r="D942" t="s">
        <v>21</v>
      </c>
      <c r="E942" t="s">
        <v>16</v>
      </c>
      <c r="F942" t="s">
        <v>28</v>
      </c>
      <c r="G942" t="s">
        <v>46</v>
      </c>
      <c r="H942">
        <v>1</v>
      </c>
      <c r="I942" s="12">
        <v>450</v>
      </c>
      <c r="J942" s="12">
        <v>290</v>
      </c>
      <c r="K942">
        <v>4</v>
      </c>
      <c r="L942">
        <v>3</v>
      </c>
      <c r="M942">
        <v>400</v>
      </c>
      <c r="N942" s="12">
        <f>+gemini_code_1787702791259[[#This Row],[Cantidad]]*gemini_code_1787702791259[[#This Row],[Precio_Unitario_USD]]</f>
        <v>450</v>
      </c>
      <c r="O942" s="12">
        <f>+gemini_code_1787702791259[[#This Row],[Cantidad]]*gemini_code_1787702791259[[#This Row],[Costo_Unitario_USD]]</f>
        <v>290</v>
      </c>
      <c r="P942" s="12">
        <f>+gemini_code_1787702791259[[#This Row],[venta total]]-gemini_code_1787702791259[[#This Row],[Costo total]]</f>
        <v>160</v>
      </c>
      <c r="Q942" s="2">
        <f>gemini_code_1787702791259[[#This Row],[Ganancia bruta]]/gemini_code_1787702791259[[#This Row],[venta total]]</f>
        <v>0.35555555555555557</v>
      </c>
      <c r="R942" t="str">
        <f>IF(gemini_code_1787702791259[[#This Row],[Dias_Entrega]]&lt;=gemini_code_1787702791259[[#This Row],[Promesa_SLA_Dias]],"A tiempo","Fuera de SLA")</f>
        <v>Fuera de SLA</v>
      </c>
    </row>
    <row r="943" spans="1:18" x14ac:dyDescent="0.25">
      <c r="A943" t="s">
        <v>47</v>
      </c>
      <c r="B943" s="1">
        <v>46238</v>
      </c>
      <c r="C943" t="s">
        <v>26</v>
      </c>
      <c r="D943" t="s">
        <v>27</v>
      </c>
      <c r="E943" t="s">
        <v>22</v>
      </c>
      <c r="F943" t="s">
        <v>31</v>
      </c>
      <c r="G943" t="s">
        <v>48</v>
      </c>
      <c r="H943">
        <v>10</v>
      </c>
      <c r="I943" s="12">
        <v>35</v>
      </c>
      <c r="J943" s="12">
        <v>15</v>
      </c>
      <c r="K943">
        <v>4</v>
      </c>
      <c r="L943">
        <v>3</v>
      </c>
      <c r="M943">
        <v>300</v>
      </c>
      <c r="N943" s="12">
        <f>+gemini_code_1787702791259[[#This Row],[Cantidad]]*gemini_code_1787702791259[[#This Row],[Precio_Unitario_USD]]</f>
        <v>350</v>
      </c>
      <c r="O943" s="12">
        <f>+gemini_code_1787702791259[[#This Row],[Cantidad]]*gemini_code_1787702791259[[#This Row],[Costo_Unitario_USD]]</f>
        <v>150</v>
      </c>
      <c r="P943" s="12">
        <f>+gemini_code_1787702791259[[#This Row],[venta total]]-gemini_code_1787702791259[[#This Row],[Costo total]]</f>
        <v>200</v>
      </c>
      <c r="Q943" s="2">
        <f>gemini_code_1787702791259[[#This Row],[Ganancia bruta]]/gemini_code_1787702791259[[#This Row],[venta total]]</f>
        <v>0.5714285714285714</v>
      </c>
      <c r="R943" t="str">
        <f>IF(gemini_code_1787702791259[[#This Row],[Dias_Entrega]]&lt;=gemini_code_1787702791259[[#This Row],[Promesa_SLA_Dias]],"A tiempo","Fuera de SLA")</f>
        <v>Fuera de SLA</v>
      </c>
    </row>
    <row r="944" spans="1:18" x14ac:dyDescent="0.25">
      <c r="A944" t="s">
        <v>49</v>
      </c>
      <c r="B944" s="1">
        <v>46239</v>
      </c>
      <c r="C944" t="s">
        <v>14</v>
      </c>
      <c r="D944" t="s">
        <v>15</v>
      </c>
      <c r="E944" t="s">
        <v>16</v>
      </c>
      <c r="F944" t="s">
        <v>17</v>
      </c>
      <c r="G944" t="s">
        <v>50</v>
      </c>
      <c r="H944">
        <v>4</v>
      </c>
      <c r="I944" s="12">
        <v>220</v>
      </c>
      <c r="J944" s="12">
        <v>140</v>
      </c>
      <c r="K944">
        <v>2</v>
      </c>
      <c r="L944">
        <v>3</v>
      </c>
      <c r="M944">
        <v>800</v>
      </c>
      <c r="N944" s="12">
        <f>+gemini_code_1787702791259[[#This Row],[Cantidad]]*gemini_code_1787702791259[[#This Row],[Precio_Unitario_USD]]</f>
        <v>880</v>
      </c>
      <c r="O944" s="12">
        <f>+gemini_code_1787702791259[[#This Row],[Cantidad]]*gemini_code_1787702791259[[#This Row],[Costo_Unitario_USD]]</f>
        <v>560</v>
      </c>
      <c r="P944" s="12">
        <f>+gemini_code_1787702791259[[#This Row],[venta total]]-gemini_code_1787702791259[[#This Row],[Costo total]]</f>
        <v>320</v>
      </c>
      <c r="Q944" s="2">
        <f>gemini_code_1787702791259[[#This Row],[Ganancia bruta]]/gemini_code_1787702791259[[#This Row],[venta total]]</f>
        <v>0.36363636363636365</v>
      </c>
      <c r="R944" t="str">
        <f>IF(gemini_code_1787702791259[[#This Row],[Dias_Entrega]]&lt;=gemini_code_1787702791259[[#This Row],[Promesa_SLA_Dias]],"A tiempo","Fuera de SLA")</f>
        <v>A tiempo</v>
      </c>
    </row>
    <row r="945" spans="1:18" x14ac:dyDescent="0.25">
      <c r="A945" t="s">
        <v>51</v>
      </c>
      <c r="B945" s="1">
        <v>46239</v>
      </c>
      <c r="C945" t="s">
        <v>20</v>
      </c>
      <c r="D945" t="s">
        <v>21</v>
      </c>
      <c r="E945" t="s">
        <v>16</v>
      </c>
      <c r="F945" t="s">
        <v>23</v>
      </c>
      <c r="G945" t="s">
        <v>52</v>
      </c>
      <c r="H945">
        <v>5</v>
      </c>
      <c r="I945" s="12">
        <v>65</v>
      </c>
      <c r="J945" s="12">
        <v>30</v>
      </c>
      <c r="K945">
        <v>2</v>
      </c>
      <c r="L945">
        <v>3</v>
      </c>
      <c r="M945">
        <v>300</v>
      </c>
      <c r="N945" s="12">
        <f>+gemini_code_1787702791259[[#This Row],[Cantidad]]*gemini_code_1787702791259[[#This Row],[Precio_Unitario_USD]]</f>
        <v>325</v>
      </c>
      <c r="O945" s="12">
        <f>+gemini_code_1787702791259[[#This Row],[Cantidad]]*gemini_code_1787702791259[[#This Row],[Costo_Unitario_USD]]</f>
        <v>150</v>
      </c>
      <c r="P945" s="12">
        <f>+gemini_code_1787702791259[[#This Row],[venta total]]-gemini_code_1787702791259[[#This Row],[Costo total]]</f>
        <v>175</v>
      </c>
      <c r="Q945" s="2">
        <f>gemini_code_1787702791259[[#This Row],[Ganancia bruta]]/gemini_code_1787702791259[[#This Row],[venta total]]</f>
        <v>0.53846153846153844</v>
      </c>
      <c r="R945" t="str">
        <f>IF(gemini_code_1787702791259[[#This Row],[Dias_Entrega]]&lt;=gemini_code_1787702791259[[#This Row],[Promesa_SLA_Dias]],"A tiempo","Fuera de SLA")</f>
        <v>A tiempo</v>
      </c>
    </row>
    <row r="946" spans="1:18" x14ac:dyDescent="0.25">
      <c r="A946" t="s">
        <v>53</v>
      </c>
      <c r="B946" s="1">
        <v>46239</v>
      </c>
      <c r="C946" t="s">
        <v>26</v>
      </c>
      <c r="D946" t="s">
        <v>27</v>
      </c>
      <c r="E946" t="s">
        <v>16</v>
      </c>
      <c r="F946" t="s">
        <v>28</v>
      </c>
      <c r="G946" t="s">
        <v>54</v>
      </c>
      <c r="H946">
        <v>2</v>
      </c>
      <c r="I946" s="12">
        <v>180</v>
      </c>
      <c r="J946" s="12">
        <v>110</v>
      </c>
      <c r="K946">
        <v>6</v>
      </c>
      <c r="L946">
        <v>3</v>
      </c>
      <c r="M946">
        <v>350</v>
      </c>
      <c r="N946" s="12">
        <f>+gemini_code_1787702791259[[#This Row],[Cantidad]]*gemini_code_1787702791259[[#This Row],[Precio_Unitario_USD]]</f>
        <v>360</v>
      </c>
      <c r="O946" s="12">
        <f>+gemini_code_1787702791259[[#This Row],[Cantidad]]*gemini_code_1787702791259[[#This Row],[Costo_Unitario_USD]]</f>
        <v>220</v>
      </c>
      <c r="P946" s="12">
        <f>+gemini_code_1787702791259[[#This Row],[venta total]]-gemini_code_1787702791259[[#This Row],[Costo total]]</f>
        <v>140</v>
      </c>
      <c r="Q946" s="2">
        <f>gemini_code_1787702791259[[#This Row],[Ganancia bruta]]/gemini_code_1787702791259[[#This Row],[venta total]]</f>
        <v>0.3888888888888889</v>
      </c>
      <c r="R946" t="str">
        <f>IF(gemini_code_1787702791259[[#This Row],[Dias_Entrega]]&lt;=gemini_code_1787702791259[[#This Row],[Promesa_SLA_Dias]],"A tiempo","Fuera de SLA")</f>
        <v>Fuera de SLA</v>
      </c>
    </row>
    <row r="947" spans="1:18" x14ac:dyDescent="0.25">
      <c r="A947" t="s">
        <v>55</v>
      </c>
      <c r="B947" s="1">
        <v>46240</v>
      </c>
      <c r="C947" t="s">
        <v>14</v>
      </c>
      <c r="D947" t="s">
        <v>15</v>
      </c>
      <c r="E947" t="s">
        <v>22</v>
      </c>
      <c r="F947" t="s">
        <v>31</v>
      </c>
      <c r="G947" t="s">
        <v>56</v>
      </c>
      <c r="H947">
        <v>6</v>
      </c>
      <c r="I947" s="12">
        <v>85</v>
      </c>
      <c r="J947" s="12">
        <v>45</v>
      </c>
      <c r="K947">
        <v>1</v>
      </c>
      <c r="L947">
        <v>2</v>
      </c>
      <c r="M947">
        <v>500</v>
      </c>
      <c r="N947" s="12">
        <f>+gemini_code_1787702791259[[#This Row],[Cantidad]]*gemini_code_1787702791259[[#This Row],[Precio_Unitario_USD]]</f>
        <v>510</v>
      </c>
      <c r="O947" s="12">
        <f>+gemini_code_1787702791259[[#This Row],[Cantidad]]*gemini_code_1787702791259[[#This Row],[Costo_Unitario_USD]]</f>
        <v>270</v>
      </c>
      <c r="P947" s="12">
        <f>+gemini_code_1787702791259[[#This Row],[venta total]]-gemini_code_1787702791259[[#This Row],[Costo total]]</f>
        <v>240</v>
      </c>
      <c r="Q947" s="2">
        <f>gemini_code_1787702791259[[#This Row],[Ganancia bruta]]/gemini_code_1787702791259[[#This Row],[venta total]]</f>
        <v>0.47058823529411764</v>
      </c>
      <c r="R947" t="str">
        <f>IF(gemini_code_1787702791259[[#This Row],[Dias_Entrega]]&lt;=gemini_code_1787702791259[[#This Row],[Promesa_SLA_Dias]],"A tiempo","Fuera de SLA")</f>
        <v>A tiempo</v>
      </c>
    </row>
    <row r="948" spans="1:18" x14ac:dyDescent="0.25">
      <c r="A948" t="s">
        <v>57</v>
      </c>
      <c r="B948" s="1">
        <v>46240</v>
      </c>
      <c r="C948" t="s">
        <v>20</v>
      </c>
      <c r="D948" t="s">
        <v>21</v>
      </c>
      <c r="E948" t="s">
        <v>16</v>
      </c>
      <c r="F948" t="s">
        <v>17</v>
      </c>
      <c r="G948" t="s">
        <v>58</v>
      </c>
      <c r="H948">
        <v>12</v>
      </c>
      <c r="I948" s="12">
        <v>75</v>
      </c>
      <c r="J948" s="12">
        <v>35</v>
      </c>
      <c r="K948">
        <v>1</v>
      </c>
      <c r="L948">
        <v>2</v>
      </c>
      <c r="M948">
        <v>800</v>
      </c>
      <c r="N948" s="12">
        <f>+gemini_code_1787702791259[[#This Row],[Cantidad]]*gemini_code_1787702791259[[#This Row],[Precio_Unitario_USD]]</f>
        <v>900</v>
      </c>
      <c r="O948" s="12">
        <f>+gemini_code_1787702791259[[#This Row],[Cantidad]]*gemini_code_1787702791259[[#This Row],[Costo_Unitario_USD]]</f>
        <v>420</v>
      </c>
      <c r="P948" s="12">
        <f>+gemini_code_1787702791259[[#This Row],[venta total]]-gemini_code_1787702791259[[#This Row],[Costo total]]</f>
        <v>480</v>
      </c>
      <c r="Q948" s="2">
        <f>gemini_code_1787702791259[[#This Row],[Ganancia bruta]]/gemini_code_1787702791259[[#This Row],[venta total]]</f>
        <v>0.53333333333333333</v>
      </c>
      <c r="R948" t="str">
        <f>IF(gemini_code_1787702791259[[#This Row],[Dias_Entrega]]&lt;=gemini_code_1787702791259[[#This Row],[Promesa_SLA_Dias]],"A tiempo","Fuera de SLA")</f>
        <v>A tiempo</v>
      </c>
    </row>
    <row r="949" spans="1:18" x14ac:dyDescent="0.25">
      <c r="A949" t="s">
        <v>59</v>
      </c>
      <c r="B949" s="1">
        <v>46240</v>
      </c>
      <c r="C949" t="s">
        <v>26</v>
      </c>
      <c r="D949" t="s">
        <v>27</v>
      </c>
      <c r="E949" t="s">
        <v>22</v>
      </c>
      <c r="F949" t="s">
        <v>23</v>
      </c>
      <c r="G949" t="s">
        <v>60</v>
      </c>
      <c r="H949">
        <v>4</v>
      </c>
      <c r="I949" s="12">
        <v>110</v>
      </c>
      <c r="J949" s="12">
        <v>55</v>
      </c>
      <c r="K949">
        <v>5</v>
      </c>
      <c r="L949">
        <v>3</v>
      </c>
      <c r="M949">
        <v>400</v>
      </c>
      <c r="N949" s="12">
        <f>+gemini_code_1787702791259[[#This Row],[Cantidad]]*gemini_code_1787702791259[[#This Row],[Precio_Unitario_USD]]</f>
        <v>440</v>
      </c>
      <c r="O949" s="12">
        <f>+gemini_code_1787702791259[[#This Row],[Cantidad]]*gemini_code_1787702791259[[#This Row],[Costo_Unitario_USD]]</f>
        <v>220</v>
      </c>
      <c r="P949" s="12">
        <f>+gemini_code_1787702791259[[#This Row],[venta total]]-gemini_code_1787702791259[[#This Row],[Costo total]]</f>
        <v>220</v>
      </c>
      <c r="Q949" s="2">
        <f>gemini_code_1787702791259[[#This Row],[Ganancia bruta]]/gemini_code_1787702791259[[#This Row],[venta total]]</f>
        <v>0.5</v>
      </c>
      <c r="R949" t="str">
        <f>IF(gemini_code_1787702791259[[#This Row],[Dias_Entrega]]&lt;=gemini_code_1787702791259[[#This Row],[Promesa_SLA_Dias]],"A tiempo","Fuera de SLA")</f>
        <v>Fuera de SLA</v>
      </c>
    </row>
    <row r="950" spans="1:18" x14ac:dyDescent="0.25">
      <c r="A950" t="s">
        <v>61</v>
      </c>
      <c r="B950" s="1">
        <v>46241</v>
      </c>
      <c r="C950" t="s">
        <v>14</v>
      </c>
      <c r="D950" t="s">
        <v>15</v>
      </c>
      <c r="E950" t="s">
        <v>16</v>
      </c>
      <c r="F950" t="s">
        <v>28</v>
      </c>
      <c r="G950" t="s">
        <v>62</v>
      </c>
      <c r="H950">
        <v>15</v>
      </c>
      <c r="I950" s="12">
        <v>25</v>
      </c>
      <c r="J950" s="12">
        <v>10</v>
      </c>
      <c r="K950">
        <v>2</v>
      </c>
      <c r="L950">
        <v>3</v>
      </c>
      <c r="M950">
        <v>300</v>
      </c>
      <c r="N950" s="12">
        <f>+gemini_code_1787702791259[[#This Row],[Cantidad]]*gemini_code_1787702791259[[#This Row],[Precio_Unitario_USD]]</f>
        <v>375</v>
      </c>
      <c r="O950" s="12">
        <f>+gemini_code_1787702791259[[#This Row],[Cantidad]]*gemini_code_1787702791259[[#This Row],[Costo_Unitario_USD]]</f>
        <v>150</v>
      </c>
      <c r="P950" s="12">
        <f>+gemini_code_1787702791259[[#This Row],[venta total]]-gemini_code_1787702791259[[#This Row],[Costo total]]</f>
        <v>225</v>
      </c>
      <c r="Q950" s="2">
        <f>gemini_code_1787702791259[[#This Row],[Ganancia bruta]]/gemini_code_1787702791259[[#This Row],[venta total]]</f>
        <v>0.6</v>
      </c>
      <c r="R950" t="str">
        <f>IF(gemini_code_1787702791259[[#This Row],[Dias_Entrega]]&lt;=gemini_code_1787702791259[[#This Row],[Promesa_SLA_Dias]],"A tiempo","Fuera de SLA")</f>
        <v>A tiempo</v>
      </c>
    </row>
    <row r="951" spans="1:18" x14ac:dyDescent="0.25">
      <c r="A951" t="s">
        <v>63</v>
      </c>
      <c r="B951" s="1">
        <v>46241</v>
      </c>
      <c r="C951" t="s">
        <v>20</v>
      </c>
      <c r="D951" t="s">
        <v>21</v>
      </c>
      <c r="E951" t="s">
        <v>22</v>
      </c>
      <c r="F951" t="s">
        <v>31</v>
      </c>
      <c r="G951" t="s">
        <v>64</v>
      </c>
      <c r="H951">
        <v>5</v>
      </c>
      <c r="I951" s="12">
        <v>130</v>
      </c>
      <c r="J951" s="12">
        <v>70</v>
      </c>
      <c r="K951">
        <v>3</v>
      </c>
      <c r="L951">
        <v>3</v>
      </c>
      <c r="M951">
        <v>600</v>
      </c>
      <c r="N951" s="12">
        <f>+gemini_code_1787702791259[[#This Row],[Cantidad]]*gemini_code_1787702791259[[#This Row],[Precio_Unitario_USD]]</f>
        <v>650</v>
      </c>
      <c r="O951" s="12">
        <f>+gemini_code_1787702791259[[#This Row],[Cantidad]]*gemini_code_1787702791259[[#This Row],[Costo_Unitario_USD]]</f>
        <v>350</v>
      </c>
      <c r="P951" s="12">
        <f>+gemini_code_1787702791259[[#This Row],[venta total]]-gemini_code_1787702791259[[#This Row],[Costo total]]</f>
        <v>300</v>
      </c>
      <c r="Q951" s="2">
        <f>gemini_code_1787702791259[[#This Row],[Ganancia bruta]]/gemini_code_1787702791259[[#This Row],[venta total]]</f>
        <v>0.46153846153846156</v>
      </c>
      <c r="R951" t="str">
        <f>IF(gemini_code_1787702791259[[#This Row],[Dias_Entrega]]&lt;=gemini_code_1787702791259[[#This Row],[Promesa_SLA_Dias]],"A tiempo","Fuera de SLA")</f>
        <v>A tiempo</v>
      </c>
    </row>
    <row r="952" spans="1:18" x14ac:dyDescent="0.25">
      <c r="A952" t="s">
        <v>65</v>
      </c>
      <c r="B952" s="1">
        <v>46241</v>
      </c>
      <c r="C952" t="s">
        <v>26</v>
      </c>
      <c r="D952" t="s">
        <v>27</v>
      </c>
      <c r="E952" t="s">
        <v>16</v>
      </c>
      <c r="F952" t="s">
        <v>17</v>
      </c>
      <c r="G952" t="s">
        <v>66</v>
      </c>
      <c r="H952">
        <v>2</v>
      </c>
      <c r="I952" s="12">
        <v>500</v>
      </c>
      <c r="J952" s="12">
        <v>380</v>
      </c>
      <c r="K952">
        <v>6</v>
      </c>
      <c r="L952">
        <v>4</v>
      </c>
      <c r="M952">
        <v>900</v>
      </c>
      <c r="N952" s="12">
        <f>+gemini_code_1787702791259[[#This Row],[Cantidad]]*gemini_code_1787702791259[[#This Row],[Precio_Unitario_USD]]</f>
        <v>1000</v>
      </c>
      <c r="O952" s="12">
        <f>+gemini_code_1787702791259[[#This Row],[Cantidad]]*gemini_code_1787702791259[[#This Row],[Costo_Unitario_USD]]</f>
        <v>760</v>
      </c>
      <c r="P952" s="12">
        <f>+gemini_code_1787702791259[[#This Row],[venta total]]-gemini_code_1787702791259[[#This Row],[Costo total]]</f>
        <v>240</v>
      </c>
      <c r="Q952" s="2">
        <f>gemini_code_1787702791259[[#This Row],[Ganancia bruta]]/gemini_code_1787702791259[[#This Row],[venta total]]</f>
        <v>0.24</v>
      </c>
      <c r="R952" t="str">
        <f>IF(gemini_code_1787702791259[[#This Row],[Dias_Entrega]]&lt;=gemini_code_1787702791259[[#This Row],[Promesa_SLA_Dias]],"A tiempo","Fuera de SLA")</f>
        <v>Fuera de SLA</v>
      </c>
    </row>
    <row r="953" spans="1:18" x14ac:dyDescent="0.25">
      <c r="A953" t="s">
        <v>67</v>
      </c>
      <c r="B953" s="1">
        <v>46242</v>
      </c>
      <c r="C953" t="s">
        <v>14</v>
      </c>
      <c r="D953" t="s">
        <v>15</v>
      </c>
      <c r="E953" t="s">
        <v>16</v>
      </c>
      <c r="F953" t="s">
        <v>23</v>
      </c>
      <c r="G953" t="s">
        <v>68</v>
      </c>
      <c r="H953">
        <v>3</v>
      </c>
      <c r="I953" s="12">
        <v>95</v>
      </c>
      <c r="J953" s="12">
        <v>45</v>
      </c>
      <c r="K953">
        <v>2</v>
      </c>
      <c r="L953">
        <v>3</v>
      </c>
      <c r="M953">
        <v>300</v>
      </c>
      <c r="N953" s="12">
        <f>+gemini_code_1787702791259[[#This Row],[Cantidad]]*gemini_code_1787702791259[[#This Row],[Precio_Unitario_USD]]</f>
        <v>285</v>
      </c>
      <c r="O953" s="12">
        <f>+gemini_code_1787702791259[[#This Row],[Cantidad]]*gemini_code_1787702791259[[#This Row],[Costo_Unitario_USD]]</f>
        <v>135</v>
      </c>
      <c r="P953" s="12">
        <f>+gemini_code_1787702791259[[#This Row],[venta total]]-gemini_code_1787702791259[[#This Row],[Costo total]]</f>
        <v>150</v>
      </c>
      <c r="Q953" s="2">
        <f>gemini_code_1787702791259[[#This Row],[Ganancia bruta]]/gemini_code_1787702791259[[#This Row],[venta total]]</f>
        <v>0.52631578947368418</v>
      </c>
      <c r="R953" t="str">
        <f>IF(gemini_code_1787702791259[[#This Row],[Dias_Entrega]]&lt;=gemini_code_1787702791259[[#This Row],[Promesa_SLA_Dias]],"A tiempo","Fuera de SLA")</f>
        <v>A tiempo</v>
      </c>
    </row>
    <row r="954" spans="1:18" x14ac:dyDescent="0.25">
      <c r="A954" t="s">
        <v>69</v>
      </c>
      <c r="B954" s="1">
        <v>46242</v>
      </c>
      <c r="C954" t="s">
        <v>20</v>
      </c>
      <c r="D954" t="s">
        <v>21</v>
      </c>
      <c r="E954" t="s">
        <v>16</v>
      </c>
      <c r="F954" t="s">
        <v>28</v>
      </c>
      <c r="G954" t="s">
        <v>70</v>
      </c>
      <c r="H954">
        <v>4</v>
      </c>
      <c r="I954" s="12">
        <v>160</v>
      </c>
      <c r="J954" s="12">
        <v>95</v>
      </c>
      <c r="K954">
        <v>2</v>
      </c>
      <c r="L954">
        <v>3</v>
      </c>
      <c r="M954">
        <v>600</v>
      </c>
      <c r="N954" s="12">
        <f>+gemini_code_1787702791259[[#This Row],[Cantidad]]*gemini_code_1787702791259[[#This Row],[Precio_Unitario_USD]]</f>
        <v>640</v>
      </c>
      <c r="O954" s="12">
        <f>+gemini_code_1787702791259[[#This Row],[Cantidad]]*gemini_code_1787702791259[[#This Row],[Costo_Unitario_USD]]</f>
        <v>380</v>
      </c>
      <c r="P954" s="12">
        <f>+gemini_code_1787702791259[[#This Row],[venta total]]-gemini_code_1787702791259[[#This Row],[Costo total]]</f>
        <v>260</v>
      </c>
      <c r="Q954" s="2">
        <f>gemini_code_1787702791259[[#This Row],[Ganancia bruta]]/gemini_code_1787702791259[[#This Row],[venta total]]</f>
        <v>0.40625</v>
      </c>
      <c r="R954" t="str">
        <f>IF(gemini_code_1787702791259[[#This Row],[Dias_Entrega]]&lt;=gemini_code_1787702791259[[#This Row],[Promesa_SLA_Dias]],"A tiempo","Fuera de SLA")</f>
        <v>A tiempo</v>
      </c>
    </row>
    <row r="955" spans="1:18" x14ac:dyDescent="0.25">
      <c r="A955" t="s">
        <v>71</v>
      </c>
      <c r="B955" s="1">
        <v>46242</v>
      </c>
      <c r="C955" t="s">
        <v>26</v>
      </c>
      <c r="D955" t="s">
        <v>27</v>
      </c>
      <c r="E955" t="s">
        <v>22</v>
      </c>
      <c r="F955" t="s">
        <v>31</v>
      </c>
      <c r="G955" t="s">
        <v>72</v>
      </c>
      <c r="H955">
        <v>7</v>
      </c>
      <c r="I955" s="12">
        <v>90</v>
      </c>
      <c r="J955" s="12">
        <v>45</v>
      </c>
      <c r="K955">
        <v>4</v>
      </c>
      <c r="L955">
        <v>3</v>
      </c>
      <c r="M955">
        <v>600</v>
      </c>
      <c r="N955" s="12">
        <f>+gemini_code_1787702791259[[#This Row],[Cantidad]]*gemini_code_1787702791259[[#This Row],[Precio_Unitario_USD]]</f>
        <v>630</v>
      </c>
      <c r="O955" s="12">
        <f>+gemini_code_1787702791259[[#This Row],[Cantidad]]*gemini_code_1787702791259[[#This Row],[Costo_Unitario_USD]]</f>
        <v>315</v>
      </c>
      <c r="P955" s="12">
        <f>+gemini_code_1787702791259[[#This Row],[venta total]]-gemini_code_1787702791259[[#This Row],[Costo total]]</f>
        <v>315</v>
      </c>
      <c r="Q955" s="2">
        <f>gemini_code_1787702791259[[#This Row],[Ganancia bruta]]/gemini_code_1787702791259[[#This Row],[venta total]]</f>
        <v>0.5</v>
      </c>
      <c r="R955" t="str">
        <f>IF(gemini_code_1787702791259[[#This Row],[Dias_Entrega]]&lt;=gemini_code_1787702791259[[#This Row],[Promesa_SLA_Dias]],"A tiempo","Fuera de SLA")</f>
        <v>Fuera de SLA</v>
      </c>
    </row>
    <row r="956" spans="1:18" x14ac:dyDescent="0.25">
      <c r="A956" t="s">
        <v>73</v>
      </c>
      <c r="B956" s="1">
        <v>46243</v>
      </c>
      <c r="C956" t="s">
        <v>14</v>
      </c>
      <c r="D956" t="s">
        <v>15</v>
      </c>
      <c r="E956" t="s">
        <v>22</v>
      </c>
      <c r="F956" t="s">
        <v>17</v>
      </c>
      <c r="G956" t="s">
        <v>74</v>
      </c>
      <c r="H956">
        <v>3</v>
      </c>
      <c r="I956" s="12">
        <v>310</v>
      </c>
      <c r="J956" s="12">
        <v>210</v>
      </c>
      <c r="K956">
        <v>2</v>
      </c>
      <c r="L956">
        <v>3</v>
      </c>
      <c r="M956">
        <v>900</v>
      </c>
      <c r="N956" s="12">
        <f>+gemini_code_1787702791259[[#This Row],[Cantidad]]*gemini_code_1787702791259[[#This Row],[Precio_Unitario_USD]]</f>
        <v>930</v>
      </c>
      <c r="O956" s="12">
        <f>+gemini_code_1787702791259[[#This Row],[Cantidad]]*gemini_code_1787702791259[[#This Row],[Costo_Unitario_USD]]</f>
        <v>630</v>
      </c>
      <c r="P956" s="12">
        <f>+gemini_code_1787702791259[[#This Row],[venta total]]-gemini_code_1787702791259[[#This Row],[Costo total]]</f>
        <v>300</v>
      </c>
      <c r="Q956" s="2">
        <f>gemini_code_1787702791259[[#This Row],[Ganancia bruta]]/gemini_code_1787702791259[[#This Row],[venta total]]</f>
        <v>0.32258064516129031</v>
      </c>
      <c r="R956" t="str">
        <f>IF(gemini_code_1787702791259[[#This Row],[Dias_Entrega]]&lt;=gemini_code_1787702791259[[#This Row],[Promesa_SLA_Dias]],"A tiempo","Fuera de SLA")</f>
        <v>A tiempo</v>
      </c>
    </row>
    <row r="957" spans="1:18" x14ac:dyDescent="0.25">
      <c r="A957" t="s">
        <v>75</v>
      </c>
      <c r="B957" s="1">
        <v>46243</v>
      </c>
      <c r="C957" t="s">
        <v>20</v>
      </c>
      <c r="D957" t="s">
        <v>21</v>
      </c>
      <c r="E957" t="s">
        <v>16</v>
      </c>
      <c r="F957" t="s">
        <v>23</v>
      </c>
      <c r="G957" t="s">
        <v>76</v>
      </c>
      <c r="H957">
        <v>8</v>
      </c>
      <c r="I957" s="12">
        <v>50</v>
      </c>
      <c r="J957" s="12">
        <v>22</v>
      </c>
      <c r="K957">
        <v>2</v>
      </c>
      <c r="L957">
        <v>3</v>
      </c>
      <c r="M957">
        <v>400</v>
      </c>
      <c r="N957" s="12">
        <f>+gemini_code_1787702791259[[#This Row],[Cantidad]]*gemini_code_1787702791259[[#This Row],[Precio_Unitario_USD]]</f>
        <v>400</v>
      </c>
      <c r="O957" s="12">
        <f>+gemini_code_1787702791259[[#This Row],[Cantidad]]*gemini_code_1787702791259[[#This Row],[Costo_Unitario_USD]]</f>
        <v>176</v>
      </c>
      <c r="P957" s="12">
        <f>+gemini_code_1787702791259[[#This Row],[venta total]]-gemini_code_1787702791259[[#This Row],[Costo total]]</f>
        <v>224</v>
      </c>
      <c r="Q957" s="2">
        <f>gemini_code_1787702791259[[#This Row],[Ganancia bruta]]/gemini_code_1787702791259[[#This Row],[venta total]]</f>
        <v>0.56000000000000005</v>
      </c>
      <c r="R957" t="str">
        <f>IF(gemini_code_1787702791259[[#This Row],[Dias_Entrega]]&lt;=gemini_code_1787702791259[[#This Row],[Promesa_SLA_Dias]],"A tiempo","Fuera de SLA")</f>
        <v>A tiempo</v>
      </c>
    </row>
    <row r="958" spans="1:18" x14ac:dyDescent="0.25">
      <c r="A958" t="s">
        <v>77</v>
      </c>
      <c r="B958" s="1">
        <v>46243</v>
      </c>
      <c r="C958" t="s">
        <v>26</v>
      </c>
      <c r="D958" t="s">
        <v>27</v>
      </c>
      <c r="E958" t="s">
        <v>16</v>
      </c>
      <c r="F958" t="s">
        <v>28</v>
      </c>
      <c r="G958" t="s">
        <v>78</v>
      </c>
      <c r="H958">
        <v>1</v>
      </c>
      <c r="I958" s="12">
        <v>750</v>
      </c>
      <c r="J958" s="12">
        <v>480</v>
      </c>
      <c r="K958">
        <v>8</v>
      </c>
      <c r="L958">
        <v>4</v>
      </c>
      <c r="M958">
        <v>700</v>
      </c>
      <c r="N958" s="12">
        <f>+gemini_code_1787702791259[[#This Row],[Cantidad]]*gemini_code_1787702791259[[#This Row],[Precio_Unitario_USD]]</f>
        <v>750</v>
      </c>
      <c r="O958" s="12">
        <f>+gemini_code_1787702791259[[#This Row],[Cantidad]]*gemini_code_1787702791259[[#This Row],[Costo_Unitario_USD]]</f>
        <v>480</v>
      </c>
      <c r="P958" s="12">
        <f>+gemini_code_1787702791259[[#This Row],[venta total]]-gemini_code_1787702791259[[#This Row],[Costo total]]</f>
        <v>270</v>
      </c>
      <c r="Q958" s="2">
        <f>gemini_code_1787702791259[[#This Row],[Ganancia bruta]]/gemini_code_1787702791259[[#This Row],[venta total]]</f>
        <v>0.36</v>
      </c>
      <c r="R958" t="str">
        <f>IF(gemini_code_1787702791259[[#This Row],[Dias_Entrega]]&lt;=gemini_code_1787702791259[[#This Row],[Promesa_SLA_Dias]],"A tiempo","Fuera de SLA")</f>
        <v>Fuera de SLA</v>
      </c>
    </row>
    <row r="959" spans="1:18" x14ac:dyDescent="0.25">
      <c r="A959" t="s">
        <v>79</v>
      </c>
      <c r="B959" s="1">
        <v>46244</v>
      </c>
      <c r="C959" t="s">
        <v>14</v>
      </c>
      <c r="D959" t="s">
        <v>15</v>
      </c>
      <c r="E959" t="s">
        <v>16</v>
      </c>
      <c r="F959" t="s">
        <v>31</v>
      </c>
      <c r="G959" t="s">
        <v>80</v>
      </c>
      <c r="H959">
        <v>4</v>
      </c>
      <c r="I959" s="12">
        <v>140</v>
      </c>
      <c r="J959" s="12">
        <v>75</v>
      </c>
      <c r="K959">
        <v>3</v>
      </c>
      <c r="L959">
        <v>3</v>
      </c>
      <c r="M959">
        <v>500</v>
      </c>
      <c r="N959" s="12">
        <f>+gemini_code_1787702791259[[#This Row],[Cantidad]]*gemini_code_1787702791259[[#This Row],[Precio_Unitario_USD]]</f>
        <v>560</v>
      </c>
      <c r="O959" s="12">
        <f>+gemini_code_1787702791259[[#This Row],[Cantidad]]*gemini_code_1787702791259[[#This Row],[Costo_Unitario_USD]]</f>
        <v>300</v>
      </c>
      <c r="P959" s="12">
        <f>+gemini_code_1787702791259[[#This Row],[venta total]]-gemini_code_1787702791259[[#This Row],[Costo total]]</f>
        <v>260</v>
      </c>
      <c r="Q959" s="2">
        <f>gemini_code_1787702791259[[#This Row],[Ganancia bruta]]/gemini_code_1787702791259[[#This Row],[venta total]]</f>
        <v>0.4642857142857143</v>
      </c>
      <c r="R959" t="str">
        <f>IF(gemini_code_1787702791259[[#This Row],[Dias_Entrega]]&lt;=gemini_code_1787702791259[[#This Row],[Promesa_SLA_Dias]],"A tiempo","Fuera de SLA")</f>
        <v>A tiempo</v>
      </c>
    </row>
    <row r="960" spans="1:18" x14ac:dyDescent="0.25">
      <c r="A960" t="s">
        <v>81</v>
      </c>
      <c r="B960" s="1">
        <v>46244</v>
      </c>
      <c r="C960" t="s">
        <v>20</v>
      </c>
      <c r="D960" t="s">
        <v>21</v>
      </c>
      <c r="E960" t="s">
        <v>22</v>
      </c>
      <c r="F960" t="s">
        <v>17</v>
      </c>
      <c r="G960" t="s">
        <v>82</v>
      </c>
      <c r="H960">
        <v>6</v>
      </c>
      <c r="I960" s="12">
        <v>90</v>
      </c>
      <c r="J960" s="12">
        <v>50</v>
      </c>
      <c r="K960">
        <v>1</v>
      </c>
      <c r="L960">
        <v>2</v>
      </c>
      <c r="M960">
        <v>500</v>
      </c>
      <c r="N960" s="12">
        <f>+gemini_code_1787702791259[[#This Row],[Cantidad]]*gemini_code_1787702791259[[#This Row],[Precio_Unitario_USD]]</f>
        <v>540</v>
      </c>
      <c r="O960" s="12">
        <f>+gemini_code_1787702791259[[#This Row],[Cantidad]]*gemini_code_1787702791259[[#This Row],[Costo_Unitario_USD]]</f>
        <v>300</v>
      </c>
      <c r="P960" s="12">
        <f>+gemini_code_1787702791259[[#This Row],[venta total]]-gemini_code_1787702791259[[#This Row],[Costo total]]</f>
        <v>240</v>
      </c>
      <c r="Q960" s="2">
        <f>gemini_code_1787702791259[[#This Row],[Ganancia bruta]]/gemini_code_1787702791259[[#This Row],[venta total]]</f>
        <v>0.44444444444444442</v>
      </c>
      <c r="R960" t="str">
        <f>IF(gemini_code_1787702791259[[#This Row],[Dias_Entrega]]&lt;=gemini_code_1787702791259[[#This Row],[Promesa_SLA_Dias]],"A tiempo","Fuera de SLA")</f>
        <v>A tiempo</v>
      </c>
    </row>
    <row r="961" spans="1:18" x14ac:dyDescent="0.25">
      <c r="A961" t="s">
        <v>83</v>
      </c>
      <c r="B961" s="1">
        <v>46244</v>
      </c>
      <c r="C961" t="s">
        <v>26</v>
      </c>
      <c r="D961" t="s">
        <v>27</v>
      </c>
      <c r="E961" t="s">
        <v>16</v>
      </c>
      <c r="F961" t="s">
        <v>23</v>
      </c>
      <c r="G961" t="s">
        <v>84</v>
      </c>
      <c r="H961">
        <v>6</v>
      </c>
      <c r="I961" s="12">
        <v>60</v>
      </c>
      <c r="J961" s="12">
        <v>28</v>
      </c>
      <c r="K961">
        <v>5</v>
      </c>
      <c r="L961">
        <v>3</v>
      </c>
      <c r="M961">
        <v>350</v>
      </c>
      <c r="N961" s="12">
        <f>+gemini_code_1787702791259[[#This Row],[Cantidad]]*gemini_code_1787702791259[[#This Row],[Precio_Unitario_USD]]</f>
        <v>360</v>
      </c>
      <c r="O961" s="12">
        <f>+gemini_code_1787702791259[[#This Row],[Cantidad]]*gemini_code_1787702791259[[#This Row],[Costo_Unitario_USD]]</f>
        <v>168</v>
      </c>
      <c r="P961" s="12">
        <f>+gemini_code_1787702791259[[#This Row],[venta total]]-gemini_code_1787702791259[[#This Row],[Costo total]]</f>
        <v>192</v>
      </c>
      <c r="Q961" s="2">
        <f>gemini_code_1787702791259[[#This Row],[Ganancia bruta]]/gemini_code_1787702791259[[#This Row],[venta total]]</f>
        <v>0.53333333333333333</v>
      </c>
      <c r="R961" t="str">
        <f>IF(gemini_code_1787702791259[[#This Row],[Dias_Entrega]]&lt;=gemini_code_1787702791259[[#This Row],[Promesa_SLA_Dias]],"A tiempo","Fuera de SLA")</f>
        <v>Fuera de SLA</v>
      </c>
    </row>
    <row r="962" spans="1:18" x14ac:dyDescent="0.25">
      <c r="A962" t="s">
        <v>13</v>
      </c>
      <c r="B962" s="1">
        <v>46235</v>
      </c>
      <c r="C962" t="s">
        <v>14</v>
      </c>
      <c r="D962" t="s">
        <v>15</v>
      </c>
      <c r="E962" t="s">
        <v>16</v>
      </c>
      <c r="F962" t="s">
        <v>17</v>
      </c>
      <c r="G962" t="s">
        <v>18</v>
      </c>
      <c r="H962">
        <v>2</v>
      </c>
      <c r="I962" s="12">
        <v>850</v>
      </c>
      <c r="J962" s="12">
        <v>600</v>
      </c>
      <c r="K962">
        <v>2</v>
      </c>
      <c r="L962">
        <v>3</v>
      </c>
      <c r="M962">
        <v>1500</v>
      </c>
      <c r="N962" s="12">
        <f>+gemini_code_1787702791259[[#This Row],[Cantidad]]*gemini_code_1787702791259[[#This Row],[Precio_Unitario_USD]]</f>
        <v>1700</v>
      </c>
      <c r="O962" s="12">
        <f>+gemini_code_1787702791259[[#This Row],[Cantidad]]*gemini_code_1787702791259[[#This Row],[Costo_Unitario_USD]]</f>
        <v>1200</v>
      </c>
      <c r="P962" s="12">
        <f>+gemini_code_1787702791259[[#This Row],[venta total]]-gemini_code_1787702791259[[#This Row],[Costo total]]</f>
        <v>500</v>
      </c>
      <c r="Q962" s="2">
        <f>gemini_code_1787702791259[[#This Row],[Ganancia bruta]]/gemini_code_1787702791259[[#This Row],[venta total]]</f>
        <v>0.29411764705882354</v>
      </c>
      <c r="R962" t="str">
        <f>IF(gemini_code_1787702791259[[#This Row],[Dias_Entrega]]&lt;=gemini_code_1787702791259[[#This Row],[Promesa_SLA_Dias]],"A tiempo","Fuera de SLA")</f>
        <v>A tiempo</v>
      </c>
    </row>
    <row r="963" spans="1:18" x14ac:dyDescent="0.25">
      <c r="A963" t="s">
        <v>19</v>
      </c>
      <c r="B963" s="1">
        <v>46235</v>
      </c>
      <c r="C963" t="s">
        <v>20</v>
      </c>
      <c r="D963" t="s">
        <v>21</v>
      </c>
      <c r="E963" t="s">
        <v>22</v>
      </c>
      <c r="F963" t="s">
        <v>23</v>
      </c>
      <c r="G963" t="s">
        <v>24</v>
      </c>
      <c r="H963">
        <v>5</v>
      </c>
      <c r="I963" s="12">
        <v>120</v>
      </c>
      <c r="J963" s="12">
        <v>70</v>
      </c>
      <c r="K963">
        <v>3</v>
      </c>
      <c r="L963">
        <v>3</v>
      </c>
      <c r="M963">
        <v>500</v>
      </c>
      <c r="N963" s="12">
        <f>+gemini_code_1787702791259[[#This Row],[Cantidad]]*gemini_code_1787702791259[[#This Row],[Precio_Unitario_USD]]</f>
        <v>600</v>
      </c>
      <c r="O963" s="12">
        <f>+gemini_code_1787702791259[[#This Row],[Cantidad]]*gemini_code_1787702791259[[#This Row],[Costo_Unitario_USD]]</f>
        <v>350</v>
      </c>
      <c r="P963" s="12">
        <f>+gemini_code_1787702791259[[#This Row],[venta total]]-gemini_code_1787702791259[[#This Row],[Costo total]]</f>
        <v>250</v>
      </c>
      <c r="Q963" s="2">
        <f>gemini_code_1787702791259[[#This Row],[Ganancia bruta]]/gemini_code_1787702791259[[#This Row],[venta total]]</f>
        <v>0.41666666666666669</v>
      </c>
      <c r="R963" t="str">
        <f>IF(gemini_code_1787702791259[[#This Row],[Dias_Entrega]]&lt;=gemini_code_1787702791259[[#This Row],[Promesa_SLA_Dias]],"A tiempo","Fuera de SLA")</f>
        <v>A tiempo</v>
      </c>
    </row>
    <row r="964" spans="1:18" x14ac:dyDescent="0.25">
      <c r="A964" t="s">
        <v>25</v>
      </c>
      <c r="B964" s="1">
        <v>46235</v>
      </c>
      <c r="C964" t="s">
        <v>26</v>
      </c>
      <c r="D964" t="s">
        <v>27</v>
      </c>
      <c r="E964" t="s">
        <v>16</v>
      </c>
      <c r="F964" t="s">
        <v>28</v>
      </c>
      <c r="G964" t="s">
        <v>29</v>
      </c>
      <c r="H964">
        <v>3</v>
      </c>
      <c r="I964" s="12">
        <v>90</v>
      </c>
      <c r="J964" s="12">
        <v>50</v>
      </c>
      <c r="K964">
        <v>6</v>
      </c>
      <c r="L964">
        <v>4</v>
      </c>
      <c r="M964">
        <v>300</v>
      </c>
      <c r="N964" s="12">
        <f>+gemini_code_1787702791259[[#This Row],[Cantidad]]*gemini_code_1787702791259[[#This Row],[Precio_Unitario_USD]]</f>
        <v>270</v>
      </c>
      <c r="O964" s="12">
        <f>+gemini_code_1787702791259[[#This Row],[Cantidad]]*gemini_code_1787702791259[[#This Row],[Costo_Unitario_USD]]</f>
        <v>150</v>
      </c>
      <c r="P964" s="12">
        <f>+gemini_code_1787702791259[[#This Row],[venta total]]-gemini_code_1787702791259[[#This Row],[Costo total]]</f>
        <v>120</v>
      </c>
      <c r="Q964" s="2">
        <f>gemini_code_1787702791259[[#This Row],[Ganancia bruta]]/gemini_code_1787702791259[[#This Row],[venta total]]</f>
        <v>0.44444444444444442</v>
      </c>
      <c r="R964" t="str">
        <f>IF(gemini_code_1787702791259[[#This Row],[Dias_Entrega]]&lt;=gemini_code_1787702791259[[#This Row],[Promesa_SLA_Dias]],"A tiempo","Fuera de SLA")</f>
        <v>Fuera de SLA</v>
      </c>
    </row>
    <row r="965" spans="1:18" x14ac:dyDescent="0.25">
      <c r="A965" t="s">
        <v>30</v>
      </c>
      <c r="B965" s="1">
        <v>46236</v>
      </c>
      <c r="C965" t="s">
        <v>14</v>
      </c>
      <c r="D965" t="s">
        <v>15</v>
      </c>
      <c r="E965" t="s">
        <v>22</v>
      </c>
      <c r="F965" t="s">
        <v>31</v>
      </c>
      <c r="G965" t="s">
        <v>32</v>
      </c>
      <c r="H965">
        <v>4</v>
      </c>
      <c r="I965" s="12">
        <v>110</v>
      </c>
      <c r="J965" s="12">
        <v>60</v>
      </c>
      <c r="K965">
        <v>1</v>
      </c>
      <c r="L965">
        <v>2</v>
      </c>
      <c r="M965">
        <v>400</v>
      </c>
      <c r="N965" s="12">
        <f>+gemini_code_1787702791259[[#This Row],[Cantidad]]*gemini_code_1787702791259[[#This Row],[Precio_Unitario_USD]]</f>
        <v>440</v>
      </c>
      <c r="O965" s="12">
        <f>+gemini_code_1787702791259[[#This Row],[Cantidad]]*gemini_code_1787702791259[[#This Row],[Costo_Unitario_USD]]</f>
        <v>240</v>
      </c>
      <c r="P965" s="12">
        <f>+gemini_code_1787702791259[[#This Row],[venta total]]-gemini_code_1787702791259[[#This Row],[Costo total]]</f>
        <v>200</v>
      </c>
      <c r="Q965" s="2">
        <f>gemini_code_1787702791259[[#This Row],[Ganancia bruta]]/gemini_code_1787702791259[[#This Row],[venta total]]</f>
        <v>0.45454545454545453</v>
      </c>
      <c r="R965" t="str">
        <f>IF(gemini_code_1787702791259[[#This Row],[Dias_Entrega]]&lt;=gemini_code_1787702791259[[#This Row],[Promesa_SLA_Dias]],"A tiempo","Fuera de SLA")</f>
        <v>A tiempo</v>
      </c>
    </row>
    <row r="966" spans="1:18" x14ac:dyDescent="0.25">
      <c r="A966" t="s">
        <v>33</v>
      </c>
      <c r="B966" s="1">
        <v>46236</v>
      </c>
      <c r="C966" t="s">
        <v>20</v>
      </c>
      <c r="D966" t="s">
        <v>21</v>
      </c>
      <c r="E966" t="s">
        <v>16</v>
      </c>
      <c r="F966" t="s">
        <v>17</v>
      </c>
      <c r="G966" t="s">
        <v>34</v>
      </c>
      <c r="H966">
        <v>3</v>
      </c>
      <c r="I966" s="12">
        <v>650</v>
      </c>
      <c r="J966" s="12">
        <v>450</v>
      </c>
      <c r="K966">
        <v>2</v>
      </c>
      <c r="L966">
        <v>3</v>
      </c>
      <c r="M966">
        <v>1800</v>
      </c>
      <c r="N966" s="12">
        <f>+gemini_code_1787702791259[[#This Row],[Cantidad]]*gemini_code_1787702791259[[#This Row],[Precio_Unitario_USD]]</f>
        <v>1950</v>
      </c>
      <c r="O966" s="12">
        <f>+gemini_code_1787702791259[[#This Row],[Cantidad]]*gemini_code_1787702791259[[#This Row],[Costo_Unitario_USD]]</f>
        <v>1350</v>
      </c>
      <c r="P966" s="12">
        <f>+gemini_code_1787702791259[[#This Row],[venta total]]-gemini_code_1787702791259[[#This Row],[Costo total]]</f>
        <v>600</v>
      </c>
      <c r="Q966" s="2">
        <f>gemini_code_1787702791259[[#This Row],[Ganancia bruta]]/gemini_code_1787702791259[[#This Row],[venta total]]</f>
        <v>0.30769230769230771</v>
      </c>
      <c r="R966" t="str">
        <f>IF(gemini_code_1787702791259[[#This Row],[Dias_Entrega]]&lt;=gemini_code_1787702791259[[#This Row],[Promesa_SLA_Dias]],"A tiempo","Fuera de SLA")</f>
        <v>A tiempo</v>
      </c>
    </row>
    <row r="967" spans="1:18" x14ac:dyDescent="0.25">
      <c r="A967" t="s">
        <v>35</v>
      </c>
      <c r="B967" s="1">
        <v>46236</v>
      </c>
      <c r="C967" t="s">
        <v>26</v>
      </c>
      <c r="D967" t="s">
        <v>27</v>
      </c>
      <c r="E967" t="s">
        <v>16</v>
      </c>
      <c r="F967" t="s">
        <v>23</v>
      </c>
      <c r="G967" t="s">
        <v>36</v>
      </c>
      <c r="H967">
        <v>8</v>
      </c>
      <c r="I967" s="12">
        <v>45</v>
      </c>
      <c r="J967" s="12">
        <v>20</v>
      </c>
      <c r="K967">
        <v>5</v>
      </c>
      <c r="L967">
        <v>3</v>
      </c>
      <c r="M967">
        <v>400</v>
      </c>
      <c r="N967" s="12">
        <f>+gemini_code_1787702791259[[#This Row],[Cantidad]]*gemini_code_1787702791259[[#This Row],[Precio_Unitario_USD]]</f>
        <v>360</v>
      </c>
      <c r="O967" s="12">
        <f>+gemini_code_1787702791259[[#This Row],[Cantidad]]*gemini_code_1787702791259[[#This Row],[Costo_Unitario_USD]]</f>
        <v>160</v>
      </c>
      <c r="P967" s="12">
        <f>+gemini_code_1787702791259[[#This Row],[venta total]]-gemini_code_1787702791259[[#This Row],[Costo total]]</f>
        <v>200</v>
      </c>
      <c r="Q967" s="2">
        <f>gemini_code_1787702791259[[#This Row],[Ganancia bruta]]/gemini_code_1787702791259[[#This Row],[venta total]]</f>
        <v>0.55555555555555558</v>
      </c>
      <c r="R967" t="str">
        <f>IF(gemini_code_1787702791259[[#This Row],[Dias_Entrega]]&lt;=gemini_code_1787702791259[[#This Row],[Promesa_SLA_Dias]],"A tiempo","Fuera de SLA")</f>
        <v>Fuera de SLA</v>
      </c>
    </row>
    <row r="968" spans="1:18" x14ac:dyDescent="0.25">
      <c r="A968" t="s">
        <v>37</v>
      </c>
      <c r="B968" s="1">
        <v>46237</v>
      </c>
      <c r="C968" t="s">
        <v>14</v>
      </c>
      <c r="D968" t="s">
        <v>15</v>
      </c>
      <c r="E968" t="s">
        <v>16</v>
      </c>
      <c r="F968" t="s">
        <v>28</v>
      </c>
      <c r="G968" t="s">
        <v>38</v>
      </c>
      <c r="H968">
        <v>2</v>
      </c>
      <c r="I968" s="12">
        <v>280</v>
      </c>
      <c r="J968" s="12">
        <v>180</v>
      </c>
      <c r="K968">
        <v>3</v>
      </c>
      <c r="L968">
        <v>3</v>
      </c>
      <c r="M968">
        <v>500</v>
      </c>
      <c r="N968" s="12">
        <f>+gemini_code_1787702791259[[#This Row],[Cantidad]]*gemini_code_1787702791259[[#This Row],[Precio_Unitario_USD]]</f>
        <v>560</v>
      </c>
      <c r="O968" s="12">
        <f>+gemini_code_1787702791259[[#This Row],[Cantidad]]*gemini_code_1787702791259[[#This Row],[Costo_Unitario_USD]]</f>
        <v>360</v>
      </c>
      <c r="P968" s="12">
        <f>+gemini_code_1787702791259[[#This Row],[venta total]]-gemini_code_1787702791259[[#This Row],[Costo total]]</f>
        <v>200</v>
      </c>
      <c r="Q968" s="2">
        <f>gemini_code_1787702791259[[#This Row],[Ganancia bruta]]/gemini_code_1787702791259[[#This Row],[venta total]]</f>
        <v>0.35714285714285715</v>
      </c>
      <c r="R968" t="str">
        <f>IF(gemini_code_1787702791259[[#This Row],[Dias_Entrega]]&lt;=gemini_code_1787702791259[[#This Row],[Promesa_SLA_Dias]],"A tiempo","Fuera de SLA")</f>
        <v>A tiempo</v>
      </c>
    </row>
    <row r="969" spans="1:18" x14ac:dyDescent="0.25">
      <c r="A969" t="s">
        <v>39</v>
      </c>
      <c r="B969" s="1">
        <v>46237</v>
      </c>
      <c r="C969" t="s">
        <v>20</v>
      </c>
      <c r="D969" t="s">
        <v>21</v>
      </c>
      <c r="E969" t="s">
        <v>22</v>
      </c>
      <c r="F969" t="s">
        <v>31</v>
      </c>
      <c r="G969" t="s">
        <v>40</v>
      </c>
      <c r="H969">
        <v>3</v>
      </c>
      <c r="I969" s="12">
        <v>150</v>
      </c>
      <c r="J969" s="12">
        <v>85</v>
      </c>
      <c r="K969">
        <v>2</v>
      </c>
      <c r="L969">
        <v>2</v>
      </c>
      <c r="M969">
        <v>400</v>
      </c>
      <c r="N969" s="12">
        <f>+gemini_code_1787702791259[[#This Row],[Cantidad]]*gemini_code_1787702791259[[#This Row],[Precio_Unitario_USD]]</f>
        <v>450</v>
      </c>
      <c r="O969" s="12">
        <f>+gemini_code_1787702791259[[#This Row],[Cantidad]]*gemini_code_1787702791259[[#This Row],[Costo_Unitario_USD]]</f>
        <v>255</v>
      </c>
      <c r="P969" s="12">
        <f>+gemini_code_1787702791259[[#This Row],[venta total]]-gemini_code_1787702791259[[#This Row],[Costo total]]</f>
        <v>195</v>
      </c>
      <c r="Q969" s="2">
        <f>gemini_code_1787702791259[[#This Row],[Ganancia bruta]]/gemini_code_1787702791259[[#This Row],[venta total]]</f>
        <v>0.43333333333333335</v>
      </c>
      <c r="R969" t="str">
        <f>IF(gemini_code_1787702791259[[#This Row],[Dias_Entrega]]&lt;=gemini_code_1787702791259[[#This Row],[Promesa_SLA_Dias]],"A tiempo","Fuera de SLA")</f>
        <v>A tiempo</v>
      </c>
    </row>
    <row r="970" spans="1:18" x14ac:dyDescent="0.25">
      <c r="A970" t="s">
        <v>41</v>
      </c>
      <c r="B970" s="1">
        <v>46237</v>
      </c>
      <c r="C970" t="s">
        <v>26</v>
      </c>
      <c r="D970" t="s">
        <v>27</v>
      </c>
      <c r="E970" t="s">
        <v>16</v>
      </c>
      <c r="F970" t="s">
        <v>17</v>
      </c>
      <c r="G970" t="s">
        <v>42</v>
      </c>
      <c r="H970">
        <v>2</v>
      </c>
      <c r="I970" s="12">
        <v>520</v>
      </c>
      <c r="J970" s="12">
        <v>380</v>
      </c>
      <c r="K970">
        <v>7</v>
      </c>
      <c r="L970">
        <v>4</v>
      </c>
      <c r="M970">
        <v>1000</v>
      </c>
      <c r="N970" s="12">
        <f>+gemini_code_1787702791259[[#This Row],[Cantidad]]*gemini_code_1787702791259[[#This Row],[Precio_Unitario_USD]]</f>
        <v>1040</v>
      </c>
      <c r="O970" s="12">
        <f>+gemini_code_1787702791259[[#This Row],[Cantidad]]*gemini_code_1787702791259[[#This Row],[Costo_Unitario_USD]]</f>
        <v>760</v>
      </c>
      <c r="P970" s="12">
        <f>+gemini_code_1787702791259[[#This Row],[venta total]]-gemini_code_1787702791259[[#This Row],[Costo total]]</f>
        <v>280</v>
      </c>
      <c r="Q970" s="2">
        <f>gemini_code_1787702791259[[#This Row],[Ganancia bruta]]/gemini_code_1787702791259[[#This Row],[venta total]]</f>
        <v>0.26923076923076922</v>
      </c>
      <c r="R970" t="str">
        <f>IF(gemini_code_1787702791259[[#This Row],[Dias_Entrega]]&lt;=gemini_code_1787702791259[[#This Row],[Promesa_SLA_Dias]],"A tiempo","Fuera de SLA")</f>
        <v>Fuera de SLA</v>
      </c>
    </row>
    <row r="971" spans="1:18" x14ac:dyDescent="0.25">
      <c r="A971" t="s">
        <v>43</v>
      </c>
      <c r="B971" s="1">
        <v>46238</v>
      </c>
      <c r="C971" t="s">
        <v>14</v>
      </c>
      <c r="D971" t="s">
        <v>15</v>
      </c>
      <c r="E971" t="s">
        <v>22</v>
      </c>
      <c r="F971" t="s">
        <v>23</v>
      </c>
      <c r="G971" t="s">
        <v>44</v>
      </c>
      <c r="H971">
        <v>6</v>
      </c>
      <c r="I971" s="12">
        <v>55</v>
      </c>
      <c r="J971" s="12">
        <v>25</v>
      </c>
      <c r="K971">
        <v>2</v>
      </c>
      <c r="L971">
        <v>3</v>
      </c>
      <c r="M971">
        <v>300</v>
      </c>
      <c r="N971" s="12">
        <f>+gemini_code_1787702791259[[#This Row],[Cantidad]]*gemini_code_1787702791259[[#This Row],[Precio_Unitario_USD]]</f>
        <v>330</v>
      </c>
      <c r="O971" s="12">
        <f>+gemini_code_1787702791259[[#This Row],[Cantidad]]*gemini_code_1787702791259[[#This Row],[Costo_Unitario_USD]]</f>
        <v>150</v>
      </c>
      <c r="P971" s="12">
        <f>+gemini_code_1787702791259[[#This Row],[venta total]]-gemini_code_1787702791259[[#This Row],[Costo total]]</f>
        <v>180</v>
      </c>
      <c r="Q971" s="2">
        <f>gemini_code_1787702791259[[#This Row],[Ganancia bruta]]/gemini_code_1787702791259[[#This Row],[venta total]]</f>
        <v>0.54545454545454541</v>
      </c>
      <c r="R971" t="str">
        <f>IF(gemini_code_1787702791259[[#This Row],[Dias_Entrega]]&lt;=gemini_code_1787702791259[[#This Row],[Promesa_SLA_Dias]],"A tiempo","Fuera de SLA")</f>
        <v>A tiempo</v>
      </c>
    </row>
    <row r="972" spans="1:18" x14ac:dyDescent="0.25">
      <c r="A972" t="s">
        <v>45</v>
      </c>
      <c r="B972" s="1">
        <v>46238</v>
      </c>
      <c r="C972" t="s">
        <v>20</v>
      </c>
      <c r="D972" t="s">
        <v>21</v>
      </c>
      <c r="E972" t="s">
        <v>16</v>
      </c>
      <c r="F972" t="s">
        <v>28</v>
      </c>
      <c r="G972" t="s">
        <v>46</v>
      </c>
      <c r="H972">
        <v>1</v>
      </c>
      <c r="I972" s="12">
        <v>450</v>
      </c>
      <c r="J972" s="12">
        <v>290</v>
      </c>
      <c r="K972">
        <v>4</v>
      </c>
      <c r="L972">
        <v>3</v>
      </c>
      <c r="M972">
        <v>400</v>
      </c>
      <c r="N972" s="12">
        <f>+gemini_code_1787702791259[[#This Row],[Cantidad]]*gemini_code_1787702791259[[#This Row],[Precio_Unitario_USD]]</f>
        <v>450</v>
      </c>
      <c r="O972" s="12">
        <f>+gemini_code_1787702791259[[#This Row],[Cantidad]]*gemini_code_1787702791259[[#This Row],[Costo_Unitario_USD]]</f>
        <v>290</v>
      </c>
      <c r="P972" s="12">
        <f>+gemini_code_1787702791259[[#This Row],[venta total]]-gemini_code_1787702791259[[#This Row],[Costo total]]</f>
        <v>160</v>
      </c>
      <c r="Q972" s="2">
        <f>gemini_code_1787702791259[[#This Row],[Ganancia bruta]]/gemini_code_1787702791259[[#This Row],[venta total]]</f>
        <v>0.35555555555555557</v>
      </c>
      <c r="R972" t="str">
        <f>IF(gemini_code_1787702791259[[#This Row],[Dias_Entrega]]&lt;=gemini_code_1787702791259[[#This Row],[Promesa_SLA_Dias]],"A tiempo","Fuera de SLA")</f>
        <v>Fuera de SLA</v>
      </c>
    </row>
    <row r="973" spans="1:18" x14ac:dyDescent="0.25">
      <c r="A973" t="s">
        <v>47</v>
      </c>
      <c r="B973" s="1">
        <v>46238</v>
      </c>
      <c r="C973" t="s">
        <v>26</v>
      </c>
      <c r="D973" t="s">
        <v>27</v>
      </c>
      <c r="E973" t="s">
        <v>22</v>
      </c>
      <c r="F973" t="s">
        <v>31</v>
      </c>
      <c r="G973" t="s">
        <v>48</v>
      </c>
      <c r="H973">
        <v>10</v>
      </c>
      <c r="I973" s="12">
        <v>35</v>
      </c>
      <c r="J973" s="12">
        <v>15</v>
      </c>
      <c r="K973">
        <v>4</v>
      </c>
      <c r="L973">
        <v>3</v>
      </c>
      <c r="M973">
        <v>300</v>
      </c>
      <c r="N973" s="12">
        <f>+gemini_code_1787702791259[[#This Row],[Cantidad]]*gemini_code_1787702791259[[#This Row],[Precio_Unitario_USD]]</f>
        <v>350</v>
      </c>
      <c r="O973" s="12">
        <f>+gemini_code_1787702791259[[#This Row],[Cantidad]]*gemini_code_1787702791259[[#This Row],[Costo_Unitario_USD]]</f>
        <v>150</v>
      </c>
      <c r="P973" s="12">
        <f>+gemini_code_1787702791259[[#This Row],[venta total]]-gemini_code_1787702791259[[#This Row],[Costo total]]</f>
        <v>200</v>
      </c>
      <c r="Q973" s="2">
        <f>gemini_code_1787702791259[[#This Row],[Ganancia bruta]]/gemini_code_1787702791259[[#This Row],[venta total]]</f>
        <v>0.5714285714285714</v>
      </c>
      <c r="R973" t="str">
        <f>IF(gemini_code_1787702791259[[#This Row],[Dias_Entrega]]&lt;=gemini_code_1787702791259[[#This Row],[Promesa_SLA_Dias]],"A tiempo","Fuera de SLA")</f>
        <v>Fuera de SLA</v>
      </c>
    </row>
    <row r="974" spans="1:18" x14ac:dyDescent="0.25">
      <c r="A974" t="s">
        <v>49</v>
      </c>
      <c r="B974" s="1">
        <v>46239</v>
      </c>
      <c r="C974" t="s">
        <v>14</v>
      </c>
      <c r="D974" t="s">
        <v>15</v>
      </c>
      <c r="E974" t="s">
        <v>16</v>
      </c>
      <c r="F974" t="s">
        <v>17</v>
      </c>
      <c r="G974" t="s">
        <v>50</v>
      </c>
      <c r="H974">
        <v>4</v>
      </c>
      <c r="I974" s="12">
        <v>220</v>
      </c>
      <c r="J974" s="12">
        <v>140</v>
      </c>
      <c r="K974">
        <v>2</v>
      </c>
      <c r="L974">
        <v>3</v>
      </c>
      <c r="M974">
        <v>800</v>
      </c>
      <c r="N974" s="12">
        <f>+gemini_code_1787702791259[[#This Row],[Cantidad]]*gemini_code_1787702791259[[#This Row],[Precio_Unitario_USD]]</f>
        <v>880</v>
      </c>
      <c r="O974" s="12">
        <f>+gemini_code_1787702791259[[#This Row],[Cantidad]]*gemini_code_1787702791259[[#This Row],[Costo_Unitario_USD]]</f>
        <v>560</v>
      </c>
      <c r="P974" s="12">
        <f>+gemini_code_1787702791259[[#This Row],[venta total]]-gemini_code_1787702791259[[#This Row],[Costo total]]</f>
        <v>320</v>
      </c>
      <c r="Q974" s="2">
        <f>gemini_code_1787702791259[[#This Row],[Ganancia bruta]]/gemini_code_1787702791259[[#This Row],[venta total]]</f>
        <v>0.36363636363636365</v>
      </c>
      <c r="R974" t="str">
        <f>IF(gemini_code_1787702791259[[#This Row],[Dias_Entrega]]&lt;=gemini_code_1787702791259[[#This Row],[Promesa_SLA_Dias]],"A tiempo","Fuera de SLA")</f>
        <v>A tiempo</v>
      </c>
    </row>
    <row r="975" spans="1:18" x14ac:dyDescent="0.25">
      <c r="A975" t="s">
        <v>51</v>
      </c>
      <c r="B975" s="1">
        <v>46239</v>
      </c>
      <c r="C975" t="s">
        <v>20</v>
      </c>
      <c r="D975" t="s">
        <v>21</v>
      </c>
      <c r="E975" t="s">
        <v>16</v>
      </c>
      <c r="F975" t="s">
        <v>23</v>
      </c>
      <c r="G975" t="s">
        <v>52</v>
      </c>
      <c r="H975">
        <v>5</v>
      </c>
      <c r="I975" s="12">
        <v>65</v>
      </c>
      <c r="J975" s="12">
        <v>30</v>
      </c>
      <c r="K975">
        <v>2</v>
      </c>
      <c r="L975">
        <v>3</v>
      </c>
      <c r="M975">
        <v>300</v>
      </c>
      <c r="N975" s="12">
        <f>+gemini_code_1787702791259[[#This Row],[Cantidad]]*gemini_code_1787702791259[[#This Row],[Precio_Unitario_USD]]</f>
        <v>325</v>
      </c>
      <c r="O975" s="12">
        <f>+gemini_code_1787702791259[[#This Row],[Cantidad]]*gemini_code_1787702791259[[#This Row],[Costo_Unitario_USD]]</f>
        <v>150</v>
      </c>
      <c r="P975" s="12">
        <f>+gemini_code_1787702791259[[#This Row],[venta total]]-gemini_code_1787702791259[[#This Row],[Costo total]]</f>
        <v>175</v>
      </c>
      <c r="Q975" s="2">
        <f>gemini_code_1787702791259[[#This Row],[Ganancia bruta]]/gemini_code_1787702791259[[#This Row],[venta total]]</f>
        <v>0.53846153846153844</v>
      </c>
      <c r="R975" t="str">
        <f>IF(gemini_code_1787702791259[[#This Row],[Dias_Entrega]]&lt;=gemini_code_1787702791259[[#This Row],[Promesa_SLA_Dias]],"A tiempo","Fuera de SLA")</f>
        <v>A tiempo</v>
      </c>
    </row>
    <row r="976" spans="1:18" x14ac:dyDescent="0.25">
      <c r="A976" t="s">
        <v>53</v>
      </c>
      <c r="B976" s="1">
        <v>46239</v>
      </c>
      <c r="C976" t="s">
        <v>26</v>
      </c>
      <c r="D976" t="s">
        <v>27</v>
      </c>
      <c r="E976" t="s">
        <v>16</v>
      </c>
      <c r="F976" t="s">
        <v>28</v>
      </c>
      <c r="G976" t="s">
        <v>54</v>
      </c>
      <c r="H976">
        <v>2</v>
      </c>
      <c r="I976" s="12">
        <v>180</v>
      </c>
      <c r="J976" s="12">
        <v>110</v>
      </c>
      <c r="K976">
        <v>6</v>
      </c>
      <c r="L976">
        <v>3</v>
      </c>
      <c r="M976">
        <v>350</v>
      </c>
      <c r="N976" s="12">
        <f>+gemini_code_1787702791259[[#This Row],[Cantidad]]*gemini_code_1787702791259[[#This Row],[Precio_Unitario_USD]]</f>
        <v>360</v>
      </c>
      <c r="O976" s="12">
        <f>+gemini_code_1787702791259[[#This Row],[Cantidad]]*gemini_code_1787702791259[[#This Row],[Costo_Unitario_USD]]</f>
        <v>220</v>
      </c>
      <c r="P976" s="12">
        <f>+gemini_code_1787702791259[[#This Row],[venta total]]-gemini_code_1787702791259[[#This Row],[Costo total]]</f>
        <v>140</v>
      </c>
      <c r="Q976" s="2">
        <f>gemini_code_1787702791259[[#This Row],[Ganancia bruta]]/gemini_code_1787702791259[[#This Row],[venta total]]</f>
        <v>0.3888888888888889</v>
      </c>
      <c r="R976" t="str">
        <f>IF(gemini_code_1787702791259[[#This Row],[Dias_Entrega]]&lt;=gemini_code_1787702791259[[#This Row],[Promesa_SLA_Dias]],"A tiempo","Fuera de SLA")</f>
        <v>Fuera de SLA</v>
      </c>
    </row>
    <row r="977" spans="1:18" x14ac:dyDescent="0.25">
      <c r="A977" t="s">
        <v>55</v>
      </c>
      <c r="B977" s="1">
        <v>46240</v>
      </c>
      <c r="C977" t="s">
        <v>14</v>
      </c>
      <c r="D977" t="s">
        <v>15</v>
      </c>
      <c r="E977" t="s">
        <v>22</v>
      </c>
      <c r="F977" t="s">
        <v>31</v>
      </c>
      <c r="G977" t="s">
        <v>56</v>
      </c>
      <c r="H977">
        <v>6</v>
      </c>
      <c r="I977" s="12">
        <v>85</v>
      </c>
      <c r="J977" s="12">
        <v>45</v>
      </c>
      <c r="K977">
        <v>1</v>
      </c>
      <c r="L977">
        <v>2</v>
      </c>
      <c r="M977">
        <v>500</v>
      </c>
      <c r="N977" s="12">
        <f>+gemini_code_1787702791259[[#This Row],[Cantidad]]*gemini_code_1787702791259[[#This Row],[Precio_Unitario_USD]]</f>
        <v>510</v>
      </c>
      <c r="O977" s="12">
        <f>+gemini_code_1787702791259[[#This Row],[Cantidad]]*gemini_code_1787702791259[[#This Row],[Costo_Unitario_USD]]</f>
        <v>270</v>
      </c>
      <c r="P977" s="12">
        <f>+gemini_code_1787702791259[[#This Row],[venta total]]-gemini_code_1787702791259[[#This Row],[Costo total]]</f>
        <v>240</v>
      </c>
      <c r="Q977" s="2">
        <f>gemini_code_1787702791259[[#This Row],[Ganancia bruta]]/gemini_code_1787702791259[[#This Row],[venta total]]</f>
        <v>0.47058823529411764</v>
      </c>
      <c r="R977" t="str">
        <f>IF(gemini_code_1787702791259[[#This Row],[Dias_Entrega]]&lt;=gemini_code_1787702791259[[#This Row],[Promesa_SLA_Dias]],"A tiempo","Fuera de SLA")</f>
        <v>A tiempo</v>
      </c>
    </row>
    <row r="978" spans="1:18" x14ac:dyDescent="0.25">
      <c r="A978" t="s">
        <v>57</v>
      </c>
      <c r="B978" s="1">
        <v>46240</v>
      </c>
      <c r="C978" t="s">
        <v>20</v>
      </c>
      <c r="D978" t="s">
        <v>21</v>
      </c>
      <c r="E978" t="s">
        <v>16</v>
      </c>
      <c r="F978" t="s">
        <v>17</v>
      </c>
      <c r="G978" t="s">
        <v>58</v>
      </c>
      <c r="H978">
        <v>12</v>
      </c>
      <c r="I978" s="12">
        <v>75</v>
      </c>
      <c r="J978" s="12">
        <v>35</v>
      </c>
      <c r="K978">
        <v>1</v>
      </c>
      <c r="L978">
        <v>2</v>
      </c>
      <c r="M978">
        <v>800</v>
      </c>
      <c r="N978" s="12">
        <f>+gemini_code_1787702791259[[#This Row],[Cantidad]]*gemini_code_1787702791259[[#This Row],[Precio_Unitario_USD]]</f>
        <v>900</v>
      </c>
      <c r="O978" s="12">
        <f>+gemini_code_1787702791259[[#This Row],[Cantidad]]*gemini_code_1787702791259[[#This Row],[Costo_Unitario_USD]]</f>
        <v>420</v>
      </c>
      <c r="P978" s="12">
        <f>+gemini_code_1787702791259[[#This Row],[venta total]]-gemini_code_1787702791259[[#This Row],[Costo total]]</f>
        <v>480</v>
      </c>
      <c r="Q978" s="2">
        <f>gemini_code_1787702791259[[#This Row],[Ganancia bruta]]/gemini_code_1787702791259[[#This Row],[venta total]]</f>
        <v>0.53333333333333333</v>
      </c>
      <c r="R978" t="str">
        <f>IF(gemini_code_1787702791259[[#This Row],[Dias_Entrega]]&lt;=gemini_code_1787702791259[[#This Row],[Promesa_SLA_Dias]],"A tiempo","Fuera de SLA")</f>
        <v>A tiempo</v>
      </c>
    </row>
    <row r="979" spans="1:18" x14ac:dyDescent="0.25">
      <c r="A979" t="s">
        <v>59</v>
      </c>
      <c r="B979" s="1">
        <v>46240</v>
      </c>
      <c r="C979" t="s">
        <v>26</v>
      </c>
      <c r="D979" t="s">
        <v>27</v>
      </c>
      <c r="E979" t="s">
        <v>22</v>
      </c>
      <c r="F979" t="s">
        <v>23</v>
      </c>
      <c r="G979" t="s">
        <v>60</v>
      </c>
      <c r="H979">
        <v>4</v>
      </c>
      <c r="I979" s="12">
        <v>110</v>
      </c>
      <c r="J979" s="12">
        <v>55</v>
      </c>
      <c r="K979">
        <v>5</v>
      </c>
      <c r="L979">
        <v>3</v>
      </c>
      <c r="M979">
        <v>400</v>
      </c>
      <c r="N979" s="12">
        <f>+gemini_code_1787702791259[[#This Row],[Cantidad]]*gemini_code_1787702791259[[#This Row],[Precio_Unitario_USD]]</f>
        <v>440</v>
      </c>
      <c r="O979" s="12">
        <f>+gemini_code_1787702791259[[#This Row],[Cantidad]]*gemini_code_1787702791259[[#This Row],[Costo_Unitario_USD]]</f>
        <v>220</v>
      </c>
      <c r="P979" s="12">
        <f>+gemini_code_1787702791259[[#This Row],[venta total]]-gemini_code_1787702791259[[#This Row],[Costo total]]</f>
        <v>220</v>
      </c>
      <c r="Q979" s="2">
        <f>gemini_code_1787702791259[[#This Row],[Ganancia bruta]]/gemini_code_1787702791259[[#This Row],[venta total]]</f>
        <v>0.5</v>
      </c>
      <c r="R979" t="str">
        <f>IF(gemini_code_1787702791259[[#This Row],[Dias_Entrega]]&lt;=gemini_code_1787702791259[[#This Row],[Promesa_SLA_Dias]],"A tiempo","Fuera de SLA")</f>
        <v>Fuera de SLA</v>
      </c>
    </row>
    <row r="980" spans="1:18" x14ac:dyDescent="0.25">
      <c r="A980" t="s">
        <v>61</v>
      </c>
      <c r="B980" s="1">
        <v>46241</v>
      </c>
      <c r="C980" t="s">
        <v>14</v>
      </c>
      <c r="D980" t="s">
        <v>15</v>
      </c>
      <c r="E980" t="s">
        <v>16</v>
      </c>
      <c r="F980" t="s">
        <v>28</v>
      </c>
      <c r="G980" t="s">
        <v>62</v>
      </c>
      <c r="H980">
        <v>15</v>
      </c>
      <c r="I980" s="12">
        <v>25</v>
      </c>
      <c r="J980" s="12">
        <v>10</v>
      </c>
      <c r="K980">
        <v>2</v>
      </c>
      <c r="L980">
        <v>3</v>
      </c>
      <c r="M980">
        <v>300</v>
      </c>
      <c r="N980" s="12">
        <f>+gemini_code_1787702791259[[#This Row],[Cantidad]]*gemini_code_1787702791259[[#This Row],[Precio_Unitario_USD]]</f>
        <v>375</v>
      </c>
      <c r="O980" s="12">
        <f>+gemini_code_1787702791259[[#This Row],[Cantidad]]*gemini_code_1787702791259[[#This Row],[Costo_Unitario_USD]]</f>
        <v>150</v>
      </c>
      <c r="P980" s="12">
        <f>+gemini_code_1787702791259[[#This Row],[venta total]]-gemini_code_1787702791259[[#This Row],[Costo total]]</f>
        <v>225</v>
      </c>
      <c r="Q980" s="2">
        <f>gemini_code_1787702791259[[#This Row],[Ganancia bruta]]/gemini_code_1787702791259[[#This Row],[venta total]]</f>
        <v>0.6</v>
      </c>
      <c r="R980" t="str">
        <f>IF(gemini_code_1787702791259[[#This Row],[Dias_Entrega]]&lt;=gemini_code_1787702791259[[#This Row],[Promesa_SLA_Dias]],"A tiempo","Fuera de SLA")</f>
        <v>A tiempo</v>
      </c>
    </row>
    <row r="981" spans="1:18" x14ac:dyDescent="0.25">
      <c r="A981" t="s">
        <v>63</v>
      </c>
      <c r="B981" s="1">
        <v>46241</v>
      </c>
      <c r="C981" t="s">
        <v>20</v>
      </c>
      <c r="D981" t="s">
        <v>21</v>
      </c>
      <c r="E981" t="s">
        <v>22</v>
      </c>
      <c r="F981" t="s">
        <v>31</v>
      </c>
      <c r="G981" t="s">
        <v>64</v>
      </c>
      <c r="H981">
        <v>5</v>
      </c>
      <c r="I981" s="12">
        <v>130</v>
      </c>
      <c r="J981" s="12">
        <v>70</v>
      </c>
      <c r="K981">
        <v>3</v>
      </c>
      <c r="L981">
        <v>3</v>
      </c>
      <c r="M981">
        <v>600</v>
      </c>
      <c r="N981" s="12">
        <f>+gemini_code_1787702791259[[#This Row],[Cantidad]]*gemini_code_1787702791259[[#This Row],[Precio_Unitario_USD]]</f>
        <v>650</v>
      </c>
      <c r="O981" s="12">
        <f>+gemini_code_1787702791259[[#This Row],[Cantidad]]*gemini_code_1787702791259[[#This Row],[Costo_Unitario_USD]]</f>
        <v>350</v>
      </c>
      <c r="P981" s="12">
        <f>+gemini_code_1787702791259[[#This Row],[venta total]]-gemini_code_1787702791259[[#This Row],[Costo total]]</f>
        <v>300</v>
      </c>
      <c r="Q981" s="2">
        <f>gemini_code_1787702791259[[#This Row],[Ganancia bruta]]/gemini_code_1787702791259[[#This Row],[venta total]]</f>
        <v>0.46153846153846156</v>
      </c>
      <c r="R981" t="str">
        <f>IF(gemini_code_1787702791259[[#This Row],[Dias_Entrega]]&lt;=gemini_code_1787702791259[[#This Row],[Promesa_SLA_Dias]],"A tiempo","Fuera de SLA")</f>
        <v>A tiempo</v>
      </c>
    </row>
    <row r="982" spans="1:18" x14ac:dyDescent="0.25">
      <c r="A982" t="s">
        <v>65</v>
      </c>
      <c r="B982" s="1">
        <v>46241</v>
      </c>
      <c r="C982" t="s">
        <v>26</v>
      </c>
      <c r="D982" t="s">
        <v>27</v>
      </c>
      <c r="E982" t="s">
        <v>16</v>
      </c>
      <c r="F982" t="s">
        <v>17</v>
      </c>
      <c r="G982" t="s">
        <v>66</v>
      </c>
      <c r="H982">
        <v>2</v>
      </c>
      <c r="I982" s="12">
        <v>500</v>
      </c>
      <c r="J982" s="12">
        <v>380</v>
      </c>
      <c r="K982">
        <v>6</v>
      </c>
      <c r="L982">
        <v>4</v>
      </c>
      <c r="M982">
        <v>900</v>
      </c>
      <c r="N982" s="12">
        <f>+gemini_code_1787702791259[[#This Row],[Cantidad]]*gemini_code_1787702791259[[#This Row],[Precio_Unitario_USD]]</f>
        <v>1000</v>
      </c>
      <c r="O982" s="12">
        <f>+gemini_code_1787702791259[[#This Row],[Cantidad]]*gemini_code_1787702791259[[#This Row],[Costo_Unitario_USD]]</f>
        <v>760</v>
      </c>
      <c r="P982" s="12">
        <f>+gemini_code_1787702791259[[#This Row],[venta total]]-gemini_code_1787702791259[[#This Row],[Costo total]]</f>
        <v>240</v>
      </c>
      <c r="Q982" s="2">
        <f>gemini_code_1787702791259[[#This Row],[Ganancia bruta]]/gemini_code_1787702791259[[#This Row],[venta total]]</f>
        <v>0.24</v>
      </c>
      <c r="R982" t="str">
        <f>IF(gemini_code_1787702791259[[#This Row],[Dias_Entrega]]&lt;=gemini_code_1787702791259[[#This Row],[Promesa_SLA_Dias]],"A tiempo","Fuera de SLA")</f>
        <v>Fuera de SLA</v>
      </c>
    </row>
    <row r="983" spans="1:18" x14ac:dyDescent="0.25">
      <c r="A983" t="s">
        <v>67</v>
      </c>
      <c r="B983" s="1">
        <v>46242</v>
      </c>
      <c r="C983" t="s">
        <v>14</v>
      </c>
      <c r="D983" t="s">
        <v>15</v>
      </c>
      <c r="E983" t="s">
        <v>16</v>
      </c>
      <c r="F983" t="s">
        <v>23</v>
      </c>
      <c r="G983" t="s">
        <v>68</v>
      </c>
      <c r="H983">
        <v>3</v>
      </c>
      <c r="I983" s="12">
        <v>95</v>
      </c>
      <c r="J983" s="12">
        <v>45</v>
      </c>
      <c r="K983">
        <v>2</v>
      </c>
      <c r="L983">
        <v>3</v>
      </c>
      <c r="M983">
        <v>300</v>
      </c>
      <c r="N983" s="12">
        <f>+gemini_code_1787702791259[[#This Row],[Cantidad]]*gemini_code_1787702791259[[#This Row],[Precio_Unitario_USD]]</f>
        <v>285</v>
      </c>
      <c r="O983" s="12">
        <f>+gemini_code_1787702791259[[#This Row],[Cantidad]]*gemini_code_1787702791259[[#This Row],[Costo_Unitario_USD]]</f>
        <v>135</v>
      </c>
      <c r="P983" s="12">
        <f>+gemini_code_1787702791259[[#This Row],[venta total]]-gemini_code_1787702791259[[#This Row],[Costo total]]</f>
        <v>150</v>
      </c>
      <c r="Q983" s="2">
        <f>gemini_code_1787702791259[[#This Row],[Ganancia bruta]]/gemini_code_1787702791259[[#This Row],[venta total]]</f>
        <v>0.52631578947368418</v>
      </c>
      <c r="R983" t="str">
        <f>IF(gemini_code_1787702791259[[#This Row],[Dias_Entrega]]&lt;=gemini_code_1787702791259[[#This Row],[Promesa_SLA_Dias]],"A tiempo","Fuera de SLA")</f>
        <v>A tiempo</v>
      </c>
    </row>
    <row r="984" spans="1:18" x14ac:dyDescent="0.25">
      <c r="A984" t="s">
        <v>69</v>
      </c>
      <c r="B984" s="1">
        <v>46242</v>
      </c>
      <c r="C984" t="s">
        <v>20</v>
      </c>
      <c r="D984" t="s">
        <v>21</v>
      </c>
      <c r="E984" t="s">
        <v>16</v>
      </c>
      <c r="F984" t="s">
        <v>28</v>
      </c>
      <c r="G984" t="s">
        <v>70</v>
      </c>
      <c r="H984">
        <v>4</v>
      </c>
      <c r="I984" s="12">
        <v>160</v>
      </c>
      <c r="J984" s="12">
        <v>95</v>
      </c>
      <c r="K984">
        <v>2</v>
      </c>
      <c r="L984">
        <v>3</v>
      </c>
      <c r="M984">
        <v>600</v>
      </c>
      <c r="N984" s="12">
        <f>+gemini_code_1787702791259[[#This Row],[Cantidad]]*gemini_code_1787702791259[[#This Row],[Precio_Unitario_USD]]</f>
        <v>640</v>
      </c>
      <c r="O984" s="12">
        <f>+gemini_code_1787702791259[[#This Row],[Cantidad]]*gemini_code_1787702791259[[#This Row],[Costo_Unitario_USD]]</f>
        <v>380</v>
      </c>
      <c r="P984" s="12">
        <f>+gemini_code_1787702791259[[#This Row],[venta total]]-gemini_code_1787702791259[[#This Row],[Costo total]]</f>
        <v>260</v>
      </c>
      <c r="Q984" s="2">
        <f>gemini_code_1787702791259[[#This Row],[Ganancia bruta]]/gemini_code_1787702791259[[#This Row],[venta total]]</f>
        <v>0.40625</v>
      </c>
      <c r="R984" t="str">
        <f>IF(gemini_code_1787702791259[[#This Row],[Dias_Entrega]]&lt;=gemini_code_1787702791259[[#This Row],[Promesa_SLA_Dias]],"A tiempo","Fuera de SLA")</f>
        <v>A tiempo</v>
      </c>
    </row>
    <row r="985" spans="1:18" x14ac:dyDescent="0.25">
      <c r="A985" t="s">
        <v>71</v>
      </c>
      <c r="B985" s="1">
        <v>46242</v>
      </c>
      <c r="C985" t="s">
        <v>26</v>
      </c>
      <c r="D985" t="s">
        <v>27</v>
      </c>
      <c r="E985" t="s">
        <v>22</v>
      </c>
      <c r="F985" t="s">
        <v>31</v>
      </c>
      <c r="G985" t="s">
        <v>72</v>
      </c>
      <c r="H985">
        <v>7</v>
      </c>
      <c r="I985" s="12">
        <v>90</v>
      </c>
      <c r="J985" s="12">
        <v>45</v>
      </c>
      <c r="K985">
        <v>4</v>
      </c>
      <c r="L985">
        <v>3</v>
      </c>
      <c r="M985">
        <v>600</v>
      </c>
      <c r="N985" s="12">
        <f>+gemini_code_1787702791259[[#This Row],[Cantidad]]*gemini_code_1787702791259[[#This Row],[Precio_Unitario_USD]]</f>
        <v>630</v>
      </c>
      <c r="O985" s="12">
        <f>+gemini_code_1787702791259[[#This Row],[Cantidad]]*gemini_code_1787702791259[[#This Row],[Costo_Unitario_USD]]</f>
        <v>315</v>
      </c>
      <c r="P985" s="12">
        <f>+gemini_code_1787702791259[[#This Row],[venta total]]-gemini_code_1787702791259[[#This Row],[Costo total]]</f>
        <v>315</v>
      </c>
      <c r="Q985" s="2">
        <f>gemini_code_1787702791259[[#This Row],[Ganancia bruta]]/gemini_code_1787702791259[[#This Row],[venta total]]</f>
        <v>0.5</v>
      </c>
      <c r="R985" t="str">
        <f>IF(gemini_code_1787702791259[[#This Row],[Dias_Entrega]]&lt;=gemini_code_1787702791259[[#This Row],[Promesa_SLA_Dias]],"A tiempo","Fuera de SLA")</f>
        <v>Fuera de SLA</v>
      </c>
    </row>
    <row r="986" spans="1:18" x14ac:dyDescent="0.25">
      <c r="A986" t="s">
        <v>73</v>
      </c>
      <c r="B986" s="1">
        <v>46243</v>
      </c>
      <c r="C986" t="s">
        <v>14</v>
      </c>
      <c r="D986" t="s">
        <v>15</v>
      </c>
      <c r="E986" t="s">
        <v>22</v>
      </c>
      <c r="F986" t="s">
        <v>17</v>
      </c>
      <c r="G986" t="s">
        <v>74</v>
      </c>
      <c r="H986">
        <v>3</v>
      </c>
      <c r="I986" s="12">
        <v>310</v>
      </c>
      <c r="J986" s="12">
        <v>210</v>
      </c>
      <c r="K986">
        <v>2</v>
      </c>
      <c r="L986">
        <v>3</v>
      </c>
      <c r="M986">
        <v>900</v>
      </c>
      <c r="N986" s="12">
        <f>+gemini_code_1787702791259[[#This Row],[Cantidad]]*gemini_code_1787702791259[[#This Row],[Precio_Unitario_USD]]</f>
        <v>930</v>
      </c>
      <c r="O986" s="12">
        <f>+gemini_code_1787702791259[[#This Row],[Cantidad]]*gemini_code_1787702791259[[#This Row],[Costo_Unitario_USD]]</f>
        <v>630</v>
      </c>
      <c r="P986" s="12">
        <f>+gemini_code_1787702791259[[#This Row],[venta total]]-gemini_code_1787702791259[[#This Row],[Costo total]]</f>
        <v>300</v>
      </c>
      <c r="Q986" s="2">
        <f>gemini_code_1787702791259[[#This Row],[Ganancia bruta]]/gemini_code_1787702791259[[#This Row],[venta total]]</f>
        <v>0.32258064516129031</v>
      </c>
      <c r="R986" t="str">
        <f>IF(gemini_code_1787702791259[[#This Row],[Dias_Entrega]]&lt;=gemini_code_1787702791259[[#This Row],[Promesa_SLA_Dias]],"A tiempo","Fuera de SLA")</f>
        <v>A tiempo</v>
      </c>
    </row>
    <row r="987" spans="1:18" x14ac:dyDescent="0.25">
      <c r="A987" t="s">
        <v>75</v>
      </c>
      <c r="B987" s="1">
        <v>46243</v>
      </c>
      <c r="C987" t="s">
        <v>20</v>
      </c>
      <c r="D987" t="s">
        <v>21</v>
      </c>
      <c r="E987" t="s">
        <v>16</v>
      </c>
      <c r="F987" t="s">
        <v>23</v>
      </c>
      <c r="G987" t="s">
        <v>76</v>
      </c>
      <c r="H987">
        <v>8</v>
      </c>
      <c r="I987" s="12">
        <v>50</v>
      </c>
      <c r="J987" s="12">
        <v>22</v>
      </c>
      <c r="K987">
        <v>2</v>
      </c>
      <c r="L987">
        <v>3</v>
      </c>
      <c r="M987">
        <v>400</v>
      </c>
      <c r="N987" s="12">
        <f>+gemini_code_1787702791259[[#This Row],[Cantidad]]*gemini_code_1787702791259[[#This Row],[Precio_Unitario_USD]]</f>
        <v>400</v>
      </c>
      <c r="O987" s="12">
        <f>+gemini_code_1787702791259[[#This Row],[Cantidad]]*gemini_code_1787702791259[[#This Row],[Costo_Unitario_USD]]</f>
        <v>176</v>
      </c>
      <c r="P987" s="12">
        <f>+gemini_code_1787702791259[[#This Row],[venta total]]-gemini_code_1787702791259[[#This Row],[Costo total]]</f>
        <v>224</v>
      </c>
      <c r="Q987" s="2">
        <f>gemini_code_1787702791259[[#This Row],[Ganancia bruta]]/gemini_code_1787702791259[[#This Row],[venta total]]</f>
        <v>0.56000000000000005</v>
      </c>
      <c r="R987" t="str">
        <f>IF(gemini_code_1787702791259[[#This Row],[Dias_Entrega]]&lt;=gemini_code_1787702791259[[#This Row],[Promesa_SLA_Dias]],"A tiempo","Fuera de SLA")</f>
        <v>A tiempo</v>
      </c>
    </row>
    <row r="988" spans="1:18" x14ac:dyDescent="0.25">
      <c r="A988" t="s">
        <v>77</v>
      </c>
      <c r="B988" s="1">
        <v>46243</v>
      </c>
      <c r="C988" t="s">
        <v>26</v>
      </c>
      <c r="D988" t="s">
        <v>27</v>
      </c>
      <c r="E988" t="s">
        <v>16</v>
      </c>
      <c r="F988" t="s">
        <v>28</v>
      </c>
      <c r="G988" t="s">
        <v>78</v>
      </c>
      <c r="H988">
        <v>1</v>
      </c>
      <c r="I988" s="12">
        <v>750</v>
      </c>
      <c r="J988" s="12">
        <v>480</v>
      </c>
      <c r="K988">
        <v>8</v>
      </c>
      <c r="L988">
        <v>4</v>
      </c>
      <c r="M988">
        <v>700</v>
      </c>
      <c r="N988" s="12">
        <f>+gemini_code_1787702791259[[#This Row],[Cantidad]]*gemini_code_1787702791259[[#This Row],[Precio_Unitario_USD]]</f>
        <v>750</v>
      </c>
      <c r="O988" s="12">
        <f>+gemini_code_1787702791259[[#This Row],[Cantidad]]*gemini_code_1787702791259[[#This Row],[Costo_Unitario_USD]]</f>
        <v>480</v>
      </c>
      <c r="P988" s="12">
        <f>+gemini_code_1787702791259[[#This Row],[venta total]]-gemini_code_1787702791259[[#This Row],[Costo total]]</f>
        <v>270</v>
      </c>
      <c r="Q988" s="2">
        <f>gemini_code_1787702791259[[#This Row],[Ganancia bruta]]/gemini_code_1787702791259[[#This Row],[venta total]]</f>
        <v>0.36</v>
      </c>
      <c r="R988" t="str">
        <f>IF(gemini_code_1787702791259[[#This Row],[Dias_Entrega]]&lt;=gemini_code_1787702791259[[#This Row],[Promesa_SLA_Dias]],"A tiempo","Fuera de SLA")</f>
        <v>Fuera de SLA</v>
      </c>
    </row>
    <row r="989" spans="1:18" x14ac:dyDescent="0.25">
      <c r="A989" t="s">
        <v>79</v>
      </c>
      <c r="B989" s="1">
        <v>46244</v>
      </c>
      <c r="C989" t="s">
        <v>14</v>
      </c>
      <c r="D989" t="s">
        <v>15</v>
      </c>
      <c r="E989" t="s">
        <v>16</v>
      </c>
      <c r="F989" t="s">
        <v>31</v>
      </c>
      <c r="G989" t="s">
        <v>80</v>
      </c>
      <c r="H989">
        <v>4</v>
      </c>
      <c r="I989" s="12">
        <v>140</v>
      </c>
      <c r="J989" s="12">
        <v>75</v>
      </c>
      <c r="K989">
        <v>3</v>
      </c>
      <c r="L989">
        <v>3</v>
      </c>
      <c r="M989">
        <v>500</v>
      </c>
      <c r="N989" s="12">
        <f>+gemini_code_1787702791259[[#This Row],[Cantidad]]*gemini_code_1787702791259[[#This Row],[Precio_Unitario_USD]]</f>
        <v>560</v>
      </c>
      <c r="O989" s="12">
        <f>+gemini_code_1787702791259[[#This Row],[Cantidad]]*gemini_code_1787702791259[[#This Row],[Costo_Unitario_USD]]</f>
        <v>300</v>
      </c>
      <c r="P989" s="12">
        <f>+gemini_code_1787702791259[[#This Row],[venta total]]-gemini_code_1787702791259[[#This Row],[Costo total]]</f>
        <v>260</v>
      </c>
      <c r="Q989" s="2">
        <f>gemini_code_1787702791259[[#This Row],[Ganancia bruta]]/gemini_code_1787702791259[[#This Row],[venta total]]</f>
        <v>0.4642857142857143</v>
      </c>
      <c r="R989" t="str">
        <f>IF(gemini_code_1787702791259[[#This Row],[Dias_Entrega]]&lt;=gemini_code_1787702791259[[#This Row],[Promesa_SLA_Dias]],"A tiempo","Fuera de SLA")</f>
        <v>A tiempo</v>
      </c>
    </row>
    <row r="990" spans="1:18" x14ac:dyDescent="0.25">
      <c r="A990" t="s">
        <v>81</v>
      </c>
      <c r="B990" s="1">
        <v>46244</v>
      </c>
      <c r="C990" t="s">
        <v>20</v>
      </c>
      <c r="D990" t="s">
        <v>21</v>
      </c>
      <c r="E990" t="s">
        <v>22</v>
      </c>
      <c r="F990" t="s">
        <v>17</v>
      </c>
      <c r="G990" t="s">
        <v>82</v>
      </c>
      <c r="H990">
        <v>6</v>
      </c>
      <c r="I990" s="12">
        <v>90</v>
      </c>
      <c r="J990" s="12">
        <v>50</v>
      </c>
      <c r="K990">
        <v>1</v>
      </c>
      <c r="L990">
        <v>2</v>
      </c>
      <c r="M990">
        <v>500</v>
      </c>
      <c r="N990" s="12">
        <f>+gemini_code_1787702791259[[#This Row],[Cantidad]]*gemini_code_1787702791259[[#This Row],[Precio_Unitario_USD]]</f>
        <v>540</v>
      </c>
      <c r="O990" s="12">
        <f>+gemini_code_1787702791259[[#This Row],[Cantidad]]*gemini_code_1787702791259[[#This Row],[Costo_Unitario_USD]]</f>
        <v>300</v>
      </c>
      <c r="P990" s="12">
        <f>+gemini_code_1787702791259[[#This Row],[venta total]]-gemini_code_1787702791259[[#This Row],[Costo total]]</f>
        <v>240</v>
      </c>
      <c r="Q990" s="2">
        <f>gemini_code_1787702791259[[#This Row],[Ganancia bruta]]/gemini_code_1787702791259[[#This Row],[venta total]]</f>
        <v>0.44444444444444442</v>
      </c>
      <c r="R990" t="str">
        <f>IF(gemini_code_1787702791259[[#This Row],[Dias_Entrega]]&lt;=gemini_code_1787702791259[[#This Row],[Promesa_SLA_Dias]],"A tiempo","Fuera de SLA")</f>
        <v>A tiempo</v>
      </c>
    </row>
    <row r="991" spans="1:18" x14ac:dyDescent="0.25">
      <c r="A991" t="s">
        <v>83</v>
      </c>
      <c r="B991" s="1">
        <v>46244</v>
      </c>
      <c r="C991" t="s">
        <v>26</v>
      </c>
      <c r="D991" t="s">
        <v>27</v>
      </c>
      <c r="E991" t="s">
        <v>16</v>
      </c>
      <c r="F991" t="s">
        <v>23</v>
      </c>
      <c r="G991" t="s">
        <v>84</v>
      </c>
      <c r="H991">
        <v>6</v>
      </c>
      <c r="I991" s="12">
        <v>60</v>
      </c>
      <c r="J991" s="12">
        <v>28</v>
      </c>
      <c r="K991">
        <v>5</v>
      </c>
      <c r="L991">
        <v>3</v>
      </c>
      <c r="M991">
        <v>350</v>
      </c>
      <c r="N991" s="12">
        <f>+gemini_code_1787702791259[[#This Row],[Cantidad]]*gemini_code_1787702791259[[#This Row],[Precio_Unitario_USD]]</f>
        <v>360</v>
      </c>
      <c r="O991" s="12">
        <f>+gemini_code_1787702791259[[#This Row],[Cantidad]]*gemini_code_1787702791259[[#This Row],[Costo_Unitario_USD]]</f>
        <v>168</v>
      </c>
      <c r="P991" s="12">
        <f>+gemini_code_1787702791259[[#This Row],[venta total]]-gemini_code_1787702791259[[#This Row],[Costo total]]</f>
        <v>192</v>
      </c>
      <c r="Q991" s="2">
        <f>gemini_code_1787702791259[[#This Row],[Ganancia bruta]]/gemini_code_1787702791259[[#This Row],[venta total]]</f>
        <v>0.53333333333333333</v>
      </c>
      <c r="R991" t="str">
        <f>IF(gemini_code_1787702791259[[#This Row],[Dias_Entrega]]&lt;=gemini_code_1787702791259[[#This Row],[Promesa_SLA_Dias]],"A tiempo","Fuera de SLA")</f>
        <v>Fuera de SLA</v>
      </c>
    </row>
    <row r="992" spans="1:18" x14ac:dyDescent="0.25">
      <c r="A992" t="s">
        <v>13</v>
      </c>
      <c r="B992" s="1">
        <v>46235</v>
      </c>
      <c r="C992" t="s">
        <v>14</v>
      </c>
      <c r="D992" t="s">
        <v>15</v>
      </c>
      <c r="E992" t="s">
        <v>16</v>
      </c>
      <c r="F992" t="s">
        <v>17</v>
      </c>
      <c r="G992" t="s">
        <v>18</v>
      </c>
      <c r="H992">
        <v>2</v>
      </c>
      <c r="I992" s="12">
        <v>850</v>
      </c>
      <c r="J992" s="12">
        <v>600</v>
      </c>
      <c r="K992">
        <v>2</v>
      </c>
      <c r="L992">
        <v>3</v>
      </c>
      <c r="M992">
        <v>1500</v>
      </c>
      <c r="N992" s="12">
        <f>+gemini_code_1787702791259[[#This Row],[Cantidad]]*gemini_code_1787702791259[[#This Row],[Precio_Unitario_USD]]</f>
        <v>1700</v>
      </c>
      <c r="O992" s="12">
        <f>+gemini_code_1787702791259[[#This Row],[Cantidad]]*gemini_code_1787702791259[[#This Row],[Costo_Unitario_USD]]</f>
        <v>1200</v>
      </c>
      <c r="P992" s="12">
        <f>+gemini_code_1787702791259[[#This Row],[venta total]]-gemini_code_1787702791259[[#This Row],[Costo total]]</f>
        <v>500</v>
      </c>
      <c r="Q992" s="2">
        <f>gemini_code_1787702791259[[#This Row],[Ganancia bruta]]/gemini_code_1787702791259[[#This Row],[venta total]]</f>
        <v>0.29411764705882354</v>
      </c>
      <c r="R992" t="str">
        <f>IF(gemini_code_1787702791259[[#This Row],[Dias_Entrega]]&lt;=gemini_code_1787702791259[[#This Row],[Promesa_SLA_Dias]],"A tiempo","Fuera de SLA")</f>
        <v>A tiempo</v>
      </c>
    </row>
    <row r="993" spans="1:18" x14ac:dyDescent="0.25">
      <c r="A993" t="s">
        <v>19</v>
      </c>
      <c r="B993" s="1">
        <v>46235</v>
      </c>
      <c r="C993" t="s">
        <v>20</v>
      </c>
      <c r="D993" t="s">
        <v>21</v>
      </c>
      <c r="E993" t="s">
        <v>22</v>
      </c>
      <c r="F993" t="s">
        <v>23</v>
      </c>
      <c r="G993" t="s">
        <v>24</v>
      </c>
      <c r="H993">
        <v>5</v>
      </c>
      <c r="I993" s="12">
        <v>120</v>
      </c>
      <c r="J993" s="12">
        <v>70</v>
      </c>
      <c r="K993">
        <v>3</v>
      </c>
      <c r="L993">
        <v>3</v>
      </c>
      <c r="M993">
        <v>500</v>
      </c>
      <c r="N993" s="12">
        <f>+gemini_code_1787702791259[[#This Row],[Cantidad]]*gemini_code_1787702791259[[#This Row],[Precio_Unitario_USD]]</f>
        <v>600</v>
      </c>
      <c r="O993" s="12">
        <f>+gemini_code_1787702791259[[#This Row],[Cantidad]]*gemini_code_1787702791259[[#This Row],[Costo_Unitario_USD]]</f>
        <v>350</v>
      </c>
      <c r="P993" s="12">
        <f>+gemini_code_1787702791259[[#This Row],[venta total]]-gemini_code_1787702791259[[#This Row],[Costo total]]</f>
        <v>250</v>
      </c>
      <c r="Q993" s="2">
        <f>gemini_code_1787702791259[[#This Row],[Ganancia bruta]]/gemini_code_1787702791259[[#This Row],[venta total]]</f>
        <v>0.41666666666666669</v>
      </c>
      <c r="R993" t="str">
        <f>IF(gemini_code_1787702791259[[#This Row],[Dias_Entrega]]&lt;=gemini_code_1787702791259[[#This Row],[Promesa_SLA_Dias]],"A tiempo","Fuera de SLA")</f>
        <v>A tiempo</v>
      </c>
    </row>
    <row r="994" spans="1:18" x14ac:dyDescent="0.25">
      <c r="A994" t="s">
        <v>25</v>
      </c>
      <c r="B994" s="1">
        <v>46235</v>
      </c>
      <c r="C994" t="s">
        <v>26</v>
      </c>
      <c r="D994" t="s">
        <v>27</v>
      </c>
      <c r="E994" t="s">
        <v>16</v>
      </c>
      <c r="F994" t="s">
        <v>28</v>
      </c>
      <c r="G994" t="s">
        <v>29</v>
      </c>
      <c r="H994">
        <v>3</v>
      </c>
      <c r="I994" s="12">
        <v>90</v>
      </c>
      <c r="J994" s="12">
        <v>50</v>
      </c>
      <c r="K994">
        <v>6</v>
      </c>
      <c r="L994">
        <v>4</v>
      </c>
      <c r="M994">
        <v>300</v>
      </c>
      <c r="N994" s="12">
        <f>+gemini_code_1787702791259[[#This Row],[Cantidad]]*gemini_code_1787702791259[[#This Row],[Precio_Unitario_USD]]</f>
        <v>270</v>
      </c>
      <c r="O994" s="12">
        <f>+gemini_code_1787702791259[[#This Row],[Cantidad]]*gemini_code_1787702791259[[#This Row],[Costo_Unitario_USD]]</f>
        <v>150</v>
      </c>
      <c r="P994" s="12">
        <f>+gemini_code_1787702791259[[#This Row],[venta total]]-gemini_code_1787702791259[[#This Row],[Costo total]]</f>
        <v>120</v>
      </c>
      <c r="Q994" s="2">
        <f>gemini_code_1787702791259[[#This Row],[Ganancia bruta]]/gemini_code_1787702791259[[#This Row],[venta total]]</f>
        <v>0.44444444444444442</v>
      </c>
      <c r="R994" t="str">
        <f>IF(gemini_code_1787702791259[[#This Row],[Dias_Entrega]]&lt;=gemini_code_1787702791259[[#This Row],[Promesa_SLA_Dias]],"A tiempo","Fuera de SLA")</f>
        <v>Fuera de SLA</v>
      </c>
    </row>
    <row r="995" spans="1:18" x14ac:dyDescent="0.25">
      <c r="A995" t="s">
        <v>30</v>
      </c>
      <c r="B995" s="1">
        <v>46236</v>
      </c>
      <c r="C995" t="s">
        <v>14</v>
      </c>
      <c r="D995" t="s">
        <v>15</v>
      </c>
      <c r="E995" t="s">
        <v>22</v>
      </c>
      <c r="F995" t="s">
        <v>31</v>
      </c>
      <c r="G995" t="s">
        <v>32</v>
      </c>
      <c r="H995">
        <v>4</v>
      </c>
      <c r="I995" s="12">
        <v>110</v>
      </c>
      <c r="J995" s="12">
        <v>60</v>
      </c>
      <c r="K995">
        <v>1</v>
      </c>
      <c r="L995">
        <v>2</v>
      </c>
      <c r="M995">
        <v>400</v>
      </c>
      <c r="N995" s="12">
        <f>+gemini_code_1787702791259[[#This Row],[Cantidad]]*gemini_code_1787702791259[[#This Row],[Precio_Unitario_USD]]</f>
        <v>440</v>
      </c>
      <c r="O995" s="12">
        <f>+gemini_code_1787702791259[[#This Row],[Cantidad]]*gemini_code_1787702791259[[#This Row],[Costo_Unitario_USD]]</f>
        <v>240</v>
      </c>
      <c r="P995" s="12">
        <f>+gemini_code_1787702791259[[#This Row],[venta total]]-gemini_code_1787702791259[[#This Row],[Costo total]]</f>
        <v>200</v>
      </c>
      <c r="Q995" s="2">
        <f>gemini_code_1787702791259[[#This Row],[Ganancia bruta]]/gemini_code_1787702791259[[#This Row],[venta total]]</f>
        <v>0.45454545454545453</v>
      </c>
      <c r="R995" t="str">
        <f>IF(gemini_code_1787702791259[[#This Row],[Dias_Entrega]]&lt;=gemini_code_1787702791259[[#This Row],[Promesa_SLA_Dias]],"A tiempo","Fuera de SLA")</f>
        <v>A tiempo</v>
      </c>
    </row>
    <row r="996" spans="1:18" x14ac:dyDescent="0.25">
      <c r="A996" t="s">
        <v>33</v>
      </c>
      <c r="B996" s="1">
        <v>46236</v>
      </c>
      <c r="C996" t="s">
        <v>20</v>
      </c>
      <c r="D996" t="s">
        <v>21</v>
      </c>
      <c r="E996" t="s">
        <v>16</v>
      </c>
      <c r="F996" t="s">
        <v>17</v>
      </c>
      <c r="G996" t="s">
        <v>34</v>
      </c>
      <c r="H996">
        <v>3</v>
      </c>
      <c r="I996" s="12">
        <v>650</v>
      </c>
      <c r="J996" s="12">
        <v>450</v>
      </c>
      <c r="K996">
        <v>2</v>
      </c>
      <c r="L996">
        <v>3</v>
      </c>
      <c r="M996">
        <v>1800</v>
      </c>
      <c r="N996" s="12">
        <f>+gemini_code_1787702791259[[#This Row],[Cantidad]]*gemini_code_1787702791259[[#This Row],[Precio_Unitario_USD]]</f>
        <v>1950</v>
      </c>
      <c r="O996" s="12">
        <f>+gemini_code_1787702791259[[#This Row],[Cantidad]]*gemini_code_1787702791259[[#This Row],[Costo_Unitario_USD]]</f>
        <v>1350</v>
      </c>
      <c r="P996" s="12">
        <f>+gemini_code_1787702791259[[#This Row],[venta total]]-gemini_code_1787702791259[[#This Row],[Costo total]]</f>
        <v>600</v>
      </c>
      <c r="Q996" s="2">
        <f>gemini_code_1787702791259[[#This Row],[Ganancia bruta]]/gemini_code_1787702791259[[#This Row],[venta total]]</f>
        <v>0.30769230769230771</v>
      </c>
      <c r="R996" t="str">
        <f>IF(gemini_code_1787702791259[[#This Row],[Dias_Entrega]]&lt;=gemini_code_1787702791259[[#This Row],[Promesa_SLA_Dias]],"A tiempo","Fuera de SLA")</f>
        <v>A tiempo</v>
      </c>
    </row>
    <row r="997" spans="1:18" x14ac:dyDescent="0.25">
      <c r="A997" t="s">
        <v>35</v>
      </c>
      <c r="B997" s="1">
        <v>46236</v>
      </c>
      <c r="C997" t="s">
        <v>26</v>
      </c>
      <c r="D997" t="s">
        <v>27</v>
      </c>
      <c r="E997" t="s">
        <v>16</v>
      </c>
      <c r="F997" t="s">
        <v>23</v>
      </c>
      <c r="G997" t="s">
        <v>36</v>
      </c>
      <c r="H997">
        <v>8</v>
      </c>
      <c r="I997" s="12">
        <v>45</v>
      </c>
      <c r="J997" s="12">
        <v>20</v>
      </c>
      <c r="K997">
        <v>5</v>
      </c>
      <c r="L997">
        <v>3</v>
      </c>
      <c r="M997">
        <v>400</v>
      </c>
      <c r="N997" s="12">
        <f>+gemini_code_1787702791259[[#This Row],[Cantidad]]*gemini_code_1787702791259[[#This Row],[Precio_Unitario_USD]]</f>
        <v>360</v>
      </c>
      <c r="O997" s="12">
        <f>+gemini_code_1787702791259[[#This Row],[Cantidad]]*gemini_code_1787702791259[[#This Row],[Costo_Unitario_USD]]</f>
        <v>160</v>
      </c>
      <c r="P997" s="12">
        <f>+gemini_code_1787702791259[[#This Row],[venta total]]-gemini_code_1787702791259[[#This Row],[Costo total]]</f>
        <v>200</v>
      </c>
      <c r="Q997" s="2">
        <f>gemini_code_1787702791259[[#This Row],[Ganancia bruta]]/gemini_code_1787702791259[[#This Row],[venta total]]</f>
        <v>0.55555555555555558</v>
      </c>
      <c r="R997" t="str">
        <f>IF(gemini_code_1787702791259[[#This Row],[Dias_Entrega]]&lt;=gemini_code_1787702791259[[#This Row],[Promesa_SLA_Dias]],"A tiempo","Fuera de SLA")</f>
        <v>Fuera de SLA</v>
      </c>
    </row>
    <row r="998" spans="1:18" x14ac:dyDescent="0.25">
      <c r="A998" t="s">
        <v>37</v>
      </c>
      <c r="B998" s="1">
        <v>46237</v>
      </c>
      <c r="C998" t="s">
        <v>14</v>
      </c>
      <c r="D998" t="s">
        <v>15</v>
      </c>
      <c r="E998" t="s">
        <v>16</v>
      </c>
      <c r="F998" t="s">
        <v>28</v>
      </c>
      <c r="G998" t="s">
        <v>38</v>
      </c>
      <c r="H998">
        <v>2</v>
      </c>
      <c r="I998" s="12">
        <v>280</v>
      </c>
      <c r="J998" s="12">
        <v>180</v>
      </c>
      <c r="K998">
        <v>3</v>
      </c>
      <c r="L998">
        <v>3</v>
      </c>
      <c r="M998">
        <v>500</v>
      </c>
      <c r="N998" s="12">
        <f>+gemini_code_1787702791259[[#This Row],[Cantidad]]*gemini_code_1787702791259[[#This Row],[Precio_Unitario_USD]]</f>
        <v>560</v>
      </c>
      <c r="O998" s="12">
        <f>+gemini_code_1787702791259[[#This Row],[Cantidad]]*gemini_code_1787702791259[[#This Row],[Costo_Unitario_USD]]</f>
        <v>360</v>
      </c>
      <c r="P998" s="12">
        <f>+gemini_code_1787702791259[[#This Row],[venta total]]-gemini_code_1787702791259[[#This Row],[Costo total]]</f>
        <v>200</v>
      </c>
      <c r="Q998" s="2">
        <f>gemini_code_1787702791259[[#This Row],[Ganancia bruta]]/gemini_code_1787702791259[[#This Row],[venta total]]</f>
        <v>0.35714285714285715</v>
      </c>
      <c r="R998" t="str">
        <f>IF(gemini_code_1787702791259[[#This Row],[Dias_Entrega]]&lt;=gemini_code_1787702791259[[#This Row],[Promesa_SLA_Dias]],"A tiempo","Fuera de SLA")</f>
        <v>A tiempo</v>
      </c>
    </row>
    <row r="999" spans="1:18" x14ac:dyDescent="0.25">
      <c r="A999" t="s">
        <v>39</v>
      </c>
      <c r="B999" s="1">
        <v>46237</v>
      </c>
      <c r="C999" t="s">
        <v>20</v>
      </c>
      <c r="D999" t="s">
        <v>21</v>
      </c>
      <c r="E999" t="s">
        <v>22</v>
      </c>
      <c r="F999" t="s">
        <v>31</v>
      </c>
      <c r="G999" t="s">
        <v>40</v>
      </c>
      <c r="H999">
        <v>3</v>
      </c>
      <c r="I999" s="12">
        <v>150</v>
      </c>
      <c r="J999" s="12">
        <v>85</v>
      </c>
      <c r="K999">
        <v>2</v>
      </c>
      <c r="L999">
        <v>2</v>
      </c>
      <c r="M999">
        <v>400</v>
      </c>
      <c r="N999" s="12">
        <f>+gemini_code_1787702791259[[#This Row],[Cantidad]]*gemini_code_1787702791259[[#This Row],[Precio_Unitario_USD]]</f>
        <v>450</v>
      </c>
      <c r="O999" s="12">
        <f>+gemini_code_1787702791259[[#This Row],[Cantidad]]*gemini_code_1787702791259[[#This Row],[Costo_Unitario_USD]]</f>
        <v>255</v>
      </c>
      <c r="P999" s="12">
        <f>+gemini_code_1787702791259[[#This Row],[venta total]]-gemini_code_1787702791259[[#This Row],[Costo total]]</f>
        <v>195</v>
      </c>
      <c r="Q999" s="2">
        <f>gemini_code_1787702791259[[#This Row],[Ganancia bruta]]/gemini_code_1787702791259[[#This Row],[venta total]]</f>
        <v>0.43333333333333335</v>
      </c>
      <c r="R999" t="str">
        <f>IF(gemini_code_1787702791259[[#This Row],[Dias_Entrega]]&lt;=gemini_code_1787702791259[[#This Row],[Promesa_SLA_Dias]],"A tiempo","Fuera de SLA")</f>
        <v>A tiempo</v>
      </c>
    </row>
    <row r="1000" spans="1:18" x14ac:dyDescent="0.25">
      <c r="A1000" t="s">
        <v>41</v>
      </c>
      <c r="B1000" s="1">
        <v>46237</v>
      </c>
      <c r="C1000" t="s">
        <v>26</v>
      </c>
      <c r="D1000" t="s">
        <v>27</v>
      </c>
      <c r="E1000" t="s">
        <v>16</v>
      </c>
      <c r="F1000" t="s">
        <v>17</v>
      </c>
      <c r="G1000" t="s">
        <v>42</v>
      </c>
      <c r="H1000">
        <v>2</v>
      </c>
      <c r="I1000" s="12">
        <v>520</v>
      </c>
      <c r="J1000" s="12">
        <v>380</v>
      </c>
      <c r="K1000">
        <v>7</v>
      </c>
      <c r="L1000">
        <v>4</v>
      </c>
      <c r="M1000">
        <v>1000</v>
      </c>
      <c r="N1000" s="12">
        <f>+gemini_code_1787702791259[[#This Row],[Cantidad]]*gemini_code_1787702791259[[#This Row],[Precio_Unitario_USD]]</f>
        <v>1040</v>
      </c>
      <c r="O1000" s="12">
        <f>+gemini_code_1787702791259[[#This Row],[Cantidad]]*gemini_code_1787702791259[[#This Row],[Costo_Unitario_USD]]</f>
        <v>760</v>
      </c>
      <c r="P1000" s="12">
        <f>+gemini_code_1787702791259[[#This Row],[venta total]]-gemini_code_1787702791259[[#This Row],[Costo total]]</f>
        <v>280</v>
      </c>
      <c r="Q1000" s="2">
        <f>gemini_code_1787702791259[[#This Row],[Ganancia bruta]]/gemini_code_1787702791259[[#This Row],[venta total]]</f>
        <v>0.26923076923076922</v>
      </c>
      <c r="R1000" t="str">
        <f>IF(gemini_code_1787702791259[[#This Row],[Dias_Entrega]]&lt;=gemini_code_1787702791259[[#This Row],[Promesa_SLA_Dias]],"A tiempo","Fuera de SLA")</f>
        <v>Fuera de SLA</v>
      </c>
    </row>
    <row r="1001" spans="1:18" x14ac:dyDescent="0.25">
      <c r="A1001" t="s">
        <v>43</v>
      </c>
      <c r="B1001" s="1">
        <v>46238</v>
      </c>
      <c r="C1001" t="s">
        <v>14</v>
      </c>
      <c r="D1001" t="s">
        <v>15</v>
      </c>
      <c r="E1001" t="s">
        <v>22</v>
      </c>
      <c r="F1001" t="s">
        <v>23</v>
      </c>
      <c r="G1001" t="s">
        <v>44</v>
      </c>
      <c r="H1001">
        <v>6</v>
      </c>
      <c r="I1001" s="12">
        <v>55</v>
      </c>
      <c r="J1001" s="12">
        <v>25</v>
      </c>
      <c r="K1001">
        <v>2</v>
      </c>
      <c r="L1001">
        <v>3</v>
      </c>
      <c r="M1001">
        <v>300</v>
      </c>
      <c r="N1001" s="12">
        <f>+gemini_code_1787702791259[[#This Row],[Cantidad]]*gemini_code_1787702791259[[#This Row],[Precio_Unitario_USD]]</f>
        <v>330</v>
      </c>
      <c r="O1001" s="12">
        <f>+gemini_code_1787702791259[[#This Row],[Cantidad]]*gemini_code_1787702791259[[#This Row],[Costo_Unitario_USD]]</f>
        <v>150</v>
      </c>
      <c r="P1001" s="12">
        <f>+gemini_code_1787702791259[[#This Row],[venta total]]-gemini_code_1787702791259[[#This Row],[Costo total]]</f>
        <v>180</v>
      </c>
      <c r="Q1001" s="2">
        <f>gemini_code_1787702791259[[#This Row],[Ganancia bruta]]/gemini_code_1787702791259[[#This Row],[venta total]]</f>
        <v>0.54545454545454541</v>
      </c>
      <c r="R1001" t="str">
        <f>IF(gemini_code_1787702791259[[#This Row],[Dias_Entrega]]&lt;=gemini_code_1787702791259[[#This Row],[Promesa_SLA_Dias]],"A tiempo","Fuera de SLA")</f>
        <v>A tiempo</v>
      </c>
    </row>
    <row r="1002" spans="1:18" x14ac:dyDescent="0.25">
      <c r="A1002" t="s">
        <v>45</v>
      </c>
      <c r="B1002" s="1">
        <v>46238</v>
      </c>
      <c r="C1002" t="s">
        <v>20</v>
      </c>
      <c r="D1002" t="s">
        <v>21</v>
      </c>
      <c r="E1002" t="s">
        <v>16</v>
      </c>
      <c r="F1002" t="s">
        <v>28</v>
      </c>
      <c r="G1002" t="s">
        <v>46</v>
      </c>
      <c r="H1002">
        <v>1</v>
      </c>
      <c r="I1002" s="12">
        <v>450</v>
      </c>
      <c r="J1002" s="12">
        <v>290</v>
      </c>
      <c r="K1002">
        <v>4</v>
      </c>
      <c r="L1002">
        <v>3</v>
      </c>
      <c r="M1002">
        <v>400</v>
      </c>
      <c r="N1002" s="12">
        <f>+gemini_code_1787702791259[[#This Row],[Cantidad]]*gemini_code_1787702791259[[#This Row],[Precio_Unitario_USD]]</f>
        <v>450</v>
      </c>
      <c r="O1002" s="12">
        <f>+gemini_code_1787702791259[[#This Row],[Cantidad]]*gemini_code_1787702791259[[#This Row],[Costo_Unitario_USD]]</f>
        <v>290</v>
      </c>
      <c r="P1002" s="12">
        <f>+gemini_code_1787702791259[[#This Row],[venta total]]-gemini_code_1787702791259[[#This Row],[Costo total]]</f>
        <v>160</v>
      </c>
      <c r="Q1002" s="2">
        <f>gemini_code_1787702791259[[#This Row],[Ganancia bruta]]/gemini_code_1787702791259[[#This Row],[venta total]]</f>
        <v>0.35555555555555557</v>
      </c>
      <c r="R1002" t="str">
        <f>IF(gemini_code_1787702791259[[#This Row],[Dias_Entrega]]&lt;=gemini_code_1787702791259[[#This Row],[Promesa_SLA_Dias]],"A tiempo","Fuera de SLA")</f>
        <v>Fuera de SLA</v>
      </c>
    </row>
    <row r="1003" spans="1:18" x14ac:dyDescent="0.25">
      <c r="A1003" t="s">
        <v>47</v>
      </c>
      <c r="B1003" s="1">
        <v>46238</v>
      </c>
      <c r="C1003" t="s">
        <v>26</v>
      </c>
      <c r="D1003" t="s">
        <v>27</v>
      </c>
      <c r="E1003" t="s">
        <v>22</v>
      </c>
      <c r="F1003" t="s">
        <v>31</v>
      </c>
      <c r="G1003" t="s">
        <v>48</v>
      </c>
      <c r="H1003">
        <v>10</v>
      </c>
      <c r="I1003" s="12">
        <v>35</v>
      </c>
      <c r="J1003" s="12">
        <v>15</v>
      </c>
      <c r="K1003">
        <v>4</v>
      </c>
      <c r="L1003">
        <v>3</v>
      </c>
      <c r="M1003">
        <v>300</v>
      </c>
      <c r="N1003" s="12">
        <f>+gemini_code_1787702791259[[#This Row],[Cantidad]]*gemini_code_1787702791259[[#This Row],[Precio_Unitario_USD]]</f>
        <v>350</v>
      </c>
      <c r="O1003" s="12">
        <f>+gemini_code_1787702791259[[#This Row],[Cantidad]]*gemini_code_1787702791259[[#This Row],[Costo_Unitario_USD]]</f>
        <v>150</v>
      </c>
      <c r="P1003" s="12">
        <f>+gemini_code_1787702791259[[#This Row],[venta total]]-gemini_code_1787702791259[[#This Row],[Costo total]]</f>
        <v>200</v>
      </c>
      <c r="Q1003" s="2">
        <f>gemini_code_1787702791259[[#This Row],[Ganancia bruta]]/gemini_code_1787702791259[[#This Row],[venta total]]</f>
        <v>0.5714285714285714</v>
      </c>
      <c r="R1003" t="str">
        <f>IF(gemini_code_1787702791259[[#This Row],[Dias_Entrega]]&lt;=gemini_code_1787702791259[[#This Row],[Promesa_SLA_Dias]],"A tiempo","Fuera de SLA")</f>
        <v>Fuera de SLA</v>
      </c>
    </row>
    <row r="1004" spans="1:18" x14ac:dyDescent="0.25">
      <c r="A1004" t="s">
        <v>49</v>
      </c>
      <c r="B1004" s="1">
        <v>46239</v>
      </c>
      <c r="C1004" t="s">
        <v>14</v>
      </c>
      <c r="D1004" t="s">
        <v>15</v>
      </c>
      <c r="E1004" t="s">
        <v>16</v>
      </c>
      <c r="F1004" t="s">
        <v>17</v>
      </c>
      <c r="G1004" t="s">
        <v>50</v>
      </c>
      <c r="H1004">
        <v>4</v>
      </c>
      <c r="I1004" s="12">
        <v>220</v>
      </c>
      <c r="J1004" s="12">
        <v>140</v>
      </c>
      <c r="K1004">
        <v>2</v>
      </c>
      <c r="L1004">
        <v>3</v>
      </c>
      <c r="M1004">
        <v>800</v>
      </c>
      <c r="N1004" s="12">
        <f>+gemini_code_1787702791259[[#This Row],[Cantidad]]*gemini_code_1787702791259[[#This Row],[Precio_Unitario_USD]]</f>
        <v>880</v>
      </c>
      <c r="O1004" s="12">
        <f>+gemini_code_1787702791259[[#This Row],[Cantidad]]*gemini_code_1787702791259[[#This Row],[Costo_Unitario_USD]]</f>
        <v>560</v>
      </c>
      <c r="P1004" s="12">
        <f>+gemini_code_1787702791259[[#This Row],[venta total]]-gemini_code_1787702791259[[#This Row],[Costo total]]</f>
        <v>320</v>
      </c>
      <c r="Q1004" s="2">
        <f>gemini_code_1787702791259[[#This Row],[Ganancia bruta]]/gemini_code_1787702791259[[#This Row],[venta total]]</f>
        <v>0.36363636363636365</v>
      </c>
      <c r="R1004" t="str">
        <f>IF(gemini_code_1787702791259[[#This Row],[Dias_Entrega]]&lt;=gemini_code_1787702791259[[#This Row],[Promesa_SLA_Dias]],"A tiempo","Fuera de SLA")</f>
        <v>A tiempo</v>
      </c>
    </row>
    <row r="1005" spans="1:18" x14ac:dyDescent="0.25">
      <c r="A1005" t="s">
        <v>51</v>
      </c>
      <c r="B1005" s="1">
        <v>46239</v>
      </c>
      <c r="C1005" t="s">
        <v>20</v>
      </c>
      <c r="D1005" t="s">
        <v>21</v>
      </c>
      <c r="E1005" t="s">
        <v>16</v>
      </c>
      <c r="F1005" t="s">
        <v>23</v>
      </c>
      <c r="G1005" t="s">
        <v>52</v>
      </c>
      <c r="H1005">
        <v>5</v>
      </c>
      <c r="I1005" s="12">
        <v>65</v>
      </c>
      <c r="J1005" s="12">
        <v>30</v>
      </c>
      <c r="K1005">
        <v>2</v>
      </c>
      <c r="L1005">
        <v>3</v>
      </c>
      <c r="M1005">
        <v>300</v>
      </c>
      <c r="N1005" s="12">
        <f>+gemini_code_1787702791259[[#This Row],[Cantidad]]*gemini_code_1787702791259[[#This Row],[Precio_Unitario_USD]]</f>
        <v>325</v>
      </c>
      <c r="O1005" s="12">
        <f>+gemini_code_1787702791259[[#This Row],[Cantidad]]*gemini_code_1787702791259[[#This Row],[Costo_Unitario_USD]]</f>
        <v>150</v>
      </c>
      <c r="P1005" s="12">
        <f>+gemini_code_1787702791259[[#This Row],[venta total]]-gemini_code_1787702791259[[#This Row],[Costo total]]</f>
        <v>175</v>
      </c>
      <c r="Q1005" s="2">
        <f>gemini_code_1787702791259[[#This Row],[Ganancia bruta]]/gemini_code_1787702791259[[#This Row],[venta total]]</f>
        <v>0.53846153846153844</v>
      </c>
      <c r="R1005" t="str">
        <f>IF(gemini_code_1787702791259[[#This Row],[Dias_Entrega]]&lt;=gemini_code_1787702791259[[#This Row],[Promesa_SLA_Dias]],"A tiempo","Fuera de SLA")</f>
        <v>A tiempo</v>
      </c>
    </row>
    <row r="1006" spans="1:18" x14ac:dyDescent="0.25">
      <c r="A1006" t="s">
        <v>53</v>
      </c>
      <c r="B1006" s="1">
        <v>46239</v>
      </c>
      <c r="C1006" t="s">
        <v>26</v>
      </c>
      <c r="D1006" t="s">
        <v>27</v>
      </c>
      <c r="E1006" t="s">
        <v>16</v>
      </c>
      <c r="F1006" t="s">
        <v>28</v>
      </c>
      <c r="G1006" t="s">
        <v>54</v>
      </c>
      <c r="H1006">
        <v>2</v>
      </c>
      <c r="I1006" s="12">
        <v>180</v>
      </c>
      <c r="J1006" s="12">
        <v>110</v>
      </c>
      <c r="K1006">
        <v>6</v>
      </c>
      <c r="L1006">
        <v>3</v>
      </c>
      <c r="M1006">
        <v>350</v>
      </c>
      <c r="N1006" s="12">
        <f>+gemini_code_1787702791259[[#This Row],[Cantidad]]*gemini_code_1787702791259[[#This Row],[Precio_Unitario_USD]]</f>
        <v>360</v>
      </c>
      <c r="O1006" s="12">
        <f>+gemini_code_1787702791259[[#This Row],[Cantidad]]*gemini_code_1787702791259[[#This Row],[Costo_Unitario_USD]]</f>
        <v>220</v>
      </c>
      <c r="P1006" s="12">
        <f>+gemini_code_1787702791259[[#This Row],[venta total]]-gemini_code_1787702791259[[#This Row],[Costo total]]</f>
        <v>140</v>
      </c>
      <c r="Q1006" s="2">
        <f>gemini_code_1787702791259[[#This Row],[Ganancia bruta]]/gemini_code_1787702791259[[#This Row],[venta total]]</f>
        <v>0.3888888888888889</v>
      </c>
      <c r="R1006" t="str">
        <f>IF(gemini_code_1787702791259[[#This Row],[Dias_Entrega]]&lt;=gemini_code_1787702791259[[#This Row],[Promesa_SLA_Dias]],"A tiempo","Fuera de SLA")</f>
        <v>Fuera de SLA</v>
      </c>
    </row>
    <row r="1007" spans="1:18" x14ac:dyDescent="0.25">
      <c r="A1007" t="s">
        <v>55</v>
      </c>
      <c r="B1007" s="1">
        <v>46240</v>
      </c>
      <c r="C1007" t="s">
        <v>14</v>
      </c>
      <c r="D1007" t="s">
        <v>15</v>
      </c>
      <c r="E1007" t="s">
        <v>22</v>
      </c>
      <c r="F1007" t="s">
        <v>31</v>
      </c>
      <c r="G1007" t="s">
        <v>56</v>
      </c>
      <c r="H1007">
        <v>6</v>
      </c>
      <c r="I1007" s="12">
        <v>85</v>
      </c>
      <c r="J1007" s="12">
        <v>45</v>
      </c>
      <c r="K1007">
        <v>1</v>
      </c>
      <c r="L1007">
        <v>2</v>
      </c>
      <c r="M1007">
        <v>500</v>
      </c>
      <c r="N1007" s="12">
        <f>+gemini_code_1787702791259[[#This Row],[Cantidad]]*gemini_code_1787702791259[[#This Row],[Precio_Unitario_USD]]</f>
        <v>510</v>
      </c>
      <c r="O1007" s="12">
        <f>+gemini_code_1787702791259[[#This Row],[Cantidad]]*gemini_code_1787702791259[[#This Row],[Costo_Unitario_USD]]</f>
        <v>270</v>
      </c>
      <c r="P1007" s="12">
        <f>+gemini_code_1787702791259[[#This Row],[venta total]]-gemini_code_1787702791259[[#This Row],[Costo total]]</f>
        <v>240</v>
      </c>
      <c r="Q1007" s="2">
        <f>gemini_code_1787702791259[[#This Row],[Ganancia bruta]]/gemini_code_1787702791259[[#This Row],[venta total]]</f>
        <v>0.47058823529411764</v>
      </c>
      <c r="R1007" t="str">
        <f>IF(gemini_code_1787702791259[[#This Row],[Dias_Entrega]]&lt;=gemini_code_1787702791259[[#This Row],[Promesa_SLA_Dias]],"A tiempo","Fuera de SLA")</f>
        <v>A tiempo</v>
      </c>
    </row>
    <row r="1008" spans="1:18" x14ac:dyDescent="0.25">
      <c r="A1008" t="s">
        <v>57</v>
      </c>
      <c r="B1008" s="1">
        <v>46240</v>
      </c>
      <c r="C1008" t="s">
        <v>20</v>
      </c>
      <c r="D1008" t="s">
        <v>21</v>
      </c>
      <c r="E1008" t="s">
        <v>16</v>
      </c>
      <c r="F1008" t="s">
        <v>17</v>
      </c>
      <c r="G1008" t="s">
        <v>58</v>
      </c>
      <c r="H1008">
        <v>12</v>
      </c>
      <c r="I1008" s="12">
        <v>75</v>
      </c>
      <c r="J1008" s="12">
        <v>35</v>
      </c>
      <c r="K1008">
        <v>1</v>
      </c>
      <c r="L1008">
        <v>2</v>
      </c>
      <c r="M1008">
        <v>800</v>
      </c>
      <c r="N1008" s="12">
        <f>+gemini_code_1787702791259[[#This Row],[Cantidad]]*gemini_code_1787702791259[[#This Row],[Precio_Unitario_USD]]</f>
        <v>900</v>
      </c>
      <c r="O1008" s="12">
        <f>+gemini_code_1787702791259[[#This Row],[Cantidad]]*gemini_code_1787702791259[[#This Row],[Costo_Unitario_USD]]</f>
        <v>420</v>
      </c>
      <c r="P1008" s="12">
        <f>+gemini_code_1787702791259[[#This Row],[venta total]]-gemini_code_1787702791259[[#This Row],[Costo total]]</f>
        <v>480</v>
      </c>
      <c r="Q1008" s="2">
        <f>gemini_code_1787702791259[[#This Row],[Ganancia bruta]]/gemini_code_1787702791259[[#This Row],[venta total]]</f>
        <v>0.53333333333333333</v>
      </c>
      <c r="R1008" t="str">
        <f>IF(gemini_code_1787702791259[[#This Row],[Dias_Entrega]]&lt;=gemini_code_1787702791259[[#This Row],[Promesa_SLA_Dias]],"A tiempo","Fuera de SLA")</f>
        <v>A tiempo</v>
      </c>
    </row>
    <row r="1009" spans="1:18" x14ac:dyDescent="0.25">
      <c r="A1009" t="s">
        <v>59</v>
      </c>
      <c r="B1009" s="1">
        <v>46240</v>
      </c>
      <c r="C1009" t="s">
        <v>26</v>
      </c>
      <c r="D1009" t="s">
        <v>27</v>
      </c>
      <c r="E1009" t="s">
        <v>22</v>
      </c>
      <c r="F1009" t="s">
        <v>23</v>
      </c>
      <c r="G1009" t="s">
        <v>60</v>
      </c>
      <c r="H1009">
        <v>4</v>
      </c>
      <c r="I1009" s="12">
        <v>110</v>
      </c>
      <c r="J1009" s="12">
        <v>55</v>
      </c>
      <c r="K1009">
        <v>5</v>
      </c>
      <c r="L1009">
        <v>3</v>
      </c>
      <c r="M1009">
        <v>400</v>
      </c>
      <c r="N1009" s="12">
        <f>+gemini_code_1787702791259[[#This Row],[Cantidad]]*gemini_code_1787702791259[[#This Row],[Precio_Unitario_USD]]</f>
        <v>440</v>
      </c>
      <c r="O1009" s="12">
        <f>+gemini_code_1787702791259[[#This Row],[Cantidad]]*gemini_code_1787702791259[[#This Row],[Costo_Unitario_USD]]</f>
        <v>220</v>
      </c>
      <c r="P1009" s="12">
        <f>+gemini_code_1787702791259[[#This Row],[venta total]]-gemini_code_1787702791259[[#This Row],[Costo total]]</f>
        <v>220</v>
      </c>
      <c r="Q1009" s="2">
        <f>gemini_code_1787702791259[[#This Row],[Ganancia bruta]]/gemini_code_1787702791259[[#This Row],[venta total]]</f>
        <v>0.5</v>
      </c>
      <c r="R1009" t="str">
        <f>IF(gemini_code_1787702791259[[#This Row],[Dias_Entrega]]&lt;=gemini_code_1787702791259[[#This Row],[Promesa_SLA_Dias]],"A tiempo","Fuera de SLA")</f>
        <v>Fuera de SLA</v>
      </c>
    </row>
    <row r="1010" spans="1:18" x14ac:dyDescent="0.25">
      <c r="A1010" t="s">
        <v>61</v>
      </c>
      <c r="B1010" s="1">
        <v>46241</v>
      </c>
      <c r="C1010" t="s">
        <v>14</v>
      </c>
      <c r="D1010" t="s">
        <v>15</v>
      </c>
      <c r="E1010" t="s">
        <v>16</v>
      </c>
      <c r="F1010" t="s">
        <v>28</v>
      </c>
      <c r="G1010" t="s">
        <v>62</v>
      </c>
      <c r="H1010">
        <v>15</v>
      </c>
      <c r="I1010" s="12">
        <v>25</v>
      </c>
      <c r="J1010" s="12">
        <v>10</v>
      </c>
      <c r="K1010">
        <v>2</v>
      </c>
      <c r="L1010">
        <v>3</v>
      </c>
      <c r="M1010">
        <v>300</v>
      </c>
      <c r="N1010" s="12">
        <f>+gemini_code_1787702791259[[#This Row],[Cantidad]]*gemini_code_1787702791259[[#This Row],[Precio_Unitario_USD]]</f>
        <v>375</v>
      </c>
      <c r="O1010" s="12">
        <f>+gemini_code_1787702791259[[#This Row],[Cantidad]]*gemini_code_1787702791259[[#This Row],[Costo_Unitario_USD]]</f>
        <v>150</v>
      </c>
      <c r="P1010" s="12">
        <f>+gemini_code_1787702791259[[#This Row],[venta total]]-gemini_code_1787702791259[[#This Row],[Costo total]]</f>
        <v>225</v>
      </c>
      <c r="Q1010" s="2">
        <f>gemini_code_1787702791259[[#This Row],[Ganancia bruta]]/gemini_code_1787702791259[[#This Row],[venta total]]</f>
        <v>0.6</v>
      </c>
      <c r="R1010" t="str">
        <f>IF(gemini_code_1787702791259[[#This Row],[Dias_Entrega]]&lt;=gemini_code_1787702791259[[#This Row],[Promesa_SLA_Dias]],"A tiempo","Fuera de SLA")</f>
        <v>A tiempo</v>
      </c>
    </row>
    <row r="1011" spans="1:18" x14ac:dyDescent="0.25">
      <c r="A1011" t="s">
        <v>63</v>
      </c>
      <c r="B1011" s="1">
        <v>46241</v>
      </c>
      <c r="C1011" t="s">
        <v>20</v>
      </c>
      <c r="D1011" t="s">
        <v>21</v>
      </c>
      <c r="E1011" t="s">
        <v>22</v>
      </c>
      <c r="F1011" t="s">
        <v>31</v>
      </c>
      <c r="G1011" t="s">
        <v>64</v>
      </c>
      <c r="H1011">
        <v>5</v>
      </c>
      <c r="I1011" s="12">
        <v>130</v>
      </c>
      <c r="J1011" s="12">
        <v>70</v>
      </c>
      <c r="K1011">
        <v>3</v>
      </c>
      <c r="L1011">
        <v>3</v>
      </c>
      <c r="M1011">
        <v>600</v>
      </c>
      <c r="N1011" s="12">
        <f>+gemini_code_1787702791259[[#This Row],[Cantidad]]*gemini_code_1787702791259[[#This Row],[Precio_Unitario_USD]]</f>
        <v>650</v>
      </c>
      <c r="O1011" s="12">
        <f>+gemini_code_1787702791259[[#This Row],[Cantidad]]*gemini_code_1787702791259[[#This Row],[Costo_Unitario_USD]]</f>
        <v>350</v>
      </c>
      <c r="P1011" s="12">
        <f>+gemini_code_1787702791259[[#This Row],[venta total]]-gemini_code_1787702791259[[#This Row],[Costo total]]</f>
        <v>300</v>
      </c>
      <c r="Q1011" s="2">
        <f>gemini_code_1787702791259[[#This Row],[Ganancia bruta]]/gemini_code_1787702791259[[#This Row],[venta total]]</f>
        <v>0.46153846153846156</v>
      </c>
      <c r="R1011" t="str">
        <f>IF(gemini_code_1787702791259[[#This Row],[Dias_Entrega]]&lt;=gemini_code_1787702791259[[#This Row],[Promesa_SLA_Dias]],"A tiempo","Fuera de SLA")</f>
        <v>A tiempo</v>
      </c>
    </row>
    <row r="1012" spans="1:18" x14ac:dyDescent="0.25">
      <c r="A1012" t="s">
        <v>65</v>
      </c>
      <c r="B1012" s="1">
        <v>46241</v>
      </c>
      <c r="C1012" t="s">
        <v>26</v>
      </c>
      <c r="D1012" t="s">
        <v>27</v>
      </c>
      <c r="E1012" t="s">
        <v>16</v>
      </c>
      <c r="F1012" t="s">
        <v>17</v>
      </c>
      <c r="G1012" t="s">
        <v>66</v>
      </c>
      <c r="H1012">
        <v>2</v>
      </c>
      <c r="I1012" s="12">
        <v>500</v>
      </c>
      <c r="J1012" s="12">
        <v>380</v>
      </c>
      <c r="K1012">
        <v>6</v>
      </c>
      <c r="L1012">
        <v>4</v>
      </c>
      <c r="M1012">
        <v>900</v>
      </c>
      <c r="N1012" s="12">
        <f>+gemini_code_1787702791259[[#This Row],[Cantidad]]*gemini_code_1787702791259[[#This Row],[Precio_Unitario_USD]]</f>
        <v>1000</v>
      </c>
      <c r="O1012" s="12">
        <f>+gemini_code_1787702791259[[#This Row],[Cantidad]]*gemini_code_1787702791259[[#This Row],[Costo_Unitario_USD]]</f>
        <v>760</v>
      </c>
      <c r="P1012" s="12">
        <f>+gemini_code_1787702791259[[#This Row],[venta total]]-gemini_code_1787702791259[[#This Row],[Costo total]]</f>
        <v>240</v>
      </c>
      <c r="Q1012" s="2">
        <f>gemini_code_1787702791259[[#This Row],[Ganancia bruta]]/gemini_code_1787702791259[[#This Row],[venta total]]</f>
        <v>0.24</v>
      </c>
      <c r="R1012" t="str">
        <f>IF(gemini_code_1787702791259[[#This Row],[Dias_Entrega]]&lt;=gemini_code_1787702791259[[#This Row],[Promesa_SLA_Dias]],"A tiempo","Fuera de SLA")</f>
        <v>Fuera de SLA</v>
      </c>
    </row>
    <row r="1013" spans="1:18" x14ac:dyDescent="0.25">
      <c r="A1013" t="s">
        <v>67</v>
      </c>
      <c r="B1013" s="1">
        <v>46242</v>
      </c>
      <c r="C1013" t="s">
        <v>14</v>
      </c>
      <c r="D1013" t="s">
        <v>15</v>
      </c>
      <c r="E1013" t="s">
        <v>16</v>
      </c>
      <c r="F1013" t="s">
        <v>23</v>
      </c>
      <c r="G1013" t="s">
        <v>68</v>
      </c>
      <c r="H1013">
        <v>3</v>
      </c>
      <c r="I1013" s="12">
        <v>95</v>
      </c>
      <c r="J1013" s="12">
        <v>45</v>
      </c>
      <c r="K1013">
        <v>2</v>
      </c>
      <c r="L1013">
        <v>3</v>
      </c>
      <c r="M1013">
        <v>300</v>
      </c>
      <c r="N1013" s="12">
        <f>+gemini_code_1787702791259[[#This Row],[Cantidad]]*gemini_code_1787702791259[[#This Row],[Precio_Unitario_USD]]</f>
        <v>285</v>
      </c>
      <c r="O1013" s="12">
        <f>+gemini_code_1787702791259[[#This Row],[Cantidad]]*gemini_code_1787702791259[[#This Row],[Costo_Unitario_USD]]</f>
        <v>135</v>
      </c>
      <c r="P1013" s="12">
        <f>+gemini_code_1787702791259[[#This Row],[venta total]]-gemini_code_1787702791259[[#This Row],[Costo total]]</f>
        <v>150</v>
      </c>
      <c r="Q1013" s="2">
        <f>gemini_code_1787702791259[[#This Row],[Ganancia bruta]]/gemini_code_1787702791259[[#This Row],[venta total]]</f>
        <v>0.52631578947368418</v>
      </c>
      <c r="R1013" t="str">
        <f>IF(gemini_code_1787702791259[[#This Row],[Dias_Entrega]]&lt;=gemini_code_1787702791259[[#This Row],[Promesa_SLA_Dias]],"A tiempo","Fuera de SLA")</f>
        <v>A tiempo</v>
      </c>
    </row>
    <row r="1014" spans="1:18" x14ac:dyDescent="0.25">
      <c r="A1014" t="s">
        <v>69</v>
      </c>
      <c r="B1014" s="1">
        <v>46242</v>
      </c>
      <c r="C1014" t="s">
        <v>20</v>
      </c>
      <c r="D1014" t="s">
        <v>21</v>
      </c>
      <c r="E1014" t="s">
        <v>16</v>
      </c>
      <c r="F1014" t="s">
        <v>28</v>
      </c>
      <c r="G1014" t="s">
        <v>70</v>
      </c>
      <c r="H1014">
        <v>4</v>
      </c>
      <c r="I1014" s="12">
        <v>160</v>
      </c>
      <c r="J1014" s="12">
        <v>95</v>
      </c>
      <c r="K1014">
        <v>2</v>
      </c>
      <c r="L1014">
        <v>3</v>
      </c>
      <c r="M1014">
        <v>600</v>
      </c>
      <c r="N1014" s="12">
        <f>+gemini_code_1787702791259[[#This Row],[Cantidad]]*gemini_code_1787702791259[[#This Row],[Precio_Unitario_USD]]</f>
        <v>640</v>
      </c>
      <c r="O1014" s="12">
        <f>+gemini_code_1787702791259[[#This Row],[Cantidad]]*gemini_code_1787702791259[[#This Row],[Costo_Unitario_USD]]</f>
        <v>380</v>
      </c>
      <c r="P1014" s="12">
        <f>+gemini_code_1787702791259[[#This Row],[venta total]]-gemini_code_1787702791259[[#This Row],[Costo total]]</f>
        <v>260</v>
      </c>
      <c r="Q1014" s="2">
        <f>gemini_code_1787702791259[[#This Row],[Ganancia bruta]]/gemini_code_1787702791259[[#This Row],[venta total]]</f>
        <v>0.40625</v>
      </c>
      <c r="R1014" t="str">
        <f>IF(gemini_code_1787702791259[[#This Row],[Dias_Entrega]]&lt;=gemini_code_1787702791259[[#This Row],[Promesa_SLA_Dias]],"A tiempo","Fuera de SLA")</f>
        <v>A tiempo</v>
      </c>
    </row>
    <row r="1015" spans="1:18" x14ac:dyDescent="0.25">
      <c r="A1015" t="s">
        <v>71</v>
      </c>
      <c r="B1015" s="1">
        <v>46242</v>
      </c>
      <c r="C1015" t="s">
        <v>26</v>
      </c>
      <c r="D1015" t="s">
        <v>27</v>
      </c>
      <c r="E1015" t="s">
        <v>22</v>
      </c>
      <c r="F1015" t="s">
        <v>31</v>
      </c>
      <c r="G1015" t="s">
        <v>72</v>
      </c>
      <c r="H1015">
        <v>7</v>
      </c>
      <c r="I1015" s="12">
        <v>90</v>
      </c>
      <c r="J1015" s="12">
        <v>45</v>
      </c>
      <c r="K1015">
        <v>4</v>
      </c>
      <c r="L1015">
        <v>3</v>
      </c>
      <c r="M1015">
        <v>600</v>
      </c>
      <c r="N1015" s="12">
        <f>+gemini_code_1787702791259[[#This Row],[Cantidad]]*gemini_code_1787702791259[[#This Row],[Precio_Unitario_USD]]</f>
        <v>630</v>
      </c>
      <c r="O1015" s="12">
        <f>+gemini_code_1787702791259[[#This Row],[Cantidad]]*gemini_code_1787702791259[[#This Row],[Costo_Unitario_USD]]</f>
        <v>315</v>
      </c>
      <c r="P1015" s="12">
        <f>+gemini_code_1787702791259[[#This Row],[venta total]]-gemini_code_1787702791259[[#This Row],[Costo total]]</f>
        <v>315</v>
      </c>
      <c r="Q1015" s="2">
        <f>gemini_code_1787702791259[[#This Row],[Ganancia bruta]]/gemini_code_1787702791259[[#This Row],[venta total]]</f>
        <v>0.5</v>
      </c>
      <c r="R1015" t="str">
        <f>IF(gemini_code_1787702791259[[#This Row],[Dias_Entrega]]&lt;=gemini_code_1787702791259[[#This Row],[Promesa_SLA_Dias]],"A tiempo","Fuera de SLA")</f>
        <v>Fuera de SLA</v>
      </c>
    </row>
    <row r="1016" spans="1:18" x14ac:dyDescent="0.25">
      <c r="A1016" t="s">
        <v>73</v>
      </c>
      <c r="B1016" s="1">
        <v>46243</v>
      </c>
      <c r="C1016" t="s">
        <v>14</v>
      </c>
      <c r="D1016" t="s">
        <v>15</v>
      </c>
      <c r="E1016" t="s">
        <v>22</v>
      </c>
      <c r="F1016" t="s">
        <v>17</v>
      </c>
      <c r="G1016" t="s">
        <v>74</v>
      </c>
      <c r="H1016">
        <v>3</v>
      </c>
      <c r="I1016" s="12">
        <v>310</v>
      </c>
      <c r="J1016" s="12">
        <v>210</v>
      </c>
      <c r="K1016">
        <v>2</v>
      </c>
      <c r="L1016">
        <v>3</v>
      </c>
      <c r="M1016">
        <v>900</v>
      </c>
      <c r="N1016" s="12">
        <f>+gemini_code_1787702791259[[#This Row],[Cantidad]]*gemini_code_1787702791259[[#This Row],[Precio_Unitario_USD]]</f>
        <v>930</v>
      </c>
      <c r="O1016" s="12">
        <f>+gemini_code_1787702791259[[#This Row],[Cantidad]]*gemini_code_1787702791259[[#This Row],[Costo_Unitario_USD]]</f>
        <v>630</v>
      </c>
      <c r="P1016" s="12">
        <f>+gemini_code_1787702791259[[#This Row],[venta total]]-gemini_code_1787702791259[[#This Row],[Costo total]]</f>
        <v>300</v>
      </c>
      <c r="Q1016" s="2">
        <f>gemini_code_1787702791259[[#This Row],[Ganancia bruta]]/gemini_code_1787702791259[[#This Row],[venta total]]</f>
        <v>0.32258064516129031</v>
      </c>
      <c r="R1016" t="str">
        <f>IF(gemini_code_1787702791259[[#This Row],[Dias_Entrega]]&lt;=gemini_code_1787702791259[[#This Row],[Promesa_SLA_Dias]],"A tiempo","Fuera de SLA")</f>
        <v>A tiempo</v>
      </c>
    </row>
    <row r="1017" spans="1:18" x14ac:dyDescent="0.25">
      <c r="A1017" t="s">
        <v>75</v>
      </c>
      <c r="B1017" s="1">
        <v>46243</v>
      </c>
      <c r="C1017" t="s">
        <v>20</v>
      </c>
      <c r="D1017" t="s">
        <v>21</v>
      </c>
      <c r="E1017" t="s">
        <v>16</v>
      </c>
      <c r="F1017" t="s">
        <v>23</v>
      </c>
      <c r="G1017" t="s">
        <v>76</v>
      </c>
      <c r="H1017">
        <v>8</v>
      </c>
      <c r="I1017" s="12">
        <v>50</v>
      </c>
      <c r="J1017" s="12">
        <v>22</v>
      </c>
      <c r="K1017">
        <v>2</v>
      </c>
      <c r="L1017">
        <v>3</v>
      </c>
      <c r="M1017">
        <v>400</v>
      </c>
      <c r="N1017" s="12">
        <f>+gemini_code_1787702791259[[#This Row],[Cantidad]]*gemini_code_1787702791259[[#This Row],[Precio_Unitario_USD]]</f>
        <v>400</v>
      </c>
      <c r="O1017" s="12">
        <f>+gemini_code_1787702791259[[#This Row],[Cantidad]]*gemini_code_1787702791259[[#This Row],[Costo_Unitario_USD]]</f>
        <v>176</v>
      </c>
      <c r="P1017" s="12">
        <f>+gemini_code_1787702791259[[#This Row],[venta total]]-gemini_code_1787702791259[[#This Row],[Costo total]]</f>
        <v>224</v>
      </c>
      <c r="Q1017" s="2">
        <f>gemini_code_1787702791259[[#This Row],[Ganancia bruta]]/gemini_code_1787702791259[[#This Row],[venta total]]</f>
        <v>0.56000000000000005</v>
      </c>
      <c r="R1017" t="str">
        <f>IF(gemini_code_1787702791259[[#This Row],[Dias_Entrega]]&lt;=gemini_code_1787702791259[[#This Row],[Promesa_SLA_Dias]],"A tiempo","Fuera de SLA")</f>
        <v>A tiempo</v>
      </c>
    </row>
    <row r="1018" spans="1:18" x14ac:dyDescent="0.25">
      <c r="A1018" t="s">
        <v>77</v>
      </c>
      <c r="B1018" s="1">
        <v>46243</v>
      </c>
      <c r="C1018" t="s">
        <v>26</v>
      </c>
      <c r="D1018" t="s">
        <v>27</v>
      </c>
      <c r="E1018" t="s">
        <v>16</v>
      </c>
      <c r="F1018" t="s">
        <v>28</v>
      </c>
      <c r="G1018" t="s">
        <v>78</v>
      </c>
      <c r="H1018">
        <v>1</v>
      </c>
      <c r="I1018" s="12">
        <v>750</v>
      </c>
      <c r="J1018" s="12">
        <v>480</v>
      </c>
      <c r="K1018">
        <v>8</v>
      </c>
      <c r="L1018">
        <v>4</v>
      </c>
      <c r="M1018">
        <v>700</v>
      </c>
      <c r="N1018" s="12">
        <f>+gemini_code_1787702791259[[#This Row],[Cantidad]]*gemini_code_1787702791259[[#This Row],[Precio_Unitario_USD]]</f>
        <v>750</v>
      </c>
      <c r="O1018" s="12">
        <f>+gemini_code_1787702791259[[#This Row],[Cantidad]]*gemini_code_1787702791259[[#This Row],[Costo_Unitario_USD]]</f>
        <v>480</v>
      </c>
      <c r="P1018" s="12">
        <f>+gemini_code_1787702791259[[#This Row],[venta total]]-gemini_code_1787702791259[[#This Row],[Costo total]]</f>
        <v>270</v>
      </c>
      <c r="Q1018" s="2">
        <f>gemini_code_1787702791259[[#This Row],[Ganancia bruta]]/gemini_code_1787702791259[[#This Row],[venta total]]</f>
        <v>0.36</v>
      </c>
      <c r="R1018" t="str">
        <f>IF(gemini_code_1787702791259[[#This Row],[Dias_Entrega]]&lt;=gemini_code_1787702791259[[#This Row],[Promesa_SLA_Dias]],"A tiempo","Fuera de SLA")</f>
        <v>Fuera de SLA</v>
      </c>
    </row>
    <row r="1019" spans="1:18" x14ac:dyDescent="0.25">
      <c r="A1019" t="s">
        <v>79</v>
      </c>
      <c r="B1019" s="1">
        <v>46244</v>
      </c>
      <c r="C1019" t="s">
        <v>14</v>
      </c>
      <c r="D1019" t="s">
        <v>15</v>
      </c>
      <c r="E1019" t="s">
        <v>16</v>
      </c>
      <c r="F1019" t="s">
        <v>31</v>
      </c>
      <c r="G1019" t="s">
        <v>80</v>
      </c>
      <c r="H1019">
        <v>4</v>
      </c>
      <c r="I1019" s="12">
        <v>140</v>
      </c>
      <c r="J1019" s="12">
        <v>75</v>
      </c>
      <c r="K1019">
        <v>3</v>
      </c>
      <c r="L1019">
        <v>3</v>
      </c>
      <c r="M1019">
        <v>500</v>
      </c>
      <c r="N1019" s="12">
        <f>+gemini_code_1787702791259[[#This Row],[Cantidad]]*gemini_code_1787702791259[[#This Row],[Precio_Unitario_USD]]</f>
        <v>560</v>
      </c>
      <c r="O1019" s="12">
        <f>+gemini_code_1787702791259[[#This Row],[Cantidad]]*gemini_code_1787702791259[[#This Row],[Costo_Unitario_USD]]</f>
        <v>300</v>
      </c>
      <c r="P1019" s="12">
        <f>+gemini_code_1787702791259[[#This Row],[venta total]]-gemini_code_1787702791259[[#This Row],[Costo total]]</f>
        <v>260</v>
      </c>
      <c r="Q1019" s="2">
        <f>gemini_code_1787702791259[[#This Row],[Ganancia bruta]]/gemini_code_1787702791259[[#This Row],[venta total]]</f>
        <v>0.4642857142857143</v>
      </c>
      <c r="R1019" t="str">
        <f>IF(gemini_code_1787702791259[[#This Row],[Dias_Entrega]]&lt;=gemini_code_1787702791259[[#This Row],[Promesa_SLA_Dias]],"A tiempo","Fuera de SLA")</f>
        <v>A tiempo</v>
      </c>
    </row>
    <row r="1020" spans="1:18" x14ac:dyDescent="0.25">
      <c r="A1020" t="s">
        <v>81</v>
      </c>
      <c r="B1020" s="1">
        <v>46244</v>
      </c>
      <c r="C1020" t="s">
        <v>20</v>
      </c>
      <c r="D1020" t="s">
        <v>21</v>
      </c>
      <c r="E1020" t="s">
        <v>22</v>
      </c>
      <c r="F1020" t="s">
        <v>17</v>
      </c>
      <c r="G1020" t="s">
        <v>82</v>
      </c>
      <c r="H1020">
        <v>6</v>
      </c>
      <c r="I1020" s="12">
        <v>90</v>
      </c>
      <c r="J1020" s="12">
        <v>50</v>
      </c>
      <c r="K1020">
        <v>1</v>
      </c>
      <c r="L1020">
        <v>2</v>
      </c>
      <c r="M1020">
        <v>500</v>
      </c>
      <c r="N1020" s="12">
        <f>+gemini_code_1787702791259[[#This Row],[Cantidad]]*gemini_code_1787702791259[[#This Row],[Precio_Unitario_USD]]</f>
        <v>540</v>
      </c>
      <c r="O1020" s="12">
        <f>+gemini_code_1787702791259[[#This Row],[Cantidad]]*gemini_code_1787702791259[[#This Row],[Costo_Unitario_USD]]</f>
        <v>300</v>
      </c>
      <c r="P1020" s="12">
        <f>+gemini_code_1787702791259[[#This Row],[venta total]]-gemini_code_1787702791259[[#This Row],[Costo total]]</f>
        <v>240</v>
      </c>
      <c r="Q1020" s="2">
        <f>gemini_code_1787702791259[[#This Row],[Ganancia bruta]]/gemini_code_1787702791259[[#This Row],[venta total]]</f>
        <v>0.44444444444444442</v>
      </c>
      <c r="R1020" t="str">
        <f>IF(gemini_code_1787702791259[[#This Row],[Dias_Entrega]]&lt;=gemini_code_1787702791259[[#This Row],[Promesa_SLA_Dias]],"A tiempo","Fuera de SLA")</f>
        <v>A tiempo</v>
      </c>
    </row>
    <row r="1021" spans="1:18" x14ac:dyDescent="0.25">
      <c r="A1021" t="s">
        <v>83</v>
      </c>
      <c r="B1021" s="1">
        <v>46244</v>
      </c>
      <c r="C1021" t="s">
        <v>26</v>
      </c>
      <c r="D1021" t="s">
        <v>27</v>
      </c>
      <c r="E1021" t="s">
        <v>16</v>
      </c>
      <c r="F1021" t="s">
        <v>23</v>
      </c>
      <c r="G1021" t="s">
        <v>84</v>
      </c>
      <c r="H1021">
        <v>6</v>
      </c>
      <c r="I1021" s="12">
        <v>60</v>
      </c>
      <c r="J1021" s="12">
        <v>28</v>
      </c>
      <c r="K1021">
        <v>5</v>
      </c>
      <c r="L1021">
        <v>3</v>
      </c>
      <c r="M1021">
        <v>350</v>
      </c>
      <c r="N1021" s="12">
        <f>+gemini_code_1787702791259[[#This Row],[Cantidad]]*gemini_code_1787702791259[[#This Row],[Precio_Unitario_USD]]</f>
        <v>360</v>
      </c>
      <c r="O1021" s="12">
        <f>+gemini_code_1787702791259[[#This Row],[Cantidad]]*gemini_code_1787702791259[[#This Row],[Costo_Unitario_USD]]</f>
        <v>168</v>
      </c>
      <c r="P1021" s="12">
        <f>+gemini_code_1787702791259[[#This Row],[venta total]]-gemini_code_1787702791259[[#This Row],[Costo total]]</f>
        <v>192</v>
      </c>
      <c r="Q1021" s="2">
        <f>gemini_code_1787702791259[[#This Row],[Ganancia bruta]]/gemini_code_1787702791259[[#This Row],[venta total]]</f>
        <v>0.53333333333333333</v>
      </c>
      <c r="R1021" t="str">
        <f>IF(gemini_code_1787702791259[[#This Row],[Dias_Entrega]]&lt;=gemini_code_1787702791259[[#This Row],[Promesa_SLA_Dias]],"A tiempo","Fuera de SLA")</f>
        <v>Fuera de SLA</v>
      </c>
    </row>
    <row r="1022" spans="1:18" x14ac:dyDescent="0.25">
      <c r="A1022" t="s">
        <v>13</v>
      </c>
      <c r="B1022" s="1">
        <v>46235</v>
      </c>
      <c r="C1022" t="s">
        <v>14</v>
      </c>
      <c r="D1022" t="s">
        <v>15</v>
      </c>
      <c r="E1022" t="s">
        <v>16</v>
      </c>
      <c r="F1022" t="s">
        <v>17</v>
      </c>
      <c r="G1022" t="s">
        <v>18</v>
      </c>
      <c r="H1022">
        <v>2</v>
      </c>
      <c r="I1022" s="12">
        <v>850</v>
      </c>
      <c r="J1022" s="12">
        <v>600</v>
      </c>
      <c r="K1022">
        <v>2</v>
      </c>
      <c r="L1022">
        <v>3</v>
      </c>
      <c r="M1022">
        <v>1500</v>
      </c>
      <c r="N1022" s="12">
        <f>+gemini_code_1787702791259[[#This Row],[Cantidad]]*gemini_code_1787702791259[[#This Row],[Precio_Unitario_USD]]</f>
        <v>1700</v>
      </c>
      <c r="O1022" s="12">
        <f>+gemini_code_1787702791259[[#This Row],[Cantidad]]*gemini_code_1787702791259[[#This Row],[Costo_Unitario_USD]]</f>
        <v>1200</v>
      </c>
      <c r="P1022" s="12">
        <f>+gemini_code_1787702791259[[#This Row],[venta total]]-gemini_code_1787702791259[[#This Row],[Costo total]]</f>
        <v>500</v>
      </c>
      <c r="Q1022" s="2">
        <f>gemini_code_1787702791259[[#This Row],[Ganancia bruta]]/gemini_code_1787702791259[[#This Row],[venta total]]</f>
        <v>0.29411764705882354</v>
      </c>
      <c r="R1022" t="str">
        <f>IF(gemini_code_1787702791259[[#This Row],[Dias_Entrega]]&lt;=gemini_code_1787702791259[[#This Row],[Promesa_SLA_Dias]],"A tiempo","Fuera de SLA")</f>
        <v>A tiempo</v>
      </c>
    </row>
    <row r="1023" spans="1:18" x14ac:dyDescent="0.25">
      <c r="A1023" t="s">
        <v>19</v>
      </c>
      <c r="B1023" s="1">
        <v>46235</v>
      </c>
      <c r="C1023" t="s">
        <v>20</v>
      </c>
      <c r="D1023" t="s">
        <v>21</v>
      </c>
      <c r="E1023" t="s">
        <v>22</v>
      </c>
      <c r="F1023" t="s">
        <v>23</v>
      </c>
      <c r="G1023" t="s">
        <v>24</v>
      </c>
      <c r="H1023">
        <v>5</v>
      </c>
      <c r="I1023" s="12">
        <v>120</v>
      </c>
      <c r="J1023" s="12">
        <v>70</v>
      </c>
      <c r="K1023">
        <v>3</v>
      </c>
      <c r="L1023">
        <v>3</v>
      </c>
      <c r="M1023">
        <v>500</v>
      </c>
      <c r="N1023" s="12">
        <f>+gemini_code_1787702791259[[#This Row],[Cantidad]]*gemini_code_1787702791259[[#This Row],[Precio_Unitario_USD]]</f>
        <v>600</v>
      </c>
      <c r="O1023" s="12">
        <f>+gemini_code_1787702791259[[#This Row],[Cantidad]]*gemini_code_1787702791259[[#This Row],[Costo_Unitario_USD]]</f>
        <v>350</v>
      </c>
      <c r="P1023" s="12">
        <f>+gemini_code_1787702791259[[#This Row],[venta total]]-gemini_code_1787702791259[[#This Row],[Costo total]]</f>
        <v>250</v>
      </c>
      <c r="Q1023" s="2">
        <f>gemini_code_1787702791259[[#This Row],[Ganancia bruta]]/gemini_code_1787702791259[[#This Row],[venta total]]</f>
        <v>0.41666666666666669</v>
      </c>
      <c r="R1023" t="str">
        <f>IF(gemini_code_1787702791259[[#This Row],[Dias_Entrega]]&lt;=gemini_code_1787702791259[[#This Row],[Promesa_SLA_Dias]],"A tiempo","Fuera de SLA")</f>
        <v>A tiempo</v>
      </c>
    </row>
    <row r="1024" spans="1:18" x14ac:dyDescent="0.25">
      <c r="A1024" t="s">
        <v>25</v>
      </c>
      <c r="B1024" s="1">
        <v>46235</v>
      </c>
      <c r="C1024" t="s">
        <v>26</v>
      </c>
      <c r="D1024" t="s">
        <v>27</v>
      </c>
      <c r="E1024" t="s">
        <v>16</v>
      </c>
      <c r="F1024" t="s">
        <v>28</v>
      </c>
      <c r="G1024" t="s">
        <v>29</v>
      </c>
      <c r="H1024">
        <v>3</v>
      </c>
      <c r="I1024" s="12">
        <v>90</v>
      </c>
      <c r="J1024" s="12">
        <v>50</v>
      </c>
      <c r="K1024">
        <v>6</v>
      </c>
      <c r="L1024">
        <v>4</v>
      </c>
      <c r="M1024">
        <v>300</v>
      </c>
      <c r="N1024" s="12">
        <f>+gemini_code_1787702791259[[#This Row],[Cantidad]]*gemini_code_1787702791259[[#This Row],[Precio_Unitario_USD]]</f>
        <v>270</v>
      </c>
      <c r="O1024" s="12">
        <f>+gemini_code_1787702791259[[#This Row],[Cantidad]]*gemini_code_1787702791259[[#This Row],[Costo_Unitario_USD]]</f>
        <v>150</v>
      </c>
      <c r="P1024" s="12">
        <f>+gemini_code_1787702791259[[#This Row],[venta total]]-gemini_code_1787702791259[[#This Row],[Costo total]]</f>
        <v>120</v>
      </c>
      <c r="Q1024" s="2">
        <f>gemini_code_1787702791259[[#This Row],[Ganancia bruta]]/gemini_code_1787702791259[[#This Row],[venta total]]</f>
        <v>0.44444444444444442</v>
      </c>
      <c r="R1024" t="str">
        <f>IF(gemini_code_1787702791259[[#This Row],[Dias_Entrega]]&lt;=gemini_code_1787702791259[[#This Row],[Promesa_SLA_Dias]],"A tiempo","Fuera de SLA")</f>
        <v>Fuera de SLA</v>
      </c>
    </row>
    <row r="1025" spans="1:18" x14ac:dyDescent="0.25">
      <c r="A1025" t="s">
        <v>30</v>
      </c>
      <c r="B1025" s="1">
        <v>46236</v>
      </c>
      <c r="C1025" t="s">
        <v>14</v>
      </c>
      <c r="D1025" t="s">
        <v>15</v>
      </c>
      <c r="E1025" t="s">
        <v>22</v>
      </c>
      <c r="F1025" t="s">
        <v>31</v>
      </c>
      <c r="G1025" t="s">
        <v>32</v>
      </c>
      <c r="H1025">
        <v>4</v>
      </c>
      <c r="I1025" s="12">
        <v>110</v>
      </c>
      <c r="J1025" s="12">
        <v>60</v>
      </c>
      <c r="K1025">
        <v>1</v>
      </c>
      <c r="L1025">
        <v>2</v>
      </c>
      <c r="M1025">
        <v>400</v>
      </c>
      <c r="N1025" s="12">
        <f>+gemini_code_1787702791259[[#This Row],[Cantidad]]*gemini_code_1787702791259[[#This Row],[Precio_Unitario_USD]]</f>
        <v>440</v>
      </c>
      <c r="O1025" s="12">
        <f>+gemini_code_1787702791259[[#This Row],[Cantidad]]*gemini_code_1787702791259[[#This Row],[Costo_Unitario_USD]]</f>
        <v>240</v>
      </c>
      <c r="P1025" s="12">
        <f>+gemini_code_1787702791259[[#This Row],[venta total]]-gemini_code_1787702791259[[#This Row],[Costo total]]</f>
        <v>200</v>
      </c>
      <c r="Q1025" s="2">
        <f>gemini_code_1787702791259[[#This Row],[Ganancia bruta]]/gemini_code_1787702791259[[#This Row],[venta total]]</f>
        <v>0.45454545454545453</v>
      </c>
      <c r="R1025" t="str">
        <f>IF(gemini_code_1787702791259[[#This Row],[Dias_Entrega]]&lt;=gemini_code_1787702791259[[#This Row],[Promesa_SLA_Dias]],"A tiempo","Fuera de SLA")</f>
        <v>A tiempo</v>
      </c>
    </row>
    <row r="1026" spans="1:18" x14ac:dyDescent="0.25">
      <c r="A1026" t="s">
        <v>33</v>
      </c>
      <c r="B1026" s="1">
        <v>46236</v>
      </c>
      <c r="C1026" t="s">
        <v>20</v>
      </c>
      <c r="D1026" t="s">
        <v>21</v>
      </c>
      <c r="E1026" t="s">
        <v>16</v>
      </c>
      <c r="F1026" t="s">
        <v>17</v>
      </c>
      <c r="G1026" t="s">
        <v>34</v>
      </c>
      <c r="H1026">
        <v>3</v>
      </c>
      <c r="I1026" s="12">
        <v>650</v>
      </c>
      <c r="J1026" s="12">
        <v>450</v>
      </c>
      <c r="K1026">
        <v>2</v>
      </c>
      <c r="L1026">
        <v>3</v>
      </c>
      <c r="M1026">
        <v>1800</v>
      </c>
      <c r="N1026" s="12">
        <f>+gemini_code_1787702791259[[#This Row],[Cantidad]]*gemini_code_1787702791259[[#This Row],[Precio_Unitario_USD]]</f>
        <v>1950</v>
      </c>
      <c r="O1026" s="12">
        <f>+gemini_code_1787702791259[[#This Row],[Cantidad]]*gemini_code_1787702791259[[#This Row],[Costo_Unitario_USD]]</f>
        <v>1350</v>
      </c>
      <c r="P1026" s="12">
        <f>+gemini_code_1787702791259[[#This Row],[venta total]]-gemini_code_1787702791259[[#This Row],[Costo total]]</f>
        <v>600</v>
      </c>
      <c r="Q1026" s="2">
        <f>gemini_code_1787702791259[[#This Row],[Ganancia bruta]]/gemini_code_1787702791259[[#This Row],[venta total]]</f>
        <v>0.30769230769230771</v>
      </c>
      <c r="R1026" t="str">
        <f>IF(gemini_code_1787702791259[[#This Row],[Dias_Entrega]]&lt;=gemini_code_1787702791259[[#This Row],[Promesa_SLA_Dias]],"A tiempo","Fuera de SLA")</f>
        <v>A tiempo</v>
      </c>
    </row>
    <row r="1027" spans="1:18" x14ac:dyDescent="0.25">
      <c r="A1027" t="s">
        <v>35</v>
      </c>
      <c r="B1027" s="1">
        <v>46236</v>
      </c>
      <c r="C1027" t="s">
        <v>26</v>
      </c>
      <c r="D1027" t="s">
        <v>27</v>
      </c>
      <c r="E1027" t="s">
        <v>16</v>
      </c>
      <c r="F1027" t="s">
        <v>23</v>
      </c>
      <c r="G1027" t="s">
        <v>36</v>
      </c>
      <c r="H1027">
        <v>8</v>
      </c>
      <c r="I1027" s="12">
        <v>45</v>
      </c>
      <c r="J1027" s="12">
        <v>20</v>
      </c>
      <c r="K1027">
        <v>5</v>
      </c>
      <c r="L1027">
        <v>3</v>
      </c>
      <c r="M1027">
        <v>400</v>
      </c>
      <c r="N1027" s="12">
        <f>+gemini_code_1787702791259[[#This Row],[Cantidad]]*gemini_code_1787702791259[[#This Row],[Precio_Unitario_USD]]</f>
        <v>360</v>
      </c>
      <c r="O1027" s="12">
        <f>+gemini_code_1787702791259[[#This Row],[Cantidad]]*gemini_code_1787702791259[[#This Row],[Costo_Unitario_USD]]</f>
        <v>160</v>
      </c>
      <c r="P1027" s="12">
        <f>+gemini_code_1787702791259[[#This Row],[venta total]]-gemini_code_1787702791259[[#This Row],[Costo total]]</f>
        <v>200</v>
      </c>
      <c r="Q1027" s="2">
        <f>gemini_code_1787702791259[[#This Row],[Ganancia bruta]]/gemini_code_1787702791259[[#This Row],[venta total]]</f>
        <v>0.55555555555555558</v>
      </c>
      <c r="R1027" t="str">
        <f>IF(gemini_code_1787702791259[[#This Row],[Dias_Entrega]]&lt;=gemini_code_1787702791259[[#This Row],[Promesa_SLA_Dias]],"A tiempo","Fuera de SLA")</f>
        <v>Fuera de SLA</v>
      </c>
    </row>
    <row r="1028" spans="1:18" x14ac:dyDescent="0.25">
      <c r="A1028" t="s">
        <v>37</v>
      </c>
      <c r="B1028" s="1">
        <v>46237</v>
      </c>
      <c r="C1028" t="s">
        <v>14</v>
      </c>
      <c r="D1028" t="s">
        <v>15</v>
      </c>
      <c r="E1028" t="s">
        <v>16</v>
      </c>
      <c r="F1028" t="s">
        <v>28</v>
      </c>
      <c r="G1028" t="s">
        <v>38</v>
      </c>
      <c r="H1028">
        <v>2</v>
      </c>
      <c r="I1028" s="12">
        <v>280</v>
      </c>
      <c r="J1028" s="12">
        <v>180</v>
      </c>
      <c r="K1028">
        <v>3</v>
      </c>
      <c r="L1028">
        <v>3</v>
      </c>
      <c r="M1028">
        <v>500</v>
      </c>
      <c r="N1028" s="12">
        <f>+gemini_code_1787702791259[[#This Row],[Cantidad]]*gemini_code_1787702791259[[#This Row],[Precio_Unitario_USD]]</f>
        <v>560</v>
      </c>
      <c r="O1028" s="12">
        <f>+gemini_code_1787702791259[[#This Row],[Cantidad]]*gemini_code_1787702791259[[#This Row],[Costo_Unitario_USD]]</f>
        <v>360</v>
      </c>
      <c r="P1028" s="12">
        <f>+gemini_code_1787702791259[[#This Row],[venta total]]-gemini_code_1787702791259[[#This Row],[Costo total]]</f>
        <v>200</v>
      </c>
      <c r="Q1028" s="2">
        <f>gemini_code_1787702791259[[#This Row],[Ganancia bruta]]/gemini_code_1787702791259[[#This Row],[venta total]]</f>
        <v>0.35714285714285715</v>
      </c>
      <c r="R1028" t="str">
        <f>IF(gemini_code_1787702791259[[#This Row],[Dias_Entrega]]&lt;=gemini_code_1787702791259[[#This Row],[Promesa_SLA_Dias]],"A tiempo","Fuera de SLA")</f>
        <v>A tiempo</v>
      </c>
    </row>
    <row r="1029" spans="1:18" x14ac:dyDescent="0.25">
      <c r="A1029" t="s">
        <v>39</v>
      </c>
      <c r="B1029" s="1">
        <v>46237</v>
      </c>
      <c r="C1029" t="s">
        <v>20</v>
      </c>
      <c r="D1029" t="s">
        <v>21</v>
      </c>
      <c r="E1029" t="s">
        <v>22</v>
      </c>
      <c r="F1029" t="s">
        <v>31</v>
      </c>
      <c r="G1029" t="s">
        <v>40</v>
      </c>
      <c r="H1029">
        <v>3</v>
      </c>
      <c r="I1029" s="12">
        <v>150</v>
      </c>
      <c r="J1029" s="12">
        <v>85</v>
      </c>
      <c r="K1029">
        <v>2</v>
      </c>
      <c r="L1029">
        <v>2</v>
      </c>
      <c r="M1029">
        <v>400</v>
      </c>
      <c r="N1029" s="12">
        <f>+gemini_code_1787702791259[[#This Row],[Cantidad]]*gemini_code_1787702791259[[#This Row],[Precio_Unitario_USD]]</f>
        <v>450</v>
      </c>
      <c r="O1029" s="12">
        <f>+gemini_code_1787702791259[[#This Row],[Cantidad]]*gemini_code_1787702791259[[#This Row],[Costo_Unitario_USD]]</f>
        <v>255</v>
      </c>
      <c r="P1029" s="12">
        <f>+gemini_code_1787702791259[[#This Row],[venta total]]-gemini_code_1787702791259[[#This Row],[Costo total]]</f>
        <v>195</v>
      </c>
      <c r="Q1029" s="2">
        <f>gemini_code_1787702791259[[#This Row],[Ganancia bruta]]/gemini_code_1787702791259[[#This Row],[venta total]]</f>
        <v>0.43333333333333335</v>
      </c>
      <c r="R1029" t="str">
        <f>IF(gemini_code_1787702791259[[#This Row],[Dias_Entrega]]&lt;=gemini_code_1787702791259[[#This Row],[Promesa_SLA_Dias]],"A tiempo","Fuera de SLA")</f>
        <v>A tiempo</v>
      </c>
    </row>
    <row r="1030" spans="1:18" x14ac:dyDescent="0.25">
      <c r="A1030" t="s">
        <v>41</v>
      </c>
      <c r="B1030" s="1">
        <v>46237</v>
      </c>
      <c r="C1030" t="s">
        <v>26</v>
      </c>
      <c r="D1030" t="s">
        <v>27</v>
      </c>
      <c r="E1030" t="s">
        <v>16</v>
      </c>
      <c r="F1030" t="s">
        <v>17</v>
      </c>
      <c r="G1030" t="s">
        <v>42</v>
      </c>
      <c r="H1030">
        <v>2</v>
      </c>
      <c r="I1030" s="12">
        <v>520</v>
      </c>
      <c r="J1030" s="12">
        <v>380</v>
      </c>
      <c r="K1030">
        <v>7</v>
      </c>
      <c r="L1030">
        <v>4</v>
      </c>
      <c r="M1030">
        <v>1000</v>
      </c>
      <c r="N1030" s="12">
        <f>+gemini_code_1787702791259[[#This Row],[Cantidad]]*gemini_code_1787702791259[[#This Row],[Precio_Unitario_USD]]</f>
        <v>1040</v>
      </c>
      <c r="O1030" s="12">
        <f>+gemini_code_1787702791259[[#This Row],[Cantidad]]*gemini_code_1787702791259[[#This Row],[Costo_Unitario_USD]]</f>
        <v>760</v>
      </c>
      <c r="P1030" s="12">
        <f>+gemini_code_1787702791259[[#This Row],[venta total]]-gemini_code_1787702791259[[#This Row],[Costo total]]</f>
        <v>280</v>
      </c>
      <c r="Q1030" s="2">
        <f>gemini_code_1787702791259[[#This Row],[Ganancia bruta]]/gemini_code_1787702791259[[#This Row],[venta total]]</f>
        <v>0.26923076923076922</v>
      </c>
      <c r="R1030" t="str">
        <f>IF(gemini_code_1787702791259[[#This Row],[Dias_Entrega]]&lt;=gemini_code_1787702791259[[#This Row],[Promesa_SLA_Dias]],"A tiempo","Fuera de SLA")</f>
        <v>Fuera de SLA</v>
      </c>
    </row>
    <row r="1031" spans="1:18" x14ac:dyDescent="0.25">
      <c r="A1031" t="s">
        <v>43</v>
      </c>
      <c r="B1031" s="1">
        <v>46238</v>
      </c>
      <c r="C1031" t="s">
        <v>14</v>
      </c>
      <c r="D1031" t="s">
        <v>15</v>
      </c>
      <c r="E1031" t="s">
        <v>22</v>
      </c>
      <c r="F1031" t="s">
        <v>23</v>
      </c>
      <c r="G1031" t="s">
        <v>44</v>
      </c>
      <c r="H1031">
        <v>6</v>
      </c>
      <c r="I1031" s="12">
        <v>55</v>
      </c>
      <c r="J1031" s="12">
        <v>25</v>
      </c>
      <c r="K1031">
        <v>2</v>
      </c>
      <c r="L1031">
        <v>3</v>
      </c>
      <c r="M1031">
        <v>300</v>
      </c>
      <c r="N1031" s="12">
        <f>+gemini_code_1787702791259[[#This Row],[Cantidad]]*gemini_code_1787702791259[[#This Row],[Precio_Unitario_USD]]</f>
        <v>330</v>
      </c>
      <c r="O1031" s="12">
        <f>+gemini_code_1787702791259[[#This Row],[Cantidad]]*gemini_code_1787702791259[[#This Row],[Costo_Unitario_USD]]</f>
        <v>150</v>
      </c>
      <c r="P1031" s="12">
        <f>+gemini_code_1787702791259[[#This Row],[venta total]]-gemini_code_1787702791259[[#This Row],[Costo total]]</f>
        <v>180</v>
      </c>
      <c r="Q1031" s="2">
        <f>gemini_code_1787702791259[[#This Row],[Ganancia bruta]]/gemini_code_1787702791259[[#This Row],[venta total]]</f>
        <v>0.54545454545454541</v>
      </c>
      <c r="R1031" t="str">
        <f>IF(gemini_code_1787702791259[[#This Row],[Dias_Entrega]]&lt;=gemini_code_1787702791259[[#This Row],[Promesa_SLA_Dias]],"A tiempo","Fuera de SLA")</f>
        <v>A tiempo</v>
      </c>
    </row>
    <row r="1032" spans="1:18" x14ac:dyDescent="0.25">
      <c r="A1032" t="s">
        <v>45</v>
      </c>
      <c r="B1032" s="1">
        <v>46238</v>
      </c>
      <c r="C1032" t="s">
        <v>20</v>
      </c>
      <c r="D1032" t="s">
        <v>21</v>
      </c>
      <c r="E1032" t="s">
        <v>16</v>
      </c>
      <c r="F1032" t="s">
        <v>28</v>
      </c>
      <c r="G1032" t="s">
        <v>46</v>
      </c>
      <c r="H1032">
        <v>1</v>
      </c>
      <c r="I1032" s="12">
        <v>450</v>
      </c>
      <c r="J1032" s="12">
        <v>290</v>
      </c>
      <c r="K1032">
        <v>4</v>
      </c>
      <c r="L1032">
        <v>3</v>
      </c>
      <c r="M1032">
        <v>400</v>
      </c>
      <c r="N1032" s="12">
        <f>+gemini_code_1787702791259[[#This Row],[Cantidad]]*gemini_code_1787702791259[[#This Row],[Precio_Unitario_USD]]</f>
        <v>450</v>
      </c>
      <c r="O1032" s="12">
        <f>+gemini_code_1787702791259[[#This Row],[Cantidad]]*gemini_code_1787702791259[[#This Row],[Costo_Unitario_USD]]</f>
        <v>290</v>
      </c>
      <c r="P1032" s="12">
        <f>+gemini_code_1787702791259[[#This Row],[venta total]]-gemini_code_1787702791259[[#This Row],[Costo total]]</f>
        <v>160</v>
      </c>
      <c r="Q1032" s="2">
        <f>gemini_code_1787702791259[[#This Row],[Ganancia bruta]]/gemini_code_1787702791259[[#This Row],[venta total]]</f>
        <v>0.35555555555555557</v>
      </c>
      <c r="R1032" t="str">
        <f>IF(gemini_code_1787702791259[[#This Row],[Dias_Entrega]]&lt;=gemini_code_1787702791259[[#This Row],[Promesa_SLA_Dias]],"A tiempo","Fuera de SLA")</f>
        <v>Fuera de SLA</v>
      </c>
    </row>
    <row r="1033" spans="1:18" x14ac:dyDescent="0.25">
      <c r="A1033" t="s">
        <v>47</v>
      </c>
      <c r="B1033" s="1">
        <v>46238</v>
      </c>
      <c r="C1033" t="s">
        <v>26</v>
      </c>
      <c r="D1033" t="s">
        <v>27</v>
      </c>
      <c r="E1033" t="s">
        <v>22</v>
      </c>
      <c r="F1033" t="s">
        <v>31</v>
      </c>
      <c r="G1033" t="s">
        <v>48</v>
      </c>
      <c r="H1033">
        <v>10</v>
      </c>
      <c r="I1033" s="12">
        <v>35</v>
      </c>
      <c r="J1033" s="12">
        <v>15</v>
      </c>
      <c r="K1033">
        <v>4</v>
      </c>
      <c r="L1033">
        <v>3</v>
      </c>
      <c r="M1033">
        <v>300</v>
      </c>
      <c r="N1033" s="12">
        <f>+gemini_code_1787702791259[[#This Row],[Cantidad]]*gemini_code_1787702791259[[#This Row],[Precio_Unitario_USD]]</f>
        <v>350</v>
      </c>
      <c r="O1033" s="12">
        <f>+gemini_code_1787702791259[[#This Row],[Cantidad]]*gemini_code_1787702791259[[#This Row],[Costo_Unitario_USD]]</f>
        <v>150</v>
      </c>
      <c r="P1033" s="12">
        <f>+gemini_code_1787702791259[[#This Row],[venta total]]-gemini_code_1787702791259[[#This Row],[Costo total]]</f>
        <v>200</v>
      </c>
      <c r="Q1033" s="2">
        <f>gemini_code_1787702791259[[#This Row],[Ganancia bruta]]/gemini_code_1787702791259[[#This Row],[venta total]]</f>
        <v>0.5714285714285714</v>
      </c>
      <c r="R1033" t="str">
        <f>IF(gemini_code_1787702791259[[#This Row],[Dias_Entrega]]&lt;=gemini_code_1787702791259[[#This Row],[Promesa_SLA_Dias]],"A tiempo","Fuera de SLA")</f>
        <v>Fuera de SLA</v>
      </c>
    </row>
    <row r="1034" spans="1:18" x14ac:dyDescent="0.25">
      <c r="A1034" t="s">
        <v>49</v>
      </c>
      <c r="B1034" s="1">
        <v>46239</v>
      </c>
      <c r="C1034" t="s">
        <v>14</v>
      </c>
      <c r="D1034" t="s">
        <v>15</v>
      </c>
      <c r="E1034" t="s">
        <v>16</v>
      </c>
      <c r="F1034" t="s">
        <v>17</v>
      </c>
      <c r="G1034" t="s">
        <v>50</v>
      </c>
      <c r="H1034">
        <v>4</v>
      </c>
      <c r="I1034" s="12">
        <v>220</v>
      </c>
      <c r="J1034" s="12">
        <v>140</v>
      </c>
      <c r="K1034">
        <v>2</v>
      </c>
      <c r="L1034">
        <v>3</v>
      </c>
      <c r="M1034">
        <v>800</v>
      </c>
      <c r="N1034" s="12">
        <f>+gemini_code_1787702791259[[#This Row],[Cantidad]]*gemini_code_1787702791259[[#This Row],[Precio_Unitario_USD]]</f>
        <v>880</v>
      </c>
      <c r="O1034" s="12">
        <f>+gemini_code_1787702791259[[#This Row],[Cantidad]]*gemini_code_1787702791259[[#This Row],[Costo_Unitario_USD]]</f>
        <v>560</v>
      </c>
      <c r="P1034" s="12">
        <f>+gemini_code_1787702791259[[#This Row],[venta total]]-gemini_code_1787702791259[[#This Row],[Costo total]]</f>
        <v>320</v>
      </c>
      <c r="Q1034" s="2">
        <f>gemini_code_1787702791259[[#This Row],[Ganancia bruta]]/gemini_code_1787702791259[[#This Row],[venta total]]</f>
        <v>0.36363636363636365</v>
      </c>
      <c r="R1034" t="str">
        <f>IF(gemini_code_1787702791259[[#This Row],[Dias_Entrega]]&lt;=gemini_code_1787702791259[[#This Row],[Promesa_SLA_Dias]],"A tiempo","Fuera de SLA")</f>
        <v>A tiempo</v>
      </c>
    </row>
    <row r="1035" spans="1:18" x14ac:dyDescent="0.25">
      <c r="A1035" t="s">
        <v>51</v>
      </c>
      <c r="B1035" s="1">
        <v>46239</v>
      </c>
      <c r="C1035" t="s">
        <v>20</v>
      </c>
      <c r="D1035" t="s">
        <v>21</v>
      </c>
      <c r="E1035" t="s">
        <v>16</v>
      </c>
      <c r="F1035" t="s">
        <v>23</v>
      </c>
      <c r="G1035" t="s">
        <v>52</v>
      </c>
      <c r="H1035">
        <v>5</v>
      </c>
      <c r="I1035" s="12">
        <v>65</v>
      </c>
      <c r="J1035" s="12">
        <v>30</v>
      </c>
      <c r="K1035">
        <v>2</v>
      </c>
      <c r="L1035">
        <v>3</v>
      </c>
      <c r="M1035">
        <v>300</v>
      </c>
      <c r="N1035" s="12">
        <f>+gemini_code_1787702791259[[#This Row],[Cantidad]]*gemini_code_1787702791259[[#This Row],[Precio_Unitario_USD]]</f>
        <v>325</v>
      </c>
      <c r="O1035" s="12">
        <f>+gemini_code_1787702791259[[#This Row],[Cantidad]]*gemini_code_1787702791259[[#This Row],[Costo_Unitario_USD]]</f>
        <v>150</v>
      </c>
      <c r="P1035" s="12">
        <f>+gemini_code_1787702791259[[#This Row],[venta total]]-gemini_code_1787702791259[[#This Row],[Costo total]]</f>
        <v>175</v>
      </c>
      <c r="Q1035" s="2">
        <f>gemini_code_1787702791259[[#This Row],[Ganancia bruta]]/gemini_code_1787702791259[[#This Row],[venta total]]</f>
        <v>0.53846153846153844</v>
      </c>
      <c r="R1035" t="str">
        <f>IF(gemini_code_1787702791259[[#This Row],[Dias_Entrega]]&lt;=gemini_code_1787702791259[[#This Row],[Promesa_SLA_Dias]],"A tiempo","Fuera de SLA")</f>
        <v>A tiempo</v>
      </c>
    </row>
    <row r="1036" spans="1:18" x14ac:dyDescent="0.25">
      <c r="A1036" t="s">
        <v>53</v>
      </c>
      <c r="B1036" s="1">
        <v>46239</v>
      </c>
      <c r="C1036" t="s">
        <v>26</v>
      </c>
      <c r="D1036" t="s">
        <v>27</v>
      </c>
      <c r="E1036" t="s">
        <v>16</v>
      </c>
      <c r="F1036" t="s">
        <v>28</v>
      </c>
      <c r="G1036" t="s">
        <v>54</v>
      </c>
      <c r="H1036">
        <v>2</v>
      </c>
      <c r="I1036" s="12">
        <v>180</v>
      </c>
      <c r="J1036" s="12">
        <v>110</v>
      </c>
      <c r="K1036">
        <v>6</v>
      </c>
      <c r="L1036">
        <v>3</v>
      </c>
      <c r="M1036">
        <v>350</v>
      </c>
      <c r="N1036" s="12">
        <f>+gemini_code_1787702791259[[#This Row],[Cantidad]]*gemini_code_1787702791259[[#This Row],[Precio_Unitario_USD]]</f>
        <v>360</v>
      </c>
      <c r="O1036" s="12">
        <f>+gemini_code_1787702791259[[#This Row],[Cantidad]]*gemini_code_1787702791259[[#This Row],[Costo_Unitario_USD]]</f>
        <v>220</v>
      </c>
      <c r="P1036" s="12">
        <f>+gemini_code_1787702791259[[#This Row],[venta total]]-gemini_code_1787702791259[[#This Row],[Costo total]]</f>
        <v>140</v>
      </c>
      <c r="Q1036" s="2">
        <f>gemini_code_1787702791259[[#This Row],[Ganancia bruta]]/gemini_code_1787702791259[[#This Row],[venta total]]</f>
        <v>0.3888888888888889</v>
      </c>
      <c r="R1036" t="str">
        <f>IF(gemini_code_1787702791259[[#This Row],[Dias_Entrega]]&lt;=gemini_code_1787702791259[[#This Row],[Promesa_SLA_Dias]],"A tiempo","Fuera de SLA")</f>
        <v>Fuera de SLA</v>
      </c>
    </row>
    <row r="1037" spans="1:18" x14ac:dyDescent="0.25">
      <c r="A1037" t="s">
        <v>55</v>
      </c>
      <c r="B1037" s="1">
        <v>46240</v>
      </c>
      <c r="C1037" t="s">
        <v>14</v>
      </c>
      <c r="D1037" t="s">
        <v>15</v>
      </c>
      <c r="E1037" t="s">
        <v>22</v>
      </c>
      <c r="F1037" t="s">
        <v>31</v>
      </c>
      <c r="G1037" t="s">
        <v>56</v>
      </c>
      <c r="H1037">
        <v>6</v>
      </c>
      <c r="I1037" s="12">
        <v>85</v>
      </c>
      <c r="J1037" s="12">
        <v>45</v>
      </c>
      <c r="K1037">
        <v>1</v>
      </c>
      <c r="L1037">
        <v>2</v>
      </c>
      <c r="M1037">
        <v>500</v>
      </c>
      <c r="N1037" s="12">
        <f>+gemini_code_1787702791259[[#This Row],[Cantidad]]*gemini_code_1787702791259[[#This Row],[Precio_Unitario_USD]]</f>
        <v>510</v>
      </c>
      <c r="O1037" s="12">
        <f>+gemini_code_1787702791259[[#This Row],[Cantidad]]*gemini_code_1787702791259[[#This Row],[Costo_Unitario_USD]]</f>
        <v>270</v>
      </c>
      <c r="P1037" s="12">
        <f>+gemini_code_1787702791259[[#This Row],[venta total]]-gemini_code_1787702791259[[#This Row],[Costo total]]</f>
        <v>240</v>
      </c>
      <c r="Q1037" s="2">
        <f>gemini_code_1787702791259[[#This Row],[Ganancia bruta]]/gemini_code_1787702791259[[#This Row],[venta total]]</f>
        <v>0.47058823529411764</v>
      </c>
      <c r="R1037" t="str">
        <f>IF(gemini_code_1787702791259[[#This Row],[Dias_Entrega]]&lt;=gemini_code_1787702791259[[#This Row],[Promesa_SLA_Dias]],"A tiempo","Fuera de SLA")</f>
        <v>A tiempo</v>
      </c>
    </row>
    <row r="1038" spans="1:18" x14ac:dyDescent="0.25">
      <c r="A1038" t="s">
        <v>57</v>
      </c>
      <c r="B1038" s="1">
        <v>46240</v>
      </c>
      <c r="C1038" t="s">
        <v>20</v>
      </c>
      <c r="D1038" t="s">
        <v>21</v>
      </c>
      <c r="E1038" t="s">
        <v>16</v>
      </c>
      <c r="F1038" t="s">
        <v>17</v>
      </c>
      <c r="G1038" t="s">
        <v>58</v>
      </c>
      <c r="H1038">
        <v>12</v>
      </c>
      <c r="I1038" s="12">
        <v>75</v>
      </c>
      <c r="J1038" s="12">
        <v>35</v>
      </c>
      <c r="K1038">
        <v>1</v>
      </c>
      <c r="L1038">
        <v>2</v>
      </c>
      <c r="M1038">
        <v>800</v>
      </c>
      <c r="N1038" s="12">
        <f>+gemini_code_1787702791259[[#This Row],[Cantidad]]*gemini_code_1787702791259[[#This Row],[Precio_Unitario_USD]]</f>
        <v>900</v>
      </c>
      <c r="O1038" s="12">
        <f>+gemini_code_1787702791259[[#This Row],[Cantidad]]*gemini_code_1787702791259[[#This Row],[Costo_Unitario_USD]]</f>
        <v>420</v>
      </c>
      <c r="P1038" s="12">
        <f>+gemini_code_1787702791259[[#This Row],[venta total]]-gemini_code_1787702791259[[#This Row],[Costo total]]</f>
        <v>480</v>
      </c>
      <c r="Q1038" s="2">
        <f>gemini_code_1787702791259[[#This Row],[Ganancia bruta]]/gemini_code_1787702791259[[#This Row],[venta total]]</f>
        <v>0.53333333333333333</v>
      </c>
      <c r="R1038" t="str">
        <f>IF(gemini_code_1787702791259[[#This Row],[Dias_Entrega]]&lt;=gemini_code_1787702791259[[#This Row],[Promesa_SLA_Dias]],"A tiempo","Fuera de SLA")</f>
        <v>A tiempo</v>
      </c>
    </row>
    <row r="1039" spans="1:18" x14ac:dyDescent="0.25">
      <c r="A1039" t="s">
        <v>59</v>
      </c>
      <c r="B1039" s="1">
        <v>46240</v>
      </c>
      <c r="C1039" t="s">
        <v>26</v>
      </c>
      <c r="D1039" t="s">
        <v>27</v>
      </c>
      <c r="E1039" t="s">
        <v>22</v>
      </c>
      <c r="F1039" t="s">
        <v>23</v>
      </c>
      <c r="G1039" t="s">
        <v>60</v>
      </c>
      <c r="H1039">
        <v>4</v>
      </c>
      <c r="I1039" s="12">
        <v>110</v>
      </c>
      <c r="J1039" s="12">
        <v>55</v>
      </c>
      <c r="K1039">
        <v>5</v>
      </c>
      <c r="L1039">
        <v>3</v>
      </c>
      <c r="M1039">
        <v>400</v>
      </c>
      <c r="N1039" s="12">
        <f>+gemini_code_1787702791259[[#This Row],[Cantidad]]*gemini_code_1787702791259[[#This Row],[Precio_Unitario_USD]]</f>
        <v>440</v>
      </c>
      <c r="O1039" s="12">
        <f>+gemini_code_1787702791259[[#This Row],[Cantidad]]*gemini_code_1787702791259[[#This Row],[Costo_Unitario_USD]]</f>
        <v>220</v>
      </c>
      <c r="P1039" s="12">
        <f>+gemini_code_1787702791259[[#This Row],[venta total]]-gemini_code_1787702791259[[#This Row],[Costo total]]</f>
        <v>220</v>
      </c>
      <c r="Q1039" s="2">
        <f>gemini_code_1787702791259[[#This Row],[Ganancia bruta]]/gemini_code_1787702791259[[#This Row],[venta total]]</f>
        <v>0.5</v>
      </c>
      <c r="R1039" t="str">
        <f>IF(gemini_code_1787702791259[[#This Row],[Dias_Entrega]]&lt;=gemini_code_1787702791259[[#This Row],[Promesa_SLA_Dias]],"A tiempo","Fuera de SLA")</f>
        <v>Fuera de SLA</v>
      </c>
    </row>
    <row r="1040" spans="1:18" x14ac:dyDescent="0.25">
      <c r="A1040" t="s">
        <v>61</v>
      </c>
      <c r="B1040" s="1">
        <v>46241</v>
      </c>
      <c r="C1040" t="s">
        <v>14</v>
      </c>
      <c r="D1040" t="s">
        <v>15</v>
      </c>
      <c r="E1040" t="s">
        <v>16</v>
      </c>
      <c r="F1040" t="s">
        <v>28</v>
      </c>
      <c r="G1040" t="s">
        <v>62</v>
      </c>
      <c r="H1040">
        <v>15</v>
      </c>
      <c r="I1040" s="12">
        <v>25</v>
      </c>
      <c r="J1040" s="12">
        <v>10</v>
      </c>
      <c r="K1040">
        <v>2</v>
      </c>
      <c r="L1040">
        <v>3</v>
      </c>
      <c r="M1040">
        <v>300</v>
      </c>
      <c r="N1040" s="12">
        <f>+gemini_code_1787702791259[[#This Row],[Cantidad]]*gemini_code_1787702791259[[#This Row],[Precio_Unitario_USD]]</f>
        <v>375</v>
      </c>
      <c r="O1040" s="12">
        <f>+gemini_code_1787702791259[[#This Row],[Cantidad]]*gemini_code_1787702791259[[#This Row],[Costo_Unitario_USD]]</f>
        <v>150</v>
      </c>
      <c r="P1040" s="12">
        <f>+gemini_code_1787702791259[[#This Row],[venta total]]-gemini_code_1787702791259[[#This Row],[Costo total]]</f>
        <v>225</v>
      </c>
      <c r="Q1040" s="2">
        <f>gemini_code_1787702791259[[#This Row],[Ganancia bruta]]/gemini_code_1787702791259[[#This Row],[venta total]]</f>
        <v>0.6</v>
      </c>
      <c r="R1040" t="str">
        <f>IF(gemini_code_1787702791259[[#This Row],[Dias_Entrega]]&lt;=gemini_code_1787702791259[[#This Row],[Promesa_SLA_Dias]],"A tiempo","Fuera de SLA")</f>
        <v>A tiempo</v>
      </c>
    </row>
    <row r="1041" spans="1:18" x14ac:dyDescent="0.25">
      <c r="A1041" t="s">
        <v>63</v>
      </c>
      <c r="B1041" s="1">
        <v>46241</v>
      </c>
      <c r="C1041" t="s">
        <v>20</v>
      </c>
      <c r="D1041" t="s">
        <v>21</v>
      </c>
      <c r="E1041" t="s">
        <v>22</v>
      </c>
      <c r="F1041" t="s">
        <v>31</v>
      </c>
      <c r="G1041" t="s">
        <v>64</v>
      </c>
      <c r="H1041">
        <v>5</v>
      </c>
      <c r="I1041" s="12">
        <v>130</v>
      </c>
      <c r="J1041" s="12">
        <v>70</v>
      </c>
      <c r="K1041">
        <v>3</v>
      </c>
      <c r="L1041">
        <v>3</v>
      </c>
      <c r="M1041">
        <v>600</v>
      </c>
      <c r="N1041" s="12">
        <f>+gemini_code_1787702791259[[#This Row],[Cantidad]]*gemini_code_1787702791259[[#This Row],[Precio_Unitario_USD]]</f>
        <v>650</v>
      </c>
      <c r="O1041" s="12">
        <f>+gemini_code_1787702791259[[#This Row],[Cantidad]]*gemini_code_1787702791259[[#This Row],[Costo_Unitario_USD]]</f>
        <v>350</v>
      </c>
      <c r="P1041" s="12">
        <f>+gemini_code_1787702791259[[#This Row],[venta total]]-gemini_code_1787702791259[[#This Row],[Costo total]]</f>
        <v>300</v>
      </c>
      <c r="Q1041" s="2">
        <f>gemini_code_1787702791259[[#This Row],[Ganancia bruta]]/gemini_code_1787702791259[[#This Row],[venta total]]</f>
        <v>0.46153846153846156</v>
      </c>
      <c r="R1041" t="str">
        <f>IF(gemini_code_1787702791259[[#This Row],[Dias_Entrega]]&lt;=gemini_code_1787702791259[[#This Row],[Promesa_SLA_Dias]],"A tiempo","Fuera de SLA")</f>
        <v>A tiempo</v>
      </c>
    </row>
    <row r="1042" spans="1:18" x14ac:dyDescent="0.25">
      <c r="A1042" t="s">
        <v>65</v>
      </c>
      <c r="B1042" s="1">
        <v>46241</v>
      </c>
      <c r="C1042" t="s">
        <v>26</v>
      </c>
      <c r="D1042" t="s">
        <v>27</v>
      </c>
      <c r="E1042" t="s">
        <v>16</v>
      </c>
      <c r="F1042" t="s">
        <v>17</v>
      </c>
      <c r="G1042" t="s">
        <v>66</v>
      </c>
      <c r="H1042">
        <v>2</v>
      </c>
      <c r="I1042" s="12">
        <v>500</v>
      </c>
      <c r="J1042" s="12">
        <v>380</v>
      </c>
      <c r="K1042">
        <v>6</v>
      </c>
      <c r="L1042">
        <v>4</v>
      </c>
      <c r="M1042">
        <v>900</v>
      </c>
      <c r="N1042" s="12">
        <f>+gemini_code_1787702791259[[#This Row],[Cantidad]]*gemini_code_1787702791259[[#This Row],[Precio_Unitario_USD]]</f>
        <v>1000</v>
      </c>
      <c r="O1042" s="12">
        <f>+gemini_code_1787702791259[[#This Row],[Cantidad]]*gemini_code_1787702791259[[#This Row],[Costo_Unitario_USD]]</f>
        <v>760</v>
      </c>
      <c r="P1042" s="12">
        <f>+gemini_code_1787702791259[[#This Row],[venta total]]-gemini_code_1787702791259[[#This Row],[Costo total]]</f>
        <v>240</v>
      </c>
      <c r="Q1042" s="2">
        <f>gemini_code_1787702791259[[#This Row],[Ganancia bruta]]/gemini_code_1787702791259[[#This Row],[venta total]]</f>
        <v>0.24</v>
      </c>
      <c r="R1042" t="str">
        <f>IF(gemini_code_1787702791259[[#This Row],[Dias_Entrega]]&lt;=gemini_code_1787702791259[[#This Row],[Promesa_SLA_Dias]],"A tiempo","Fuera de SLA")</f>
        <v>Fuera de SLA</v>
      </c>
    </row>
    <row r="1043" spans="1:18" x14ac:dyDescent="0.25">
      <c r="A1043" t="s">
        <v>67</v>
      </c>
      <c r="B1043" s="1">
        <v>46242</v>
      </c>
      <c r="C1043" t="s">
        <v>14</v>
      </c>
      <c r="D1043" t="s">
        <v>15</v>
      </c>
      <c r="E1043" t="s">
        <v>16</v>
      </c>
      <c r="F1043" t="s">
        <v>23</v>
      </c>
      <c r="G1043" t="s">
        <v>68</v>
      </c>
      <c r="H1043">
        <v>3</v>
      </c>
      <c r="I1043" s="12">
        <v>95</v>
      </c>
      <c r="J1043" s="12">
        <v>45</v>
      </c>
      <c r="K1043">
        <v>2</v>
      </c>
      <c r="L1043">
        <v>3</v>
      </c>
      <c r="M1043">
        <v>300</v>
      </c>
      <c r="N1043" s="12">
        <f>+gemini_code_1787702791259[[#This Row],[Cantidad]]*gemini_code_1787702791259[[#This Row],[Precio_Unitario_USD]]</f>
        <v>285</v>
      </c>
      <c r="O1043" s="12">
        <f>+gemini_code_1787702791259[[#This Row],[Cantidad]]*gemini_code_1787702791259[[#This Row],[Costo_Unitario_USD]]</f>
        <v>135</v>
      </c>
      <c r="P1043" s="12">
        <f>+gemini_code_1787702791259[[#This Row],[venta total]]-gemini_code_1787702791259[[#This Row],[Costo total]]</f>
        <v>150</v>
      </c>
      <c r="Q1043" s="2">
        <f>gemini_code_1787702791259[[#This Row],[Ganancia bruta]]/gemini_code_1787702791259[[#This Row],[venta total]]</f>
        <v>0.52631578947368418</v>
      </c>
      <c r="R1043" t="str">
        <f>IF(gemini_code_1787702791259[[#This Row],[Dias_Entrega]]&lt;=gemini_code_1787702791259[[#This Row],[Promesa_SLA_Dias]],"A tiempo","Fuera de SLA")</f>
        <v>A tiempo</v>
      </c>
    </row>
    <row r="1044" spans="1:18" x14ac:dyDescent="0.25">
      <c r="A1044" t="s">
        <v>69</v>
      </c>
      <c r="B1044" s="1">
        <v>46242</v>
      </c>
      <c r="C1044" t="s">
        <v>20</v>
      </c>
      <c r="D1044" t="s">
        <v>21</v>
      </c>
      <c r="E1044" t="s">
        <v>16</v>
      </c>
      <c r="F1044" t="s">
        <v>28</v>
      </c>
      <c r="G1044" t="s">
        <v>70</v>
      </c>
      <c r="H1044">
        <v>4</v>
      </c>
      <c r="I1044" s="12">
        <v>160</v>
      </c>
      <c r="J1044" s="12">
        <v>95</v>
      </c>
      <c r="K1044">
        <v>2</v>
      </c>
      <c r="L1044">
        <v>3</v>
      </c>
      <c r="M1044">
        <v>600</v>
      </c>
      <c r="N1044" s="12">
        <f>+gemini_code_1787702791259[[#This Row],[Cantidad]]*gemini_code_1787702791259[[#This Row],[Precio_Unitario_USD]]</f>
        <v>640</v>
      </c>
      <c r="O1044" s="12">
        <f>+gemini_code_1787702791259[[#This Row],[Cantidad]]*gemini_code_1787702791259[[#This Row],[Costo_Unitario_USD]]</f>
        <v>380</v>
      </c>
      <c r="P1044" s="12">
        <f>+gemini_code_1787702791259[[#This Row],[venta total]]-gemini_code_1787702791259[[#This Row],[Costo total]]</f>
        <v>260</v>
      </c>
      <c r="Q1044" s="2">
        <f>gemini_code_1787702791259[[#This Row],[Ganancia bruta]]/gemini_code_1787702791259[[#This Row],[venta total]]</f>
        <v>0.40625</v>
      </c>
      <c r="R1044" t="str">
        <f>IF(gemini_code_1787702791259[[#This Row],[Dias_Entrega]]&lt;=gemini_code_1787702791259[[#This Row],[Promesa_SLA_Dias]],"A tiempo","Fuera de SLA")</f>
        <v>A tiempo</v>
      </c>
    </row>
    <row r="1045" spans="1:18" x14ac:dyDescent="0.25">
      <c r="A1045" t="s">
        <v>71</v>
      </c>
      <c r="B1045" s="1">
        <v>46242</v>
      </c>
      <c r="C1045" t="s">
        <v>26</v>
      </c>
      <c r="D1045" t="s">
        <v>27</v>
      </c>
      <c r="E1045" t="s">
        <v>22</v>
      </c>
      <c r="F1045" t="s">
        <v>31</v>
      </c>
      <c r="G1045" t="s">
        <v>72</v>
      </c>
      <c r="H1045">
        <v>7</v>
      </c>
      <c r="I1045" s="12">
        <v>90</v>
      </c>
      <c r="J1045" s="12">
        <v>45</v>
      </c>
      <c r="K1045">
        <v>4</v>
      </c>
      <c r="L1045">
        <v>3</v>
      </c>
      <c r="M1045">
        <v>600</v>
      </c>
      <c r="N1045" s="12">
        <f>+gemini_code_1787702791259[[#This Row],[Cantidad]]*gemini_code_1787702791259[[#This Row],[Precio_Unitario_USD]]</f>
        <v>630</v>
      </c>
      <c r="O1045" s="12">
        <f>+gemini_code_1787702791259[[#This Row],[Cantidad]]*gemini_code_1787702791259[[#This Row],[Costo_Unitario_USD]]</f>
        <v>315</v>
      </c>
      <c r="P1045" s="12">
        <f>+gemini_code_1787702791259[[#This Row],[venta total]]-gemini_code_1787702791259[[#This Row],[Costo total]]</f>
        <v>315</v>
      </c>
      <c r="Q1045" s="2">
        <f>gemini_code_1787702791259[[#This Row],[Ganancia bruta]]/gemini_code_1787702791259[[#This Row],[venta total]]</f>
        <v>0.5</v>
      </c>
      <c r="R1045" t="str">
        <f>IF(gemini_code_1787702791259[[#This Row],[Dias_Entrega]]&lt;=gemini_code_1787702791259[[#This Row],[Promesa_SLA_Dias]],"A tiempo","Fuera de SLA")</f>
        <v>Fuera de SLA</v>
      </c>
    </row>
    <row r="1046" spans="1:18" x14ac:dyDescent="0.25">
      <c r="A1046" t="s">
        <v>73</v>
      </c>
      <c r="B1046" s="1">
        <v>46243</v>
      </c>
      <c r="C1046" t="s">
        <v>14</v>
      </c>
      <c r="D1046" t="s">
        <v>15</v>
      </c>
      <c r="E1046" t="s">
        <v>22</v>
      </c>
      <c r="F1046" t="s">
        <v>17</v>
      </c>
      <c r="G1046" t="s">
        <v>74</v>
      </c>
      <c r="H1046">
        <v>3</v>
      </c>
      <c r="I1046" s="12">
        <v>310</v>
      </c>
      <c r="J1046" s="12">
        <v>210</v>
      </c>
      <c r="K1046">
        <v>2</v>
      </c>
      <c r="L1046">
        <v>3</v>
      </c>
      <c r="M1046">
        <v>900</v>
      </c>
      <c r="N1046" s="12">
        <f>+gemini_code_1787702791259[[#This Row],[Cantidad]]*gemini_code_1787702791259[[#This Row],[Precio_Unitario_USD]]</f>
        <v>930</v>
      </c>
      <c r="O1046" s="12">
        <f>+gemini_code_1787702791259[[#This Row],[Cantidad]]*gemini_code_1787702791259[[#This Row],[Costo_Unitario_USD]]</f>
        <v>630</v>
      </c>
      <c r="P1046" s="12">
        <f>+gemini_code_1787702791259[[#This Row],[venta total]]-gemini_code_1787702791259[[#This Row],[Costo total]]</f>
        <v>300</v>
      </c>
      <c r="Q1046" s="2">
        <f>gemini_code_1787702791259[[#This Row],[Ganancia bruta]]/gemini_code_1787702791259[[#This Row],[venta total]]</f>
        <v>0.32258064516129031</v>
      </c>
      <c r="R1046" t="str">
        <f>IF(gemini_code_1787702791259[[#This Row],[Dias_Entrega]]&lt;=gemini_code_1787702791259[[#This Row],[Promesa_SLA_Dias]],"A tiempo","Fuera de SLA")</f>
        <v>A tiempo</v>
      </c>
    </row>
    <row r="1047" spans="1:18" x14ac:dyDescent="0.25">
      <c r="A1047" t="s">
        <v>75</v>
      </c>
      <c r="B1047" s="1">
        <v>46243</v>
      </c>
      <c r="C1047" t="s">
        <v>20</v>
      </c>
      <c r="D1047" t="s">
        <v>21</v>
      </c>
      <c r="E1047" t="s">
        <v>16</v>
      </c>
      <c r="F1047" t="s">
        <v>23</v>
      </c>
      <c r="G1047" t="s">
        <v>76</v>
      </c>
      <c r="H1047">
        <v>8</v>
      </c>
      <c r="I1047" s="12">
        <v>50</v>
      </c>
      <c r="J1047" s="12">
        <v>22</v>
      </c>
      <c r="K1047">
        <v>2</v>
      </c>
      <c r="L1047">
        <v>3</v>
      </c>
      <c r="M1047">
        <v>400</v>
      </c>
      <c r="N1047" s="12">
        <f>+gemini_code_1787702791259[[#This Row],[Cantidad]]*gemini_code_1787702791259[[#This Row],[Precio_Unitario_USD]]</f>
        <v>400</v>
      </c>
      <c r="O1047" s="12">
        <f>+gemini_code_1787702791259[[#This Row],[Cantidad]]*gemini_code_1787702791259[[#This Row],[Costo_Unitario_USD]]</f>
        <v>176</v>
      </c>
      <c r="P1047" s="12">
        <f>+gemini_code_1787702791259[[#This Row],[venta total]]-gemini_code_1787702791259[[#This Row],[Costo total]]</f>
        <v>224</v>
      </c>
      <c r="Q1047" s="2">
        <f>gemini_code_1787702791259[[#This Row],[Ganancia bruta]]/gemini_code_1787702791259[[#This Row],[venta total]]</f>
        <v>0.56000000000000005</v>
      </c>
      <c r="R1047" t="str">
        <f>IF(gemini_code_1787702791259[[#This Row],[Dias_Entrega]]&lt;=gemini_code_1787702791259[[#This Row],[Promesa_SLA_Dias]],"A tiempo","Fuera de SLA")</f>
        <v>A tiempo</v>
      </c>
    </row>
    <row r="1048" spans="1:18" x14ac:dyDescent="0.25">
      <c r="A1048" t="s">
        <v>77</v>
      </c>
      <c r="B1048" s="1">
        <v>46243</v>
      </c>
      <c r="C1048" t="s">
        <v>26</v>
      </c>
      <c r="D1048" t="s">
        <v>27</v>
      </c>
      <c r="E1048" t="s">
        <v>16</v>
      </c>
      <c r="F1048" t="s">
        <v>28</v>
      </c>
      <c r="G1048" t="s">
        <v>78</v>
      </c>
      <c r="H1048">
        <v>1</v>
      </c>
      <c r="I1048" s="12">
        <v>750</v>
      </c>
      <c r="J1048" s="12">
        <v>480</v>
      </c>
      <c r="K1048">
        <v>8</v>
      </c>
      <c r="L1048">
        <v>4</v>
      </c>
      <c r="M1048">
        <v>700</v>
      </c>
      <c r="N1048" s="12">
        <f>+gemini_code_1787702791259[[#This Row],[Cantidad]]*gemini_code_1787702791259[[#This Row],[Precio_Unitario_USD]]</f>
        <v>750</v>
      </c>
      <c r="O1048" s="12">
        <f>+gemini_code_1787702791259[[#This Row],[Cantidad]]*gemini_code_1787702791259[[#This Row],[Costo_Unitario_USD]]</f>
        <v>480</v>
      </c>
      <c r="P1048" s="12">
        <f>+gemini_code_1787702791259[[#This Row],[venta total]]-gemini_code_1787702791259[[#This Row],[Costo total]]</f>
        <v>270</v>
      </c>
      <c r="Q1048" s="2">
        <f>gemini_code_1787702791259[[#This Row],[Ganancia bruta]]/gemini_code_1787702791259[[#This Row],[venta total]]</f>
        <v>0.36</v>
      </c>
      <c r="R1048" t="str">
        <f>IF(gemini_code_1787702791259[[#This Row],[Dias_Entrega]]&lt;=gemini_code_1787702791259[[#This Row],[Promesa_SLA_Dias]],"A tiempo","Fuera de SLA")</f>
        <v>Fuera de SLA</v>
      </c>
    </row>
    <row r="1049" spans="1:18" x14ac:dyDescent="0.25">
      <c r="A1049" t="s">
        <v>79</v>
      </c>
      <c r="B1049" s="1">
        <v>46244</v>
      </c>
      <c r="C1049" t="s">
        <v>14</v>
      </c>
      <c r="D1049" t="s">
        <v>15</v>
      </c>
      <c r="E1049" t="s">
        <v>16</v>
      </c>
      <c r="F1049" t="s">
        <v>31</v>
      </c>
      <c r="G1049" t="s">
        <v>80</v>
      </c>
      <c r="H1049">
        <v>4</v>
      </c>
      <c r="I1049" s="12">
        <v>140</v>
      </c>
      <c r="J1049" s="12">
        <v>75</v>
      </c>
      <c r="K1049">
        <v>3</v>
      </c>
      <c r="L1049">
        <v>3</v>
      </c>
      <c r="M1049">
        <v>500</v>
      </c>
      <c r="N1049" s="12">
        <f>+gemini_code_1787702791259[[#This Row],[Cantidad]]*gemini_code_1787702791259[[#This Row],[Precio_Unitario_USD]]</f>
        <v>560</v>
      </c>
      <c r="O1049" s="12">
        <f>+gemini_code_1787702791259[[#This Row],[Cantidad]]*gemini_code_1787702791259[[#This Row],[Costo_Unitario_USD]]</f>
        <v>300</v>
      </c>
      <c r="P1049" s="12">
        <f>+gemini_code_1787702791259[[#This Row],[venta total]]-gemini_code_1787702791259[[#This Row],[Costo total]]</f>
        <v>260</v>
      </c>
      <c r="Q1049" s="2">
        <f>gemini_code_1787702791259[[#This Row],[Ganancia bruta]]/gemini_code_1787702791259[[#This Row],[venta total]]</f>
        <v>0.4642857142857143</v>
      </c>
      <c r="R1049" t="str">
        <f>IF(gemini_code_1787702791259[[#This Row],[Dias_Entrega]]&lt;=gemini_code_1787702791259[[#This Row],[Promesa_SLA_Dias]],"A tiempo","Fuera de SLA")</f>
        <v>A tiempo</v>
      </c>
    </row>
    <row r="1050" spans="1:18" x14ac:dyDescent="0.25">
      <c r="A1050" t="s">
        <v>81</v>
      </c>
      <c r="B1050" s="1">
        <v>46244</v>
      </c>
      <c r="C1050" t="s">
        <v>20</v>
      </c>
      <c r="D1050" t="s">
        <v>21</v>
      </c>
      <c r="E1050" t="s">
        <v>22</v>
      </c>
      <c r="F1050" t="s">
        <v>17</v>
      </c>
      <c r="G1050" t="s">
        <v>82</v>
      </c>
      <c r="H1050">
        <v>6</v>
      </c>
      <c r="I1050" s="12">
        <v>90</v>
      </c>
      <c r="J1050" s="12">
        <v>50</v>
      </c>
      <c r="K1050">
        <v>1</v>
      </c>
      <c r="L1050">
        <v>2</v>
      </c>
      <c r="M1050">
        <v>500</v>
      </c>
      <c r="N1050" s="12">
        <f>+gemini_code_1787702791259[[#This Row],[Cantidad]]*gemini_code_1787702791259[[#This Row],[Precio_Unitario_USD]]</f>
        <v>540</v>
      </c>
      <c r="O1050" s="12">
        <f>+gemini_code_1787702791259[[#This Row],[Cantidad]]*gemini_code_1787702791259[[#This Row],[Costo_Unitario_USD]]</f>
        <v>300</v>
      </c>
      <c r="P1050" s="12">
        <f>+gemini_code_1787702791259[[#This Row],[venta total]]-gemini_code_1787702791259[[#This Row],[Costo total]]</f>
        <v>240</v>
      </c>
      <c r="Q1050" s="2">
        <f>gemini_code_1787702791259[[#This Row],[Ganancia bruta]]/gemini_code_1787702791259[[#This Row],[venta total]]</f>
        <v>0.44444444444444442</v>
      </c>
      <c r="R1050" t="str">
        <f>IF(gemini_code_1787702791259[[#This Row],[Dias_Entrega]]&lt;=gemini_code_1787702791259[[#This Row],[Promesa_SLA_Dias]],"A tiempo","Fuera de SLA")</f>
        <v>A tiempo</v>
      </c>
    </row>
    <row r="1051" spans="1:18" x14ac:dyDescent="0.25">
      <c r="A1051" t="s">
        <v>83</v>
      </c>
      <c r="B1051" s="1">
        <v>46244</v>
      </c>
      <c r="C1051" t="s">
        <v>26</v>
      </c>
      <c r="D1051" t="s">
        <v>27</v>
      </c>
      <c r="E1051" t="s">
        <v>16</v>
      </c>
      <c r="F1051" t="s">
        <v>23</v>
      </c>
      <c r="G1051" t="s">
        <v>84</v>
      </c>
      <c r="H1051">
        <v>6</v>
      </c>
      <c r="I1051" s="12">
        <v>60</v>
      </c>
      <c r="J1051" s="12">
        <v>28</v>
      </c>
      <c r="K1051">
        <v>5</v>
      </c>
      <c r="L1051">
        <v>3</v>
      </c>
      <c r="M1051">
        <v>350</v>
      </c>
      <c r="N1051" s="12">
        <f>+gemini_code_1787702791259[[#This Row],[Cantidad]]*gemini_code_1787702791259[[#This Row],[Precio_Unitario_USD]]</f>
        <v>360</v>
      </c>
      <c r="O1051" s="12">
        <f>+gemini_code_1787702791259[[#This Row],[Cantidad]]*gemini_code_1787702791259[[#This Row],[Costo_Unitario_USD]]</f>
        <v>168</v>
      </c>
      <c r="P1051" s="12">
        <f>+gemini_code_1787702791259[[#This Row],[venta total]]-gemini_code_1787702791259[[#This Row],[Costo total]]</f>
        <v>192</v>
      </c>
      <c r="Q1051" s="2">
        <f>gemini_code_1787702791259[[#This Row],[Ganancia bruta]]/gemini_code_1787702791259[[#This Row],[venta total]]</f>
        <v>0.53333333333333333</v>
      </c>
      <c r="R1051" t="str">
        <f>IF(gemini_code_1787702791259[[#This Row],[Dias_Entrega]]&lt;=gemini_code_1787702791259[[#This Row],[Promesa_SLA_Dias]],"A tiempo","Fuera de SLA")</f>
        <v>Fuera de SLA</v>
      </c>
    </row>
    <row r="1052" spans="1:18" x14ac:dyDescent="0.25">
      <c r="A1052" t="s">
        <v>13</v>
      </c>
      <c r="B1052" s="1">
        <v>46235</v>
      </c>
      <c r="C1052" t="s">
        <v>14</v>
      </c>
      <c r="D1052" t="s">
        <v>15</v>
      </c>
      <c r="E1052" t="s">
        <v>16</v>
      </c>
      <c r="F1052" t="s">
        <v>17</v>
      </c>
      <c r="G1052" t="s">
        <v>18</v>
      </c>
      <c r="H1052">
        <v>2</v>
      </c>
      <c r="I1052" s="12">
        <v>850</v>
      </c>
      <c r="J1052" s="12">
        <v>600</v>
      </c>
      <c r="K1052">
        <v>2</v>
      </c>
      <c r="L1052">
        <v>3</v>
      </c>
      <c r="M1052">
        <v>1500</v>
      </c>
      <c r="N1052" s="12">
        <f>+gemini_code_1787702791259[[#This Row],[Cantidad]]*gemini_code_1787702791259[[#This Row],[Precio_Unitario_USD]]</f>
        <v>1700</v>
      </c>
      <c r="O1052" s="12">
        <f>+gemini_code_1787702791259[[#This Row],[Cantidad]]*gemini_code_1787702791259[[#This Row],[Costo_Unitario_USD]]</f>
        <v>1200</v>
      </c>
      <c r="P1052" s="12">
        <f>+gemini_code_1787702791259[[#This Row],[venta total]]-gemini_code_1787702791259[[#This Row],[Costo total]]</f>
        <v>500</v>
      </c>
      <c r="Q1052" s="2">
        <f>gemini_code_1787702791259[[#This Row],[Ganancia bruta]]/gemini_code_1787702791259[[#This Row],[venta total]]</f>
        <v>0.29411764705882354</v>
      </c>
      <c r="R1052" t="str">
        <f>IF(gemini_code_1787702791259[[#This Row],[Dias_Entrega]]&lt;=gemini_code_1787702791259[[#This Row],[Promesa_SLA_Dias]],"A tiempo","Fuera de SLA")</f>
        <v>A tiempo</v>
      </c>
    </row>
    <row r="1053" spans="1:18" x14ac:dyDescent="0.25">
      <c r="A1053" t="s">
        <v>19</v>
      </c>
      <c r="B1053" s="1">
        <v>46235</v>
      </c>
      <c r="C1053" t="s">
        <v>20</v>
      </c>
      <c r="D1053" t="s">
        <v>21</v>
      </c>
      <c r="E1053" t="s">
        <v>22</v>
      </c>
      <c r="F1053" t="s">
        <v>23</v>
      </c>
      <c r="G1053" t="s">
        <v>24</v>
      </c>
      <c r="H1053">
        <v>5</v>
      </c>
      <c r="I1053" s="12">
        <v>120</v>
      </c>
      <c r="J1053" s="12">
        <v>70</v>
      </c>
      <c r="K1053">
        <v>3</v>
      </c>
      <c r="L1053">
        <v>3</v>
      </c>
      <c r="M1053">
        <v>500</v>
      </c>
      <c r="N1053" s="12">
        <f>+gemini_code_1787702791259[[#This Row],[Cantidad]]*gemini_code_1787702791259[[#This Row],[Precio_Unitario_USD]]</f>
        <v>600</v>
      </c>
      <c r="O1053" s="12">
        <f>+gemini_code_1787702791259[[#This Row],[Cantidad]]*gemini_code_1787702791259[[#This Row],[Costo_Unitario_USD]]</f>
        <v>350</v>
      </c>
      <c r="P1053" s="12">
        <f>+gemini_code_1787702791259[[#This Row],[venta total]]-gemini_code_1787702791259[[#This Row],[Costo total]]</f>
        <v>250</v>
      </c>
      <c r="Q1053" s="2">
        <f>gemini_code_1787702791259[[#This Row],[Ganancia bruta]]/gemini_code_1787702791259[[#This Row],[venta total]]</f>
        <v>0.41666666666666669</v>
      </c>
      <c r="R1053" t="str">
        <f>IF(gemini_code_1787702791259[[#This Row],[Dias_Entrega]]&lt;=gemini_code_1787702791259[[#This Row],[Promesa_SLA_Dias]],"A tiempo","Fuera de SLA")</f>
        <v>A tiempo</v>
      </c>
    </row>
    <row r="1054" spans="1:18" x14ac:dyDescent="0.25">
      <c r="A1054" t="s">
        <v>25</v>
      </c>
      <c r="B1054" s="1">
        <v>46235</v>
      </c>
      <c r="C1054" t="s">
        <v>26</v>
      </c>
      <c r="D1054" t="s">
        <v>27</v>
      </c>
      <c r="E1054" t="s">
        <v>16</v>
      </c>
      <c r="F1054" t="s">
        <v>28</v>
      </c>
      <c r="G1054" t="s">
        <v>29</v>
      </c>
      <c r="H1054">
        <v>3</v>
      </c>
      <c r="I1054" s="12">
        <v>90</v>
      </c>
      <c r="J1054" s="12">
        <v>50</v>
      </c>
      <c r="K1054">
        <v>6</v>
      </c>
      <c r="L1054">
        <v>4</v>
      </c>
      <c r="M1054">
        <v>300</v>
      </c>
      <c r="N1054" s="12">
        <f>+gemini_code_1787702791259[[#This Row],[Cantidad]]*gemini_code_1787702791259[[#This Row],[Precio_Unitario_USD]]</f>
        <v>270</v>
      </c>
      <c r="O1054" s="12">
        <f>+gemini_code_1787702791259[[#This Row],[Cantidad]]*gemini_code_1787702791259[[#This Row],[Costo_Unitario_USD]]</f>
        <v>150</v>
      </c>
      <c r="P1054" s="12">
        <f>+gemini_code_1787702791259[[#This Row],[venta total]]-gemini_code_1787702791259[[#This Row],[Costo total]]</f>
        <v>120</v>
      </c>
      <c r="Q1054" s="2">
        <f>gemini_code_1787702791259[[#This Row],[Ganancia bruta]]/gemini_code_1787702791259[[#This Row],[venta total]]</f>
        <v>0.44444444444444442</v>
      </c>
      <c r="R1054" t="str">
        <f>IF(gemini_code_1787702791259[[#This Row],[Dias_Entrega]]&lt;=gemini_code_1787702791259[[#This Row],[Promesa_SLA_Dias]],"A tiempo","Fuera de SLA")</f>
        <v>Fuera de SLA</v>
      </c>
    </row>
    <row r="1055" spans="1:18" x14ac:dyDescent="0.25">
      <c r="A1055" t="s">
        <v>30</v>
      </c>
      <c r="B1055" s="1">
        <v>46236</v>
      </c>
      <c r="C1055" t="s">
        <v>14</v>
      </c>
      <c r="D1055" t="s">
        <v>15</v>
      </c>
      <c r="E1055" t="s">
        <v>22</v>
      </c>
      <c r="F1055" t="s">
        <v>31</v>
      </c>
      <c r="G1055" t="s">
        <v>32</v>
      </c>
      <c r="H1055">
        <v>4</v>
      </c>
      <c r="I1055" s="12">
        <v>110</v>
      </c>
      <c r="J1055" s="12">
        <v>60</v>
      </c>
      <c r="K1055">
        <v>1</v>
      </c>
      <c r="L1055">
        <v>2</v>
      </c>
      <c r="M1055">
        <v>400</v>
      </c>
      <c r="N1055" s="12">
        <f>+gemini_code_1787702791259[[#This Row],[Cantidad]]*gemini_code_1787702791259[[#This Row],[Precio_Unitario_USD]]</f>
        <v>440</v>
      </c>
      <c r="O1055" s="12">
        <f>+gemini_code_1787702791259[[#This Row],[Cantidad]]*gemini_code_1787702791259[[#This Row],[Costo_Unitario_USD]]</f>
        <v>240</v>
      </c>
      <c r="P1055" s="12">
        <f>+gemini_code_1787702791259[[#This Row],[venta total]]-gemini_code_1787702791259[[#This Row],[Costo total]]</f>
        <v>200</v>
      </c>
      <c r="Q1055" s="2">
        <f>gemini_code_1787702791259[[#This Row],[Ganancia bruta]]/gemini_code_1787702791259[[#This Row],[venta total]]</f>
        <v>0.45454545454545453</v>
      </c>
      <c r="R1055" t="str">
        <f>IF(gemini_code_1787702791259[[#This Row],[Dias_Entrega]]&lt;=gemini_code_1787702791259[[#This Row],[Promesa_SLA_Dias]],"A tiempo","Fuera de SLA")</f>
        <v>A tiempo</v>
      </c>
    </row>
    <row r="1056" spans="1:18" x14ac:dyDescent="0.25">
      <c r="A1056" t="s">
        <v>33</v>
      </c>
      <c r="B1056" s="1">
        <v>46236</v>
      </c>
      <c r="C1056" t="s">
        <v>20</v>
      </c>
      <c r="D1056" t="s">
        <v>21</v>
      </c>
      <c r="E1056" t="s">
        <v>16</v>
      </c>
      <c r="F1056" t="s">
        <v>17</v>
      </c>
      <c r="G1056" t="s">
        <v>34</v>
      </c>
      <c r="H1056">
        <v>3</v>
      </c>
      <c r="I1056" s="12">
        <v>650</v>
      </c>
      <c r="J1056" s="12">
        <v>450</v>
      </c>
      <c r="K1056">
        <v>2</v>
      </c>
      <c r="L1056">
        <v>3</v>
      </c>
      <c r="M1056">
        <v>1800</v>
      </c>
      <c r="N1056" s="12">
        <f>+gemini_code_1787702791259[[#This Row],[Cantidad]]*gemini_code_1787702791259[[#This Row],[Precio_Unitario_USD]]</f>
        <v>1950</v>
      </c>
      <c r="O1056" s="12">
        <f>+gemini_code_1787702791259[[#This Row],[Cantidad]]*gemini_code_1787702791259[[#This Row],[Costo_Unitario_USD]]</f>
        <v>1350</v>
      </c>
      <c r="P1056" s="12">
        <f>+gemini_code_1787702791259[[#This Row],[venta total]]-gemini_code_1787702791259[[#This Row],[Costo total]]</f>
        <v>600</v>
      </c>
      <c r="Q1056" s="2">
        <f>gemini_code_1787702791259[[#This Row],[Ganancia bruta]]/gemini_code_1787702791259[[#This Row],[venta total]]</f>
        <v>0.30769230769230771</v>
      </c>
      <c r="R1056" t="str">
        <f>IF(gemini_code_1787702791259[[#This Row],[Dias_Entrega]]&lt;=gemini_code_1787702791259[[#This Row],[Promesa_SLA_Dias]],"A tiempo","Fuera de SLA")</f>
        <v>A tiempo</v>
      </c>
    </row>
    <row r="1057" spans="1:18" x14ac:dyDescent="0.25">
      <c r="A1057" t="s">
        <v>35</v>
      </c>
      <c r="B1057" s="1">
        <v>46236</v>
      </c>
      <c r="C1057" t="s">
        <v>26</v>
      </c>
      <c r="D1057" t="s">
        <v>27</v>
      </c>
      <c r="E1057" t="s">
        <v>16</v>
      </c>
      <c r="F1057" t="s">
        <v>23</v>
      </c>
      <c r="G1057" t="s">
        <v>36</v>
      </c>
      <c r="H1057">
        <v>8</v>
      </c>
      <c r="I1057" s="12">
        <v>45</v>
      </c>
      <c r="J1057" s="12">
        <v>20</v>
      </c>
      <c r="K1057">
        <v>5</v>
      </c>
      <c r="L1057">
        <v>3</v>
      </c>
      <c r="M1057">
        <v>400</v>
      </c>
      <c r="N1057" s="12">
        <f>+gemini_code_1787702791259[[#This Row],[Cantidad]]*gemini_code_1787702791259[[#This Row],[Precio_Unitario_USD]]</f>
        <v>360</v>
      </c>
      <c r="O1057" s="12">
        <f>+gemini_code_1787702791259[[#This Row],[Cantidad]]*gemini_code_1787702791259[[#This Row],[Costo_Unitario_USD]]</f>
        <v>160</v>
      </c>
      <c r="P1057" s="12">
        <f>+gemini_code_1787702791259[[#This Row],[venta total]]-gemini_code_1787702791259[[#This Row],[Costo total]]</f>
        <v>200</v>
      </c>
      <c r="Q1057" s="2">
        <f>gemini_code_1787702791259[[#This Row],[Ganancia bruta]]/gemini_code_1787702791259[[#This Row],[venta total]]</f>
        <v>0.55555555555555558</v>
      </c>
      <c r="R1057" t="str">
        <f>IF(gemini_code_1787702791259[[#This Row],[Dias_Entrega]]&lt;=gemini_code_1787702791259[[#This Row],[Promesa_SLA_Dias]],"A tiempo","Fuera de SLA")</f>
        <v>Fuera de SLA</v>
      </c>
    </row>
    <row r="1058" spans="1:18" x14ac:dyDescent="0.25">
      <c r="A1058" t="s">
        <v>37</v>
      </c>
      <c r="B1058" s="1">
        <v>46237</v>
      </c>
      <c r="C1058" t="s">
        <v>14</v>
      </c>
      <c r="D1058" t="s">
        <v>15</v>
      </c>
      <c r="E1058" t="s">
        <v>16</v>
      </c>
      <c r="F1058" t="s">
        <v>28</v>
      </c>
      <c r="G1058" t="s">
        <v>38</v>
      </c>
      <c r="H1058">
        <v>2</v>
      </c>
      <c r="I1058" s="12">
        <v>280</v>
      </c>
      <c r="J1058" s="12">
        <v>180</v>
      </c>
      <c r="K1058">
        <v>3</v>
      </c>
      <c r="L1058">
        <v>3</v>
      </c>
      <c r="M1058">
        <v>500</v>
      </c>
      <c r="N1058" s="12">
        <f>+gemini_code_1787702791259[[#This Row],[Cantidad]]*gemini_code_1787702791259[[#This Row],[Precio_Unitario_USD]]</f>
        <v>560</v>
      </c>
      <c r="O1058" s="12">
        <f>+gemini_code_1787702791259[[#This Row],[Cantidad]]*gemini_code_1787702791259[[#This Row],[Costo_Unitario_USD]]</f>
        <v>360</v>
      </c>
      <c r="P1058" s="12">
        <f>+gemini_code_1787702791259[[#This Row],[venta total]]-gemini_code_1787702791259[[#This Row],[Costo total]]</f>
        <v>200</v>
      </c>
      <c r="Q1058" s="2">
        <f>gemini_code_1787702791259[[#This Row],[Ganancia bruta]]/gemini_code_1787702791259[[#This Row],[venta total]]</f>
        <v>0.35714285714285715</v>
      </c>
      <c r="R1058" t="str">
        <f>IF(gemini_code_1787702791259[[#This Row],[Dias_Entrega]]&lt;=gemini_code_1787702791259[[#This Row],[Promesa_SLA_Dias]],"A tiempo","Fuera de SLA")</f>
        <v>A tiempo</v>
      </c>
    </row>
    <row r="1059" spans="1:18" x14ac:dyDescent="0.25">
      <c r="A1059" t="s">
        <v>39</v>
      </c>
      <c r="B1059" s="1">
        <v>46237</v>
      </c>
      <c r="C1059" t="s">
        <v>20</v>
      </c>
      <c r="D1059" t="s">
        <v>21</v>
      </c>
      <c r="E1059" t="s">
        <v>22</v>
      </c>
      <c r="F1059" t="s">
        <v>31</v>
      </c>
      <c r="G1059" t="s">
        <v>40</v>
      </c>
      <c r="H1059">
        <v>3</v>
      </c>
      <c r="I1059" s="12">
        <v>150</v>
      </c>
      <c r="J1059" s="12">
        <v>85</v>
      </c>
      <c r="K1059">
        <v>2</v>
      </c>
      <c r="L1059">
        <v>2</v>
      </c>
      <c r="M1059">
        <v>400</v>
      </c>
      <c r="N1059" s="12">
        <f>+gemini_code_1787702791259[[#This Row],[Cantidad]]*gemini_code_1787702791259[[#This Row],[Precio_Unitario_USD]]</f>
        <v>450</v>
      </c>
      <c r="O1059" s="12">
        <f>+gemini_code_1787702791259[[#This Row],[Cantidad]]*gemini_code_1787702791259[[#This Row],[Costo_Unitario_USD]]</f>
        <v>255</v>
      </c>
      <c r="P1059" s="12">
        <f>+gemini_code_1787702791259[[#This Row],[venta total]]-gemini_code_1787702791259[[#This Row],[Costo total]]</f>
        <v>195</v>
      </c>
      <c r="Q1059" s="2">
        <f>gemini_code_1787702791259[[#This Row],[Ganancia bruta]]/gemini_code_1787702791259[[#This Row],[venta total]]</f>
        <v>0.43333333333333335</v>
      </c>
      <c r="R1059" t="str">
        <f>IF(gemini_code_1787702791259[[#This Row],[Dias_Entrega]]&lt;=gemini_code_1787702791259[[#This Row],[Promesa_SLA_Dias]],"A tiempo","Fuera de SLA")</f>
        <v>A tiempo</v>
      </c>
    </row>
    <row r="1060" spans="1:18" x14ac:dyDescent="0.25">
      <c r="A1060" t="s">
        <v>41</v>
      </c>
      <c r="B1060" s="1">
        <v>46237</v>
      </c>
      <c r="C1060" t="s">
        <v>26</v>
      </c>
      <c r="D1060" t="s">
        <v>27</v>
      </c>
      <c r="E1060" t="s">
        <v>16</v>
      </c>
      <c r="F1060" t="s">
        <v>17</v>
      </c>
      <c r="G1060" t="s">
        <v>42</v>
      </c>
      <c r="H1060">
        <v>2</v>
      </c>
      <c r="I1060" s="12">
        <v>520</v>
      </c>
      <c r="J1060" s="12">
        <v>380</v>
      </c>
      <c r="K1060">
        <v>7</v>
      </c>
      <c r="L1060">
        <v>4</v>
      </c>
      <c r="M1060">
        <v>1000</v>
      </c>
      <c r="N1060" s="12">
        <f>+gemini_code_1787702791259[[#This Row],[Cantidad]]*gemini_code_1787702791259[[#This Row],[Precio_Unitario_USD]]</f>
        <v>1040</v>
      </c>
      <c r="O1060" s="12">
        <f>+gemini_code_1787702791259[[#This Row],[Cantidad]]*gemini_code_1787702791259[[#This Row],[Costo_Unitario_USD]]</f>
        <v>760</v>
      </c>
      <c r="P1060" s="12">
        <f>+gemini_code_1787702791259[[#This Row],[venta total]]-gemini_code_1787702791259[[#This Row],[Costo total]]</f>
        <v>280</v>
      </c>
      <c r="Q1060" s="2">
        <f>gemini_code_1787702791259[[#This Row],[Ganancia bruta]]/gemini_code_1787702791259[[#This Row],[venta total]]</f>
        <v>0.26923076923076922</v>
      </c>
      <c r="R1060" t="str">
        <f>IF(gemini_code_1787702791259[[#This Row],[Dias_Entrega]]&lt;=gemini_code_1787702791259[[#This Row],[Promesa_SLA_Dias]],"A tiempo","Fuera de SLA")</f>
        <v>Fuera de SLA</v>
      </c>
    </row>
    <row r="1061" spans="1:18" x14ac:dyDescent="0.25">
      <c r="A1061" t="s">
        <v>43</v>
      </c>
      <c r="B1061" s="1">
        <v>46238</v>
      </c>
      <c r="C1061" t="s">
        <v>14</v>
      </c>
      <c r="D1061" t="s">
        <v>15</v>
      </c>
      <c r="E1061" t="s">
        <v>22</v>
      </c>
      <c r="F1061" t="s">
        <v>23</v>
      </c>
      <c r="G1061" t="s">
        <v>44</v>
      </c>
      <c r="H1061">
        <v>6</v>
      </c>
      <c r="I1061" s="12">
        <v>55</v>
      </c>
      <c r="J1061" s="12">
        <v>25</v>
      </c>
      <c r="K1061">
        <v>2</v>
      </c>
      <c r="L1061">
        <v>3</v>
      </c>
      <c r="M1061">
        <v>300</v>
      </c>
      <c r="N1061" s="12">
        <f>+gemini_code_1787702791259[[#This Row],[Cantidad]]*gemini_code_1787702791259[[#This Row],[Precio_Unitario_USD]]</f>
        <v>330</v>
      </c>
      <c r="O1061" s="12">
        <f>+gemini_code_1787702791259[[#This Row],[Cantidad]]*gemini_code_1787702791259[[#This Row],[Costo_Unitario_USD]]</f>
        <v>150</v>
      </c>
      <c r="P1061" s="12">
        <f>+gemini_code_1787702791259[[#This Row],[venta total]]-gemini_code_1787702791259[[#This Row],[Costo total]]</f>
        <v>180</v>
      </c>
      <c r="Q1061" s="2">
        <f>gemini_code_1787702791259[[#This Row],[Ganancia bruta]]/gemini_code_1787702791259[[#This Row],[venta total]]</f>
        <v>0.54545454545454541</v>
      </c>
      <c r="R1061" t="str">
        <f>IF(gemini_code_1787702791259[[#This Row],[Dias_Entrega]]&lt;=gemini_code_1787702791259[[#This Row],[Promesa_SLA_Dias]],"A tiempo","Fuera de SLA")</f>
        <v>A tiempo</v>
      </c>
    </row>
    <row r="1062" spans="1:18" x14ac:dyDescent="0.25">
      <c r="A1062" t="s">
        <v>45</v>
      </c>
      <c r="B1062" s="1">
        <v>46238</v>
      </c>
      <c r="C1062" t="s">
        <v>20</v>
      </c>
      <c r="D1062" t="s">
        <v>21</v>
      </c>
      <c r="E1062" t="s">
        <v>16</v>
      </c>
      <c r="F1062" t="s">
        <v>28</v>
      </c>
      <c r="G1062" t="s">
        <v>46</v>
      </c>
      <c r="H1062">
        <v>1</v>
      </c>
      <c r="I1062" s="12">
        <v>450</v>
      </c>
      <c r="J1062" s="12">
        <v>290</v>
      </c>
      <c r="K1062">
        <v>4</v>
      </c>
      <c r="L1062">
        <v>3</v>
      </c>
      <c r="M1062">
        <v>400</v>
      </c>
      <c r="N1062" s="12">
        <f>+gemini_code_1787702791259[[#This Row],[Cantidad]]*gemini_code_1787702791259[[#This Row],[Precio_Unitario_USD]]</f>
        <v>450</v>
      </c>
      <c r="O1062" s="12">
        <f>+gemini_code_1787702791259[[#This Row],[Cantidad]]*gemini_code_1787702791259[[#This Row],[Costo_Unitario_USD]]</f>
        <v>290</v>
      </c>
      <c r="P1062" s="12">
        <f>+gemini_code_1787702791259[[#This Row],[venta total]]-gemini_code_1787702791259[[#This Row],[Costo total]]</f>
        <v>160</v>
      </c>
      <c r="Q1062" s="2">
        <f>gemini_code_1787702791259[[#This Row],[Ganancia bruta]]/gemini_code_1787702791259[[#This Row],[venta total]]</f>
        <v>0.35555555555555557</v>
      </c>
      <c r="R1062" t="str">
        <f>IF(gemini_code_1787702791259[[#This Row],[Dias_Entrega]]&lt;=gemini_code_1787702791259[[#This Row],[Promesa_SLA_Dias]],"A tiempo","Fuera de SLA")</f>
        <v>Fuera de SLA</v>
      </c>
    </row>
    <row r="1063" spans="1:18" x14ac:dyDescent="0.25">
      <c r="A1063" t="s">
        <v>47</v>
      </c>
      <c r="B1063" s="1">
        <v>46238</v>
      </c>
      <c r="C1063" t="s">
        <v>26</v>
      </c>
      <c r="D1063" t="s">
        <v>27</v>
      </c>
      <c r="E1063" t="s">
        <v>22</v>
      </c>
      <c r="F1063" t="s">
        <v>31</v>
      </c>
      <c r="G1063" t="s">
        <v>48</v>
      </c>
      <c r="H1063">
        <v>10</v>
      </c>
      <c r="I1063" s="12">
        <v>35</v>
      </c>
      <c r="J1063" s="12">
        <v>15</v>
      </c>
      <c r="K1063">
        <v>4</v>
      </c>
      <c r="L1063">
        <v>3</v>
      </c>
      <c r="M1063">
        <v>300</v>
      </c>
      <c r="N1063" s="12">
        <f>+gemini_code_1787702791259[[#This Row],[Cantidad]]*gemini_code_1787702791259[[#This Row],[Precio_Unitario_USD]]</f>
        <v>350</v>
      </c>
      <c r="O1063" s="12">
        <f>+gemini_code_1787702791259[[#This Row],[Cantidad]]*gemini_code_1787702791259[[#This Row],[Costo_Unitario_USD]]</f>
        <v>150</v>
      </c>
      <c r="P1063" s="12">
        <f>+gemini_code_1787702791259[[#This Row],[venta total]]-gemini_code_1787702791259[[#This Row],[Costo total]]</f>
        <v>200</v>
      </c>
      <c r="Q1063" s="2">
        <f>gemini_code_1787702791259[[#This Row],[Ganancia bruta]]/gemini_code_1787702791259[[#This Row],[venta total]]</f>
        <v>0.5714285714285714</v>
      </c>
      <c r="R1063" t="str">
        <f>IF(gemini_code_1787702791259[[#This Row],[Dias_Entrega]]&lt;=gemini_code_1787702791259[[#This Row],[Promesa_SLA_Dias]],"A tiempo","Fuera de SLA")</f>
        <v>Fuera de SLA</v>
      </c>
    </row>
    <row r="1064" spans="1:18" x14ac:dyDescent="0.25">
      <c r="A1064" t="s">
        <v>49</v>
      </c>
      <c r="B1064" s="1">
        <v>46239</v>
      </c>
      <c r="C1064" t="s">
        <v>14</v>
      </c>
      <c r="D1064" t="s">
        <v>15</v>
      </c>
      <c r="E1064" t="s">
        <v>16</v>
      </c>
      <c r="F1064" t="s">
        <v>17</v>
      </c>
      <c r="G1064" t="s">
        <v>50</v>
      </c>
      <c r="H1064">
        <v>4</v>
      </c>
      <c r="I1064" s="12">
        <v>220</v>
      </c>
      <c r="J1064" s="12">
        <v>140</v>
      </c>
      <c r="K1064">
        <v>2</v>
      </c>
      <c r="L1064">
        <v>3</v>
      </c>
      <c r="M1064">
        <v>800</v>
      </c>
      <c r="N1064" s="12">
        <f>+gemini_code_1787702791259[[#This Row],[Cantidad]]*gemini_code_1787702791259[[#This Row],[Precio_Unitario_USD]]</f>
        <v>880</v>
      </c>
      <c r="O1064" s="12">
        <f>+gemini_code_1787702791259[[#This Row],[Cantidad]]*gemini_code_1787702791259[[#This Row],[Costo_Unitario_USD]]</f>
        <v>560</v>
      </c>
      <c r="P1064" s="12">
        <f>+gemini_code_1787702791259[[#This Row],[venta total]]-gemini_code_1787702791259[[#This Row],[Costo total]]</f>
        <v>320</v>
      </c>
      <c r="Q1064" s="2">
        <f>gemini_code_1787702791259[[#This Row],[Ganancia bruta]]/gemini_code_1787702791259[[#This Row],[venta total]]</f>
        <v>0.36363636363636365</v>
      </c>
      <c r="R1064" t="str">
        <f>IF(gemini_code_1787702791259[[#This Row],[Dias_Entrega]]&lt;=gemini_code_1787702791259[[#This Row],[Promesa_SLA_Dias]],"A tiempo","Fuera de SLA")</f>
        <v>A tiempo</v>
      </c>
    </row>
    <row r="1065" spans="1:18" x14ac:dyDescent="0.25">
      <c r="A1065" t="s">
        <v>51</v>
      </c>
      <c r="B1065" s="1">
        <v>46239</v>
      </c>
      <c r="C1065" t="s">
        <v>20</v>
      </c>
      <c r="D1065" t="s">
        <v>21</v>
      </c>
      <c r="E1065" t="s">
        <v>16</v>
      </c>
      <c r="F1065" t="s">
        <v>23</v>
      </c>
      <c r="G1065" t="s">
        <v>52</v>
      </c>
      <c r="H1065">
        <v>5</v>
      </c>
      <c r="I1065" s="12">
        <v>65</v>
      </c>
      <c r="J1065" s="12">
        <v>30</v>
      </c>
      <c r="K1065">
        <v>2</v>
      </c>
      <c r="L1065">
        <v>3</v>
      </c>
      <c r="M1065">
        <v>300</v>
      </c>
      <c r="N1065" s="12">
        <f>+gemini_code_1787702791259[[#This Row],[Cantidad]]*gemini_code_1787702791259[[#This Row],[Precio_Unitario_USD]]</f>
        <v>325</v>
      </c>
      <c r="O1065" s="12">
        <f>+gemini_code_1787702791259[[#This Row],[Cantidad]]*gemini_code_1787702791259[[#This Row],[Costo_Unitario_USD]]</f>
        <v>150</v>
      </c>
      <c r="P1065" s="12">
        <f>+gemini_code_1787702791259[[#This Row],[venta total]]-gemini_code_1787702791259[[#This Row],[Costo total]]</f>
        <v>175</v>
      </c>
      <c r="Q1065" s="2">
        <f>gemini_code_1787702791259[[#This Row],[Ganancia bruta]]/gemini_code_1787702791259[[#This Row],[venta total]]</f>
        <v>0.53846153846153844</v>
      </c>
      <c r="R1065" t="str">
        <f>IF(gemini_code_1787702791259[[#This Row],[Dias_Entrega]]&lt;=gemini_code_1787702791259[[#This Row],[Promesa_SLA_Dias]],"A tiempo","Fuera de SLA")</f>
        <v>A tiempo</v>
      </c>
    </row>
    <row r="1066" spans="1:18" x14ac:dyDescent="0.25">
      <c r="A1066" t="s">
        <v>53</v>
      </c>
      <c r="B1066" s="1">
        <v>46239</v>
      </c>
      <c r="C1066" t="s">
        <v>26</v>
      </c>
      <c r="D1066" t="s">
        <v>27</v>
      </c>
      <c r="E1066" t="s">
        <v>16</v>
      </c>
      <c r="F1066" t="s">
        <v>28</v>
      </c>
      <c r="G1066" t="s">
        <v>54</v>
      </c>
      <c r="H1066">
        <v>2</v>
      </c>
      <c r="I1066" s="12">
        <v>180</v>
      </c>
      <c r="J1066" s="12">
        <v>110</v>
      </c>
      <c r="K1066">
        <v>6</v>
      </c>
      <c r="L1066">
        <v>3</v>
      </c>
      <c r="M1066">
        <v>350</v>
      </c>
      <c r="N1066" s="12">
        <f>+gemini_code_1787702791259[[#This Row],[Cantidad]]*gemini_code_1787702791259[[#This Row],[Precio_Unitario_USD]]</f>
        <v>360</v>
      </c>
      <c r="O1066" s="12">
        <f>+gemini_code_1787702791259[[#This Row],[Cantidad]]*gemini_code_1787702791259[[#This Row],[Costo_Unitario_USD]]</f>
        <v>220</v>
      </c>
      <c r="P1066" s="12">
        <f>+gemini_code_1787702791259[[#This Row],[venta total]]-gemini_code_1787702791259[[#This Row],[Costo total]]</f>
        <v>140</v>
      </c>
      <c r="Q1066" s="2">
        <f>gemini_code_1787702791259[[#This Row],[Ganancia bruta]]/gemini_code_1787702791259[[#This Row],[venta total]]</f>
        <v>0.3888888888888889</v>
      </c>
      <c r="R1066" t="str">
        <f>IF(gemini_code_1787702791259[[#This Row],[Dias_Entrega]]&lt;=gemini_code_1787702791259[[#This Row],[Promesa_SLA_Dias]],"A tiempo","Fuera de SLA")</f>
        <v>Fuera de SLA</v>
      </c>
    </row>
    <row r="1067" spans="1:18" x14ac:dyDescent="0.25">
      <c r="A1067" t="s">
        <v>55</v>
      </c>
      <c r="B1067" s="1">
        <v>46240</v>
      </c>
      <c r="C1067" t="s">
        <v>14</v>
      </c>
      <c r="D1067" t="s">
        <v>15</v>
      </c>
      <c r="E1067" t="s">
        <v>22</v>
      </c>
      <c r="F1067" t="s">
        <v>31</v>
      </c>
      <c r="G1067" t="s">
        <v>56</v>
      </c>
      <c r="H1067">
        <v>6</v>
      </c>
      <c r="I1067" s="12">
        <v>85</v>
      </c>
      <c r="J1067" s="12">
        <v>45</v>
      </c>
      <c r="K1067">
        <v>1</v>
      </c>
      <c r="L1067">
        <v>2</v>
      </c>
      <c r="M1067">
        <v>500</v>
      </c>
      <c r="N1067" s="12">
        <f>+gemini_code_1787702791259[[#This Row],[Cantidad]]*gemini_code_1787702791259[[#This Row],[Precio_Unitario_USD]]</f>
        <v>510</v>
      </c>
      <c r="O1067" s="12">
        <f>+gemini_code_1787702791259[[#This Row],[Cantidad]]*gemini_code_1787702791259[[#This Row],[Costo_Unitario_USD]]</f>
        <v>270</v>
      </c>
      <c r="P1067" s="12">
        <f>+gemini_code_1787702791259[[#This Row],[venta total]]-gemini_code_1787702791259[[#This Row],[Costo total]]</f>
        <v>240</v>
      </c>
      <c r="Q1067" s="2">
        <f>gemini_code_1787702791259[[#This Row],[Ganancia bruta]]/gemini_code_1787702791259[[#This Row],[venta total]]</f>
        <v>0.47058823529411764</v>
      </c>
      <c r="R1067" t="str">
        <f>IF(gemini_code_1787702791259[[#This Row],[Dias_Entrega]]&lt;=gemini_code_1787702791259[[#This Row],[Promesa_SLA_Dias]],"A tiempo","Fuera de SLA")</f>
        <v>A tiempo</v>
      </c>
    </row>
    <row r="1068" spans="1:18" x14ac:dyDescent="0.25">
      <c r="A1068" t="s">
        <v>57</v>
      </c>
      <c r="B1068" s="1">
        <v>46240</v>
      </c>
      <c r="C1068" t="s">
        <v>20</v>
      </c>
      <c r="D1068" t="s">
        <v>21</v>
      </c>
      <c r="E1068" t="s">
        <v>16</v>
      </c>
      <c r="F1068" t="s">
        <v>17</v>
      </c>
      <c r="G1068" t="s">
        <v>58</v>
      </c>
      <c r="H1068">
        <v>12</v>
      </c>
      <c r="I1068" s="12">
        <v>75</v>
      </c>
      <c r="J1068" s="12">
        <v>35</v>
      </c>
      <c r="K1068">
        <v>1</v>
      </c>
      <c r="L1068">
        <v>2</v>
      </c>
      <c r="M1068">
        <v>800</v>
      </c>
      <c r="N1068" s="12">
        <f>+gemini_code_1787702791259[[#This Row],[Cantidad]]*gemini_code_1787702791259[[#This Row],[Precio_Unitario_USD]]</f>
        <v>900</v>
      </c>
      <c r="O1068" s="12">
        <f>+gemini_code_1787702791259[[#This Row],[Cantidad]]*gemini_code_1787702791259[[#This Row],[Costo_Unitario_USD]]</f>
        <v>420</v>
      </c>
      <c r="P1068" s="12">
        <f>+gemini_code_1787702791259[[#This Row],[venta total]]-gemini_code_1787702791259[[#This Row],[Costo total]]</f>
        <v>480</v>
      </c>
      <c r="Q1068" s="2">
        <f>gemini_code_1787702791259[[#This Row],[Ganancia bruta]]/gemini_code_1787702791259[[#This Row],[venta total]]</f>
        <v>0.53333333333333333</v>
      </c>
      <c r="R1068" t="str">
        <f>IF(gemini_code_1787702791259[[#This Row],[Dias_Entrega]]&lt;=gemini_code_1787702791259[[#This Row],[Promesa_SLA_Dias]],"A tiempo","Fuera de SLA")</f>
        <v>A tiempo</v>
      </c>
    </row>
    <row r="1069" spans="1:18" x14ac:dyDescent="0.25">
      <c r="A1069" t="s">
        <v>59</v>
      </c>
      <c r="B1069" s="1">
        <v>46240</v>
      </c>
      <c r="C1069" t="s">
        <v>26</v>
      </c>
      <c r="D1069" t="s">
        <v>27</v>
      </c>
      <c r="E1069" t="s">
        <v>22</v>
      </c>
      <c r="F1069" t="s">
        <v>23</v>
      </c>
      <c r="G1069" t="s">
        <v>60</v>
      </c>
      <c r="H1069">
        <v>4</v>
      </c>
      <c r="I1069" s="12">
        <v>110</v>
      </c>
      <c r="J1069" s="12">
        <v>55</v>
      </c>
      <c r="K1069">
        <v>5</v>
      </c>
      <c r="L1069">
        <v>3</v>
      </c>
      <c r="M1069">
        <v>400</v>
      </c>
      <c r="N1069" s="12">
        <f>+gemini_code_1787702791259[[#This Row],[Cantidad]]*gemini_code_1787702791259[[#This Row],[Precio_Unitario_USD]]</f>
        <v>440</v>
      </c>
      <c r="O1069" s="12">
        <f>+gemini_code_1787702791259[[#This Row],[Cantidad]]*gemini_code_1787702791259[[#This Row],[Costo_Unitario_USD]]</f>
        <v>220</v>
      </c>
      <c r="P1069" s="12">
        <f>+gemini_code_1787702791259[[#This Row],[venta total]]-gemini_code_1787702791259[[#This Row],[Costo total]]</f>
        <v>220</v>
      </c>
      <c r="Q1069" s="2">
        <f>gemini_code_1787702791259[[#This Row],[Ganancia bruta]]/gemini_code_1787702791259[[#This Row],[venta total]]</f>
        <v>0.5</v>
      </c>
      <c r="R1069" t="str">
        <f>IF(gemini_code_1787702791259[[#This Row],[Dias_Entrega]]&lt;=gemini_code_1787702791259[[#This Row],[Promesa_SLA_Dias]],"A tiempo","Fuera de SLA")</f>
        <v>Fuera de SLA</v>
      </c>
    </row>
    <row r="1070" spans="1:18" x14ac:dyDescent="0.25">
      <c r="A1070" t="s">
        <v>61</v>
      </c>
      <c r="B1070" s="1">
        <v>46241</v>
      </c>
      <c r="C1070" t="s">
        <v>14</v>
      </c>
      <c r="D1070" t="s">
        <v>15</v>
      </c>
      <c r="E1070" t="s">
        <v>16</v>
      </c>
      <c r="F1070" t="s">
        <v>28</v>
      </c>
      <c r="G1070" t="s">
        <v>62</v>
      </c>
      <c r="H1070">
        <v>15</v>
      </c>
      <c r="I1070" s="12">
        <v>25</v>
      </c>
      <c r="J1070" s="12">
        <v>10</v>
      </c>
      <c r="K1070">
        <v>2</v>
      </c>
      <c r="L1070">
        <v>3</v>
      </c>
      <c r="M1070">
        <v>300</v>
      </c>
      <c r="N1070" s="12">
        <f>+gemini_code_1787702791259[[#This Row],[Cantidad]]*gemini_code_1787702791259[[#This Row],[Precio_Unitario_USD]]</f>
        <v>375</v>
      </c>
      <c r="O1070" s="12">
        <f>+gemini_code_1787702791259[[#This Row],[Cantidad]]*gemini_code_1787702791259[[#This Row],[Costo_Unitario_USD]]</f>
        <v>150</v>
      </c>
      <c r="P1070" s="12">
        <f>+gemini_code_1787702791259[[#This Row],[venta total]]-gemini_code_1787702791259[[#This Row],[Costo total]]</f>
        <v>225</v>
      </c>
      <c r="Q1070" s="2">
        <f>gemini_code_1787702791259[[#This Row],[Ganancia bruta]]/gemini_code_1787702791259[[#This Row],[venta total]]</f>
        <v>0.6</v>
      </c>
      <c r="R1070" t="str">
        <f>IF(gemini_code_1787702791259[[#This Row],[Dias_Entrega]]&lt;=gemini_code_1787702791259[[#This Row],[Promesa_SLA_Dias]],"A tiempo","Fuera de SLA")</f>
        <v>A tiempo</v>
      </c>
    </row>
    <row r="1071" spans="1:18" x14ac:dyDescent="0.25">
      <c r="A1071" t="s">
        <v>63</v>
      </c>
      <c r="B1071" s="1">
        <v>46241</v>
      </c>
      <c r="C1071" t="s">
        <v>20</v>
      </c>
      <c r="D1071" t="s">
        <v>21</v>
      </c>
      <c r="E1071" t="s">
        <v>22</v>
      </c>
      <c r="F1071" t="s">
        <v>31</v>
      </c>
      <c r="G1071" t="s">
        <v>64</v>
      </c>
      <c r="H1071">
        <v>5</v>
      </c>
      <c r="I1071" s="12">
        <v>130</v>
      </c>
      <c r="J1071" s="12">
        <v>70</v>
      </c>
      <c r="K1071">
        <v>3</v>
      </c>
      <c r="L1071">
        <v>3</v>
      </c>
      <c r="M1071">
        <v>600</v>
      </c>
      <c r="N1071" s="12">
        <f>+gemini_code_1787702791259[[#This Row],[Cantidad]]*gemini_code_1787702791259[[#This Row],[Precio_Unitario_USD]]</f>
        <v>650</v>
      </c>
      <c r="O1071" s="12">
        <f>+gemini_code_1787702791259[[#This Row],[Cantidad]]*gemini_code_1787702791259[[#This Row],[Costo_Unitario_USD]]</f>
        <v>350</v>
      </c>
      <c r="P1071" s="12">
        <f>+gemini_code_1787702791259[[#This Row],[venta total]]-gemini_code_1787702791259[[#This Row],[Costo total]]</f>
        <v>300</v>
      </c>
      <c r="Q1071" s="2">
        <f>gemini_code_1787702791259[[#This Row],[Ganancia bruta]]/gemini_code_1787702791259[[#This Row],[venta total]]</f>
        <v>0.46153846153846156</v>
      </c>
      <c r="R1071" t="str">
        <f>IF(gemini_code_1787702791259[[#This Row],[Dias_Entrega]]&lt;=gemini_code_1787702791259[[#This Row],[Promesa_SLA_Dias]],"A tiempo","Fuera de SLA")</f>
        <v>A tiempo</v>
      </c>
    </row>
    <row r="1072" spans="1:18" x14ac:dyDescent="0.25">
      <c r="A1072" t="s">
        <v>65</v>
      </c>
      <c r="B1072" s="1">
        <v>46241</v>
      </c>
      <c r="C1072" t="s">
        <v>26</v>
      </c>
      <c r="D1072" t="s">
        <v>27</v>
      </c>
      <c r="E1072" t="s">
        <v>16</v>
      </c>
      <c r="F1072" t="s">
        <v>17</v>
      </c>
      <c r="G1072" t="s">
        <v>66</v>
      </c>
      <c r="H1072">
        <v>2</v>
      </c>
      <c r="I1072" s="12">
        <v>500</v>
      </c>
      <c r="J1072" s="12">
        <v>380</v>
      </c>
      <c r="K1072">
        <v>6</v>
      </c>
      <c r="L1072">
        <v>4</v>
      </c>
      <c r="M1072">
        <v>900</v>
      </c>
      <c r="N1072" s="12">
        <f>+gemini_code_1787702791259[[#This Row],[Cantidad]]*gemini_code_1787702791259[[#This Row],[Precio_Unitario_USD]]</f>
        <v>1000</v>
      </c>
      <c r="O1072" s="12">
        <f>+gemini_code_1787702791259[[#This Row],[Cantidad]]*gemini_code_1787702791259[[#This Row],[Costo_Unitario_USD]]</f>
        <v>760</v>
      </c>
      <c r="P1072" s="12">
        <f>+gemini_code_1787702791259[[#This Row],[venta total]]-gemini_code_1787702791259[[#This Row],[Costo total]]</f>
        <v>240</v>
      </c>
      <c r="Q1072" s="2">
        <f>gemini_code_1787702791259[[#This Row],[Ganancia bruta]]/gemini_code_1787702791259[[#This Row],[venta total]]</f>
        <v>0.24</v>
      </c>
      <c r="R1072" t="str">
        <f>IF(gemini_code_1787702791259[[#This Row],[Dias_Entrega]]&lt;=gemini_code_1787702791259[[#This Row],[Promesa_SLA_Dias]],"A tiempo","Fuera de SLA")</f>
        <v>Fuera de SLA</v>
      </c>
    </row>
    <row r="1073" spans="1:18" x14ac:dyDescent="0.25">
      <c r="A1073" t="s">
        <v>67</v>
      </c>
      <c r="B1073" s="1">
        <v>46242</v>
      </c>
      <c r="C1073" t="s">
        <v>14</v>
      </c>
      <c r="D1073" t="s">
        <v>15</v>
      </c>
      <c r="E1073" t="s">
        <v>16</v>
      </c>
      <c r="F1073" t="s">
        <v>23</v>
      </c>
      <c r="G1073" t="s">
        <v>68</v>
      </c>
      <c r="H1073">
        <v>3</v>
      </c>
      <c r="I1073" s="12">
        <v>95</v>
      </c>
      <c r="J1073" s="12">
        <v>45</v>
      </c>
      <c r="K1073">
        <v>2</v>
      </c>
      <c r="L1073">
        <v>3</v>
      </c>
      <c r="M1073">
        <v>300</v>
      </c>
      <c r="N1073" s="12">
        <f>+gemini_code_1787702791259[[#This Row],[Cantidad]]*gemini_code_1787702791259[[#This Row],[Precio_Unitario_USD]]</f>
        <v>285</v>
      </c>
      <c r="O1073" s="12">
        <f>+gemini_code_1787702791259[[#This Row],[Cantidad]]*gemini_code_1787702791259[[#This Row],[Costo_Unitario_USD]]</f>
        <v>135</v>
      </c>
      <c r="P1073" s="12">
        <f>+gemini_code_1787702791259[[#This Row],[venta total]]-gemini_code_1787702791259[[#This Row],[Costo total]]</f>
        <v>150</v>
      </c>
      <c r="Q1073" s="2">
        <f>gemini_code_1787702791259[[#This Row],[Ganancia bruta]]/gemini_code_1787702791259[[#This Row],[venta total]]</f>
        <v>0.52631578947368418</v>
      </c>
      <c r="R1073" t="str">
        <f>IF(gemini_code_1787702791259[[#This Row],[Dias_Entrega]]&lt;=gemini_code_1787702791259[[#This Row],[Promesa_SLA_Dias]],"A tiempo","Fuera de SLA")</f>
        <v>A tiempo</v>
      </c>
    </row>
    <row r="1074" spans="1:18" x14ac:dyDescent="0.25">
      <c r="A1074" t="s">
        <v>69</v>
      </c>
      <c r="B1074" s="1">
        <v>46242</v>
      </c>
      <c r="C1074" t="s">
        <v>20</v>
      </c>
      <c r="D1074" t="s">
        <v>21</v>
      </c>
      <c r="E1074" t="s">
        <v>16</v>
      </c>
      <c r="F1074" t="s">
        <v>28</v>
      </c>
      <c r="G1074" t="s">
        <v>70</v>
      </c>
      <c r="H1074">
        <v>4</v>
      </c>
      <c r="I1074" s="12">
        <v>160</v>
      </c>
      <c r="J1074" s="12">
        <v>95</v>
      </c>
      <c r="K1074">
        <v>2</v>
      </c>
      <c r="L1074">
        <v>3</v>
      </c>
      <c r="M1074">
        <v>600</v>
      </c>
      <c r="N1074" s="12">
        <f>+gemini_code_1787702791259[[#This Row],[Cantidad]]*gemini_code_1787702791259[[#This Row],[Precio_Unitario_USD]]</f>
        <v>640</v>
      </c>
      <c r="O1074" s="12">
        <f>+gemini_code_1787702791259[[#This Row],[Cantidad]]*gemini_code_1787702791259[[#This Row],[Costo_Unitario_USD]]</f>
        <v>380</v>
      </c>
      <c r="P1074" s="12">
        <f>+gemini_code_1787702791259[[#This Row],[venta total]]-gemini_code_1787702791259[[#This Row],[Costo total]]</f>
        <v>260</v>
      </c>
      <c r="Q1074" s="2">
        <f>gemini_code_1787702791259[[#This Row],[Ganancia bruta]]/gemini_code_1787702791259[[#This Row],[venta total]]</f>
        <v>0.40625</v>
      </c>
      <c r="R1074" t="str">
        <f>IF(gemini_code_1787702791259[[#This Row],[Dias_Entrega]]&lt;=gemini_code_1787702791259[[#This Row],[Promesa_SLA_Dias]],"A tiempo","Fuera de SLA")</f>
        <v>A tiempo</v>
      </c>
    </row>
    <row r="1075" spans="1:18" x14ac:dyDescent="0.25">
      <c r="A1075" t="s">
        <v>71</v>
      </c>
      <c r="B1075" s="1">
        <v>46242</v>
      </c>
      <c r="C1075" t="s">
        <v>26</v>
      </c>
      <c r="D1075" t="s">
        <v>27</v>
      </c>
      <c r="E1075" t="s">
        <v>22</v>
      </c>
      <c r="F1075" t="s">
        <v>31</v>
      </c>
      <c r="G1075" t="s">
        <v>72</v>
      </c>
      <c r="H1075">
        <v>7</v>
      </c>
      <c r="I1075" s="12">
        <v>90</v>
      </c>
      <c r="J1075" s="12">
        <v>45</v>
      </c>
      <c r="K1075">
        <v>4</v>
      </c>
      <c r="L1075">
        <v>3</v>
      </c>
      <c r="M1075">
        <v>600</v>
      </c>
      <c r="N1075" s="12">
        <f>+gemini_code_1787702791259[[#This Row],[Cantidad]]*gemini_code_1787702791259[[#This Row],[Precio_Unitario_USD]]</f>
        <v>630</v>
      </c>
      <c r="O1075" s="12">
        <f>+gemini_code_1787702791259[[#This Row],[Cantidad]]*gemini_code_1787702791259[[#This Row],[Costo_Unitario_USD]]</f>
        <v>315</v>
      </c>
      <c r="P1075" s="12">
        <f>+gemini_code_1787702791259[[#This Row],[venta total]]-gemini_code_1787702791259[[#This Row],[Costo total]]</f>
        <v>315</v>
      </c>
      <c r="Q1075" s="2">
        <f>gemini_code_1787702791259[[#This Row],[Ganancia bruta]]/gemini_code_1787702791259[[#This Row],[venta total]]</f>
        <v>0.5</v>
      </c>
      <c r="R1075" t="str">
        <f>IF(gemini_code_1787702791259[[#This Row],[Dias_Entrega]]&lt;=gemini_code_1787702791259[[#This Row],[Promesa_SLA_Dias]],"A tiempo","Fuera de SLA")</f>
        <v>Fuera de SLA</v>
      </c>
    </row>
    <row r="1076" spans="1:18" x14ac:dyDescent="0.25">
      <c r="A1076" t="s">
        <v>73</v>
      </c>
      <c r="B1076" s="1">
        <v>46243</v>
      </c>
      <c r="C1076" t="s">
        <v>14</v>
      </c>
      <c r="D1076" t="s">
        <v>15</v>
      </c>
      <c r="E1076" t="s">
        <v>22</v>
      </c>
      <c r="F1076" t="s">
        <v>17</v>
      </c>
      <c r="G1076" t="s">
        <v>74</v>
      </c>
      <c r="H1076">
        <v>3</v>
      </c>
      <c r="I1076" s="12">
        <v>310</v>
      </c>
      <c r="J1076" s="12">
        <v>210</v>
      </c>
      <c r="K1076">
        <v>2</v>
      </c>
      <c r="L1076">
        <v>3</v>
      </c>
      <c r="M1076">
        <v>900</v>
      </c>
      <c r="N1076" s="12">
        <f>+gemini_code_1787702791259[[#This Row],[Cantidad]]*gemini_code_1787702791259[[#This Row],[Precio_Unitario_USD]]</f>
        <v>930</v>
      </c>
      <c r="O1076" s="12">
        <f>+gemini_code_1787702791259[[#This Row],[Cantidad]]*gemini_code_1787702791259[[#This Row],[Costo_Unitario_USD]]</f>
        <v>630</v>
      </c>
      <c r="P1076" s="12">
        <f>+gemini_code_1787702791259[[#This Row],[venta total]]-gemini_code_1787702791259[[#This Row],[Costo total]]</f>
        <v>300</v>
      </c>
      <c r="Q1076" s="2">
        <f>gemini_code_1787702791259[[#This Row],[Ganancia bruta]]/gemini_code_1787702791259[[#This Row],[venta total]]</f>
        <v>0.32258064516129031</v>
      </c>
      <c r="R1076" t="str">
        <f>IF(gemini_code_1787702791259[[#This Row],[Dias_Entrega]]&lt;=gemini_code_1787702791259[[#This Row],[Promesa_SLA_Dias]],"A tiempo","Fuera de SLA")</f>
        <v>A tiempo</v>
      </c>
    </row>
    <row r="1077" spans="1:18" x14ac:dyDescent="0.25">
      <c r="A1077" t="s">
        <v>75</v>
      </c>
      <c r="B1077" s="1">
        <v>46243</v>
      </c>
      <c r="C1077" t="s">
        <v>20</v>
      </c>
      <c r="D1077" t="s">
        <v>21</v>
      </c>
      <c r="E1077" t="s">
        <v>16</v>
      </c>
      <c r="F1077" t="s">
        <v>23</v>
      </c>
      <c r="G1077" t="s">
        <v>76</v>
      </c>
      <c r="H1077">
        <v>8</v>
      </c>
      <c r="I1077" s="12">
        <v>50</v>
      </c>
      <c r="J1077" s="12">
        <v>22</v>
      </c>
      <c r="K1077">
        <v>2</v>
      </c>
      <c r="L1077">
        <v>3</v>
      </c>
      <c r="M1077">
        <v>400</v>
      </c>
      <c r="N1077" s="12">
        <f>+gemini_code_1787702791259[[#This Row],[Cantidad]]*gemini_code_1787702791259[[#This Row],[Precio_Unitario_USD]]</f>
        <v>400</v>
      </c>
      <c r="O1077" s="12">
        <f>+gemini_code_1787702791259[[#This Row],[Cantidad]]*gemini_code_1787702791259[[#This Row],[Costo_Unitario_USD]]</f>
        <v>176</v>
      </c>
      <c r="P1077" s="12">
        <f>+gemini_code_1787702791259[[#This Row],[venta total]]-gemini_code_1787702791259[[#This Row],[Costo total]]</f>
        <v>224</v>
      </c>
      <c r="Q1077" s="2">
        <f>gemini_code_1787702791259[[#This Row],[Ganancia bruta]]/gemini_code_1787702791259[[#This Row],[venta total]]</f>
        <v>0.56000000000000005</v>
      </c>
      <c r="R1077" t="str">
        <f>IF(gemini_code_1787702791259[[#This Row],[Dias_Entrega]]&lt;=gemini_code_1787702791259[[#This Row],[Promesa_SLA_Dias]],"A tiempo","Fuera de SLA")</f>
        <v>A tiempo</v>
      </c>
    </row>
    <row r="1078" spans="1:18" x14ac:dyDescent="0.25">
      <c r="B1078" s="1"/>
      <c r="I1078" s="12"/>
      <c r="J1078" s="12"/>
      <c r="N1078" s="18"/>
      <c r="O1078" s="12"/>
      <c r="P1078" s="18"/>
      <c r="Q1078" s="2"/>
    </row>
    <row r="1081" spans="1:18" x14ac:dyDescent="0.25">
      <c r="P1081" s="19"/>
    </row>
    <row r="1083" spans="1:18" x14ac:dyDescent="0.25">
      <c r="P1083" s="2"/>
    </row>
    <row r="1085" spans="1:18" x14ac:dyDescent="0.25">
      <c r="O1085" s="19"/>
      <c r="P1085" s="2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20287-CB5C-4DFB-81FF-7B215D57F15E}">
  <dimension ref="A1:P99"/>
  <sheetViews>
    <sheetView showGridLines="0" tabSelected="1" topLeftCell="A56" zoomScale="80" zoomScaleNormal="80" workbookViewId="0">
      <selection activeCell="H75" sqref="H75"/>
    </sheetView>
  </sheetViews>
  <sheetFormatPr baseColWidth="10" defaultRowHeight="15" x14ac:dyDescent="0.25"/>
  <cols>
    <col min="2" max="2" width="22.85546875" bestFit="1" customWidth="1"/>
    <col min="3" max="3" width="23.28515625" bestFit="1" customWidth="1"/>
    <col min="4" max="4" width="24.5703125" bestFit="1" customWidth="1"/>
    <col min="5" max="5" width="22.42578125" bestFit="1" customWidth="1"/>
    <col min="6" max="6" width="14.28515625" bestFit="1" customWidth="1"/>
    <col min="7" max="7" width="12.5703125" bestFit="1" customWidth="1"/>
    <col min="8" max="8" width="17.42578125" bestFit="1" customWidth="1"/>
    <col min="9" max="9" width="13.7109375" bestFit="1" customWidth="1"/>
    <col min="10" max="10" width="12" bestFit="1" customWidth="1"/>
    <col min="11" max="11" width="24.5703125" bestFit="1" customWidth="1"/>
    <col min="12" max="12" width="7.42578125" bestFit="1" customWidth="1"/>
    <col min="13" max="13" width="6.28515625" bestFit="1" customWidth="1"/>
    <col min="14" max="14" width="5.85546875" bestFit="1" customWidth="1"/>
    <col min="15" max="15" width="23.85546875" bestFit="1" customWidth="1"/>
    <col min="16" max="16" width="24.28515625" bestFit="1" customWidth="1"/>
    <col min="17" max="17" width="29.5703125" bestFit="1" customWidth="1"/>
  </cols>
  <sheetData>
    <row r="1" spans="1:16" ht="19.5" thickBot="1" x14ac:dyDescent="0.35">
      <c r="A1" s="35" t="s">
        <v>97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7"/>
    </row>
    <row r="2" spans="1:16" x14ac:dyDescent="0.25">
      <c r="B2" s="24"/>
    </row>
    <row r="6" spans="1:16" x14ac:dyDescent="0.25">
      <c r="B6" s="13" t="s">
        <v>90</v>
      </c>
      <c r="C6" s="14" t="s">
        <v>93</v>
      </c>
      <c r="D6" s="14" t="s">
        <v>92</v>
      </c>
      <c r="E6" s="14" t="s">
        <v>94</v>
      </c>
    </row>
    <row r="7" spans="1:16" x14ac:dyDescent="0.25">
      <c r="B7" s="15" t="s">
        <v>23</v>
      </c>
      <c r="C7" s="16">
        <v>111240</v>
      </c>
      <c r="D7" s="16">
        <v>57084</v>
      </c>
      <c r="E7" s="17">
        <v>0.51316073354908309</v>
      </c>
    </row>
    <row r="8" spans="1:16" x14ac:dyDescent="0.25">
      <c r="B8" s="15" t="s">
        <v>31</v>
      </c>
      <c r="C8" s="16">
        <v>128680</v>
      </c>
      <c r="D8" s="16">
        <v>61300</v>
      </c>
      <c r="E8" s="17">
        <v>0.47637550512900217</v>
      </c>
    </row>
    <row r="9" spans="1:16" x14ac:dyDescent="0.25">
      <c r="B9" s="15" t="s">
        <v>28</v>
      </c>
      <c r="C9" s="16">
        <v>121830</v>
      </c>
      <c r="D9" s="16">
        <v>49230</v>
      </c>
      <c r="E9" s="17">
        <v>0.40408766313715833</v>
      </c>
    </row>
    <row r="10" spans="1:16" x14ac:dyDescent="0.25">
      <c r="B10" s="15" t="s">
        <v>17</v>
      </c>
      <c r="C10" s="16">
        <v>321300</v>
      </c>
      <c r="D10" s="16">
        <v>106320</v>
      </c>
      <c r="E10" s="17">
        <v>0.33090569561157795</v>
      </c>
    </row>
    <row r="11" spans="1:16" x14ac:dyDescent="0.25">
      <c r="B11" s="15" t="s">
        <v>91</v>
      </c>
      <c r="C11" s="16">
        <v>683050</v>
      </c>
      <c r="D11" s="16">
        <v>273934</v>
      </c>
      <c r="E11" s="17">
        <v>0.40104531147060979</v>
      </c>
    </row>
    <row r="18" spans="1:16" ht="15.75" thickBot="1" x14ac:dyDescent="0.3"/>
    <row r="19" spans="1:16" ht="19.5" thickBot="1" x14ac:dyDescent="0.3">
      <c r="A19" s="38" t="s">
        <v>100</v>
      </c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40"/>
    </row>
    <row r="25" spans="1:16" x14ac:dyDescent="0.25">
      <c r="B25" s="13" t="s">
        <v>90</v>
      </c>
      <c r="C25" s="25" t="s">
        <v>98</v>
      </c>
      <c r="D25" s="25" t="s">
        <v>99</v>
      </c>
      <c r="E25" s="25" t="s">
        <v>95</v>
      </c>
    </row>
    <row r="26" spans="1:16" x14ac:dyDescent="0.25">
      <c r="B26" s="15" t="s">
        <v>21</v>
      </c>
      <c r="C26" s="20">
        <v>226300</v>
      </c>
      <c r="D26" s="16">
        <v>248040</v>
      </c>
      <c r="E26" s="21">
        <v>21740</v>
      </c>
    </row>
    <row r="27" spans="1:16" x14ac:dyDescent="0.25">
      <c r="B27" s="15" t="s">
        <v>15</v>
      </c>
      <c r="C27" s="20">
        <v>215500</v>
      </c>
      <c r="D27" s="16">
        <v>235960</v>
      </c>
      <c r="E27" s="21">
        <v>20460</v>
      </c>
    </row>
    <row r="28" spans="1:16" x14ac:dyDescent="0.25">
      <c r="B28" s="15" t="s">
        <v>27</v>
      </c>
      <c r="C28" s="20">
        <v>189750</v>
      </c>
      <c r="D28" s="16">
        <v>199050</v>
      </c>
      <c r="E28" s="21">
        <v>9300</v>
      </c>
    </row>
    <row r="29" spans="1:16" x14ac:dyDescent="0.25">
      <c r="B29" s="15" t="s">
        <v>91</v>
      </c>
      <c r="C29" s="20">
        <v>631550</v>
      </c>
      <c r="D29" s="16">
        <v>683050</v>
      </c>
      <c r="E29" s="21">
        <v>51500</v>
      </c>
    </row>
    <row r="36" spans="1:16" ht="15.75" thickBot="1" x14ac:dyDescent="0.3"/>
    <row r="37" spans="1:16" ht="19.5" thickBot="1" x14ac:dyDescent="0.35">
      <c r="A37" s="29" t="s">
        <v>101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1"/>
    </row>
    <row r="40" spans="1:16" x14ac:dyDescent="0.25">
      <c r="B40" s="13" t="s">
        <v>90</v>
      </c>
      <c r="C40" s="14" t="s">
        <v>93</v>
      </c>
      <c r="D40" s="14" t="s">
        <v>96</v>
      </c>
    </row>
    <row r="41" spans="1:16" x14ac:dyDescent="0.25">
      <c r="B41" s="15" t="s">
        <v>21</v>
      </c>
      <c r="C41" s="16">
        <v>248040</v>
      </c>
      <c r="D41" s="14">
        <v>359</v>
      </c>
    </row>
    <row r="42" spans="1:16" x14ac:dyDescent="0.25">
      <c r="B42" s="23" t="s">
        <v>31</v>
      </c>
      <c r="C42" s="16">
        <v>39600</v>
      </c>
      <c r="D42" s="14">
        <v>72</v>
      </c>
    </row>
    <row r="43" spans="1:16" x14ac:dyDescent="0.25">
      <c r="B43" s="23" t="s">
        <v>17</v>
      </c>
      <c r="C43" s="16">
        <v>121500</v>
      </c>
      <c r="D43" s="14">
        <v>107</v>
      </c>
    </row>
    <row r="44" spans="1:16" x14ac:dyDescent="0.25">
      <c r="B44" s="23" t="s">
        <v>28</v>
      </c>
      <c r="C44" s="16">
        <v>39240</v>
      </c>
      <c r="D44" s="14">
        <v>72</v>
      </c>
    </row>
    <row r="45" spans="1:16" x14ac:dyDescent="0.25">
      <c r="B45" s="23" t="s">
        <v>23</v>
      </c>
      <c r="C45" s="16">
        <v>47700</v>
      </c>
      <c r="D45" s="14">
        <v>108</v>
      </c>
    </row>
    <row r="46" spans="1:16" x14ac:dyDescent="0.25">
      <c r="B46" s="15" t="s">
        <v>15</v>
      </c>
      <c r="C46" s="16">
        <v>235960</v>
      </c>
      <c r="D46" s="14">
        <v>359</v>
      </c>
    </row>
    <row r="47" spans="1:16" x14ac:dyDescent="0.25">
      <c r="B47" s="23" t="s">
        <v>31</v>
      </c>
      <c r="C47" s="16">
        <v>53800</v>
      </c>
      <c r="D47" s="14">
        <v>107</v>
      </c>
    </row>
    <row r="48" spans="1:16" x14ac:dyDescent="0.25">
      <c r="B48" s="23" t="s">
        <v>17</v>
      </c>
      <c r="C48" s="16">
        <v>126360</v>
      </c>
      <c r="D48" s="14">
        <v>108</v>
      </c>
    </row>
    <row r="49" spans="2:4" x14ac:dyDescent="0.25">
      <c r="B49" s="23" t="s">
        <v>28</v>
      </c>
      <c r="C49" s="16">
        <v>33660</v>
      </c>
      <c r="D49" s="14">
        <v>72</v>
      </c>
    </row>
    <row r="50" spans="2:4" x14ac:dyDescent="0.25">
      <c r="B50" s="23" t="s">
        <v>23</v>
      </c>
      <c r="C50" s="16">
        <v>22140</v>
      </c>
      <c r="D50" s="14">
        <v>72</v>
      </c>
    </row>
    <row r="51" spans="2:4" x14ac:dyDescent="0.25">
      <c r="B51" s="15" t="s">
        <v>27</v>
      </c>
      <c r="C51" s="16">
        <v>199050</v>
      </c>
      <c r="D51" s="14">
        <v>358</v>
      </c>
    </row>
    <row r="52" spans="2:4" x14ac:dyDescent="0.25">
      <c r="B52" s="23" t="s">
        <v>31</v>
      </c>
      <c r="C52" s="16">
        <v>35280</v>
      </c>
      <c r="D52" s="14">
        <v>72</v>
      </c>
    </row>
    <row r="53" spans="2:4" x14ac:dyDescent="0.25">
      <c r="B53" s="23" t="s">
        <v>17</v>
      </c>
      <c r="C53" s="16">
        <v>73440</v>
      </c>
      <c r="D53" s="14">
        <v>72</v>
      </c>
    </row>
    <row r="54" spans="2:4" x14ac:dyDescent="0.25">
      <c r="B54" s="23" t="s">
        <v>28</v>
      </c>
      <c r="C54" s="16">
        <v>48930</v>
      </c>
      <c r="D54" s="14">
        <v>107</v>
      </c>
    </row>
    <row r="55" spans="2:4" x14ac:dyDescent="0.25">
      <c r="B55" s="23" t="s">
        <v>23</v>
      </c>
      <c r="C55" s="16">
        <v>41400</v>
      </c>
      <c r="D55" s="14">
        <v>107</v>
      </c>
    </row>
    <row r="56" spans="2:4" x14ac:dyDescent="0.25">
      <c r="B56" s="15" t="s">
        <v>91</v>
      </c>
      <c r="C56" s="16">
        <v>683050</v>
      </c>
      <c r="D56" s="14">
        <v>1076</v>
      </c>
    </row>
    <row r="61" spans="2:4" x14ac:dyDescent="0.25">
      <c r="B61" s="24" t="s">
        <v>107</v>
      </c>
    </row>
    <row r="66" spans="2:9" x14ac:dyDescent="0.25">
      <c r="B66" s="13" t="s">
        <v>96</v>
      </c>
      <c r="C66" s="13" t="s">
        <v>104</v>
      </c>
      <c r="D66" s="14"/>
      <c r="E66" s="14"/>
      <c r="F66" s="14"/>
      <c r="G66" s="14"/>
      <c r="H66" s="14"/>
      <c r="I66" s="14"/>
    </row>
    <row r="67" spans="2:9" x14ac:dyDescent="0.25">
      <c r="B67" s="14"/>
      <c r="C67" s="14" t="s">
        <v>102</v>
      </c>
      <c r="D67" s="14"/>
      <c r="E67" s="14" t="s">
        <v>105</v>
      </c>
      <c r="F67" s="14" t="s">
        <v>103</v>
      </c>
      <c r="G67" s="14"/>
      <c r="H67" s="14" t="s">
        <v>106</v>
      </c>
      <c r="I67" s="14" t="s">
        <v>91</v>
      </c>
    </row>
    <row r="68" spans="2:9" x14ac:dyDescent="0.25">
      <c r="B68" s="13" t="s">
        <v>90</v>
      </c>
      <c r="C68" s="14" t="s">
        <v>16</v>
      </c>
      <c r="D68" s="14" t="s">
        <v>22</v>
      </c>
      <c r="E68" s="14"/>
      <c r="F68" s="14" t="s">
        <v>16</v>
      </c>
      <c r="G68" s="14" t="s">
        <v>22</v>
      </c>
      <c r="H68" s="14"/>
      <c r="I68" s="14"/>
    </row>
    <row r="69" spans="2:9" x14ac:dyDescent="0.25">
      <c r="B69" s="15" t="s">
        <v>21</v>
      </c>
      <c r="C69" s="14">
        <v>180</v>
      </c>
      <c r="D69" s="14">
        <v>143</v>
      </c>
      <c r="E69" s="14">
        <v>323</v>
      </c>
      <c r="F69" s="14">
        <v>36</v>
      </c>
      <c r="G69" s="14"/>
      <c r="H69" s="14">
        <v>36</v>
      </c>
      <c r="I69" s="14">
        <v>359</v>
      </c>
    </row>
    <row r="70" spans="2:9" x14ac:dyDescent="0.25">
      <c r="B70" s="15" t="s">
        <v>15</v>
      </c>
      <c r="C70" s="14">
        <v>215</v>
      </c>
      <c r="D70" s="14">
        <v>144</v>
      </c>
      <c r="E70" s="14">
        <v>359</v>
      </c>
      <c r="F70" s="14"/>
      <c r="G70" s="14"/>
      <c r="H70" s="14"/>
      <c r="I70" s="14">
        <v>359</v>
      </c>
    </row>
    <row r="71" spans="2:9" x14ac:dyDescent="0.25">
      <c r="B71" s="15" t="s">
        <v>27</v>
      </c>
      <c r="C71" s="14"/>
      <c r="D71" s="14"/>
      <c r="E71" s="14"/>
      <c r="F71" s="14">
        <v>250</v>
      </c>
      <c r="G71" s="14">
        <v>108</v>
      </c>
      <c r="H71" s="26">
        <v>358</v>
      </c>
      <c r="I71" s="14">
        <v>358</v>
      </c>
    </row>
    <row r="72" spans="2:9" x14ac:dyDescent="0.25">
      <c r="B72" s="15" t="s">
        <v>91</v>
      </c>
      <c r="C72" s="14">
        <v>395</v>
      </c>
      <c r="D72" s="14">
        <v>287</v>
      </c>
      <c r="E72" s="14">
        <v>682</v>
      </c>
      <c r="F72" s="14">
        <v>286</v>
      </c>
      <c r="G72" s="14">
        <v>108</v>
      </c>
      <c r="H72" s="14">
        <v>394</v>
      </c>
      <c r="I72" s="14">
        <v>1076</v>
      </c>
    </row>
    <row r="81" spans="1:16" ht="15.75" thickBot="1" x14ac:dyDescent="0.3"/>
    <row r="82" spans="1:16" ht="15.75" thickBot="1" x14ac:dyDescent="0.3">
      <c r="A82" s="32" t="s">
        <v>108</v>
      </c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4"/>
    </row>
    <row r="83" spans="1:16" x14ac:dyDescent="0.25"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</row>
    <row r="85" spans="1:16" x14ac:dyDescent="0.25">
      <c r="B85" s="13" t="s">
        <v>92</v>
      </c>
      <c r="C85" s="13" t="s">
        <v>104</v>
      </c>
      <c r="D85" s="14"/>
      <c r="E85" s="14"/>
      <c r="F85" s="14"/>
      <c r="G85" s="14"/>
      <c r="H85" s="14"/>
      <c r="I85" s="14"/>
    </row>
    <row r="86" spans="1:16" x14ac:dyDescent="0.25">
      <c r="B86" s="14"/>
      <c r="C86" s="14" t="s">
        <v>102</v>
      </c>
      <c r="D86" s="14"/>
      <c r="E86" s="14" t="s">
        <v>105</v>
      </c>
      <c r="F86" s="14" t="s">
        <v>103</v>
      </c>
      <c r="G86" s="14"/>
      <c r="H86" s="14" t="s">
        <v>106</v>
      </c>
      <c r="I86" s="14" t="s">
        <v>91</v>
      </c>
    </row>
    <row r="87" spans="1:16" x14ac:dyDescent="0.25">
      <c r="B87" s="13" t="s">
        <v>90</v>
      </c>
      <c r="C87" s="14" t="s">
        <v>16</v>
      </c>
      <c r="D87" s="14" t="s">
        <v>22</v>
      </c>
      <c r="E87" s="14"/>
      <c r="F87" s="14" t="s">
        <v>16</v>
      </c>
      <c r="G87" s="14" t="s">
        <v>22</v>
      </c>
      <c r="H87" s="14"/>
      <c r="I87" s="14"/>
    </row>
    <row r="88" spans="1:16" x14ac:dyDescent="0.25">
      <c r="B88" s="15" t="s">
        <v>21</v>
      </c>
      <c r="C88" s="16">
        <v>62604</v>
      </c>
      <c r="D88" s="16">
        <v>35220</v>
      </c>
      <c r="E88" s="16">
        <v>97824</v>
      </c>
      <c r="F88" s="16">
        <v>5760</v>
      </c>
      <c r="G88" s="16"/>
      <c r="H88" s="16">
        <v>5760</v>
      </c>
      <c r="I88" s="16">
        <v>103584</v>
      </c>
    </row>
    <row r="89" spans="1:16" x14ac:dyDescent="0.25">
      <c r="B89" s="15" t="s">
        <v>15</v>
      </c>
      <c r="C89" s="16">
        <v>59320</v>
      </c>
      <c r="D89" s="16">
        <v>33120</v>
      </c>
      <c r="E89" s="16">
        <v>92440</v>
      </c>
      <c r="F89" s="16"/>
      <c r="G89" s="16"/>
      <c r="H89" s="16"/>
      <c r="I89" s="16">
        <v>92440</v>
      </c>
    </row>
    <row r="90" spans="1:16" x14ac:dyDescent="0.25">
      <c r="B90" s="15" t="s">
        <v>27</v>
      </c>
      <c r="C90" s="16"/>
      <c r="D90" s="16"/>
      <c r="E90" s="16"/>
      <c r="F90" s="16">
        <v>51450</v>
      </c>
      <c r="G90" s="16">
        <v>26460</v>
      </c>
      <c r="H90" s="27">
        <v>77910</v>
      </c>
      <c r="I90" s="16">
        <v>77910</v>
      </c>
    </row>
    <row r="91" spans="1:16" x14ac:dyDescent="0.25">
      <c r="B91" s="15" t="s">
        <v>91</v>
      </c>
      <c r="C91" s="16">
        <v>121924</v>
      </c>
      <c r="D91" s="16">
        <v>68340</v>
      </c>
      <c r="E91" s="16">
        <v>190264</v>
      </c>
      <c r="F91" s="16">
        <v>57210</v>
      </c>
      <c r="G91" s="16">
        <v>26460</v>
      </c>
      <c r="H91" s="16">
        <v>83670</v>
      </c>
      <c r="I91" s="16">
        <v>273934</v>
      </c>
    </row>
    <row r="93" spans="1:16" x14ac:dyDescent="0.25">
      <c r="B93" s="13" t="s">
        <v>92</v>
      </c>
      <c r="C93" s="13" t="s">
        <v>104</v>
      </c>
      <c r="D93" s="14"/>
      <c r="E93" s="14"/>
      <c r="F93" s="14"/>
      <c r="G93" s="14"/>
      <c r="H93" s="14"/>
      <c r="I93" s="14"/>
    </row>
    <row r="94" spans="1:16" x14ac:dyDescent="0.25">
      <c r="B94" s="14"/>
      <c r="C94" s="14" t="s">
        <v>102</v>
      </c>
      <c r="D94" s="14"/>
      <c r="E94" s="14" t="s">
        <v>105</v>
      </c>
      <c r="F94" s="14" t="s">
        <v>103</v>
      </c>
      <c r="G94" s="14"/>
      <c r="H94" s="14" t="s">
        <v>106</v>
      </c>
      <c r="I94" s="14" t="s">
        <v>91</v>
      </c>
    </row>
    <row r="95" spans="1:16" x14ac:dyDescent="0.25">
      <c r="B95" s="13" t="s">
        <v>90</v>
      </c>
      <c r="C95" s="14" t="s">
        <v>16</v>
      </c>
      <c r="D95" s="14" t="s">
        <v>22</v>
      </c>
      <c r="E95" s="14"/>
      <c r="F95" s="14" t="s">
        <v>16</v>
      </c>
      <c r="G95" s="14" t="s">
        <v>22</v>
      </c>
      <c r="H95" s="14"/>
      <c r="I95" s="14"/>
    </row>
    <row r="96" spans="1:16" x14ac:dyDescent="0.25">
      <c r="B96" s="15" t="s">
        <v>21</v>
      </c>
      <c r="C96" s="22">
        <v>0.60437905468025954</v>
      </c>
      <c r="D96" s="22">
        <v>0.34001390176088969</v>
      </c>
      <c r="E96" s="22">
        <v>0.94439295644114918</v>
      </c>
      <c r="F96" s="22">
        <v>5.5607043558850787E-2</v>
      </c>
      <c r="G96" s="22">
        <v>0</v>
      </c>
      <c r="H96" s="22">
        <v>5.5607043558850787E-2</v>
      </c>
      <c r="I96" s="22">
        <v>1</v>
      </c>
    </row>
    <row r="97" spans="2:9" x14ac:dyDescent="0.25">
      <c r="B97" s="15" t="s">
        <v>15</v>
      </c>
      <c r="C97" s="22">
        <v>0.64171354392038082</v>
      </c>
      <c r="D97" s="22">
        <v>0.35828645607961923</v>
      </c>
      <c r="E97" s="22">
        <v>1</v>
      </c>
      <c r="F97" s="22">
        <v>0</v>
      </c>
      <c r="G97" s="22">
        <v>0</v>
      </c>
      <c r="H97" s="22">
        <v>0</v>
      </c>
      <c r="I97" s="22">
        <v>1</v>
      </c>
    </row>
    <row r="98" spans="2:9" x14ac:dyDescent="0.25">
      <c r="B98" s="15" t="s">
        <v>27</v>
      </c>
      <c r="C98" s="22">
        <v>0</v>
      </c>
      <c r="D98" s="22">
        <v>0</v>
      </c>
      <c r="E98" s="22">
        <v>0</v>
      </c>
      <c r="F98" s="22">
        <v>0.660377358490566</v>
      </c>
      <c r="G98" s="22">
        <v>0.33962264150943394</v>
      </c>
      <c r="H98" s="28">
        <v>1</v>
      </c>
      <c r="I98" s="22">
        <v>1</v>
      </c>
    </row>
    <row r="99" spans="2:9" x14ac:dyDescent="0.25">
      <c r="B99" s="15" t="s">
        <v>91</v>
      </c>
      <c r="C99" s="22">
        <v>0.44508531252053413</v>
      </c>
      <c r="D99" s="22">
        <v>0.24947615118970262</v>
      </c>
      <c r="E99" s="22">
        <v>0.69456146371023675</v>
      </c>
      <c r="F99" s="22">
        <v>0.2088459263910285</v>
      </c>
      <c r="G99" s="22">
        <v>9.6592609898734735E-2</v>
      </c>
      <c r="H99" s="22">
        <v>0.30543853628976325</v>
      </c>
      <c r="I99" s="22">
        <v>1</v>
      </c>
    </row>
  </sheetData>
  <mergeCells count="4">
    <mergeCell ref="A82:P82"/>
    <mergeCell ref="A37:P37"/>
    <mergeCell ref="A19:P19"/>
    <mergeCell ref="A1:P1"/>
  </mergeCells>
  <conditionalFormatting pivot="1" sqref="C7:C10">
    <cfRule type="colorScale" priority="33">
      <colorScale>
        <cfvo type="min"/>
        <cfvo type="percentile" val="50"/>
        <cfvo type="max"/>
        <color rgb="FFFF7128"/>
        <color rgb="FFFFEB84"/>
        <color rgb="FF92D050"/>
      </colorScale>
    </cfRule>
  </conditionalFormatting>
  <conditionalFormatting pivot="1" sqref="D7:D10">
    <cfRule type="colorScale" priority="32">
      <colorScale>
        <cfvo type="min"/>
        <cfvo type="percentile" val="50"/>
        <cfvo type="max"/>
        <color rgb="FFFF7128"/>
        <color rgb="FFFFEB84"/>
        <color rgb="FF92D050"/>
      </colorScale>
    </cfRule>
  </conditionalFormatting>
  <conditionalFormatting pivot="1" sqref="E7:E10">
    <cfRule type="colorScale" priority="30">
      <colorScale>
        <cfvo type="min"/>
        <cfvo type="percentile" val="50"/>
        <cfvo type="max"/>
        <color rgb="FFFF7128"/>
        <color rgb="FFFFEB84"/>
        <color rgb="FF92D050"/>
      </colorScale>
    </cfRule>
  </conditionalFormatting>
  <conditionalFormatting pivot="1" sqref="C26:C28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D26:D28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E26:E28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C47:C50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C42:C45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C52:C55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C51 C46 C41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H69:H71">
    <cfRule type="colorScale" priority="2">
      <colorScale>
        <cfvo type="min"/>
        <cfvo type="max"/>
        <color rgb="FF00B050"/>
        <color theme="5" tint="-0.249977111117893"/>
      </colorScale>
    </cfRule>
  </conditionalFormatting>
  <pageMargins left="0.7" right="0.7" top="0.75" bottom="0.75" header="0.3" footer="0.3"/>
  <pageSetup orientation="portrait" r:id="rId7"/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41DAA-FAA5-482A-B849-29A33D931D8A}">
  <dimension ref="A3:C20"/>
  <sheetViews>
    <sheetView workbookViewId="0">
      <selection activeCell="F5" sqref="F5"/>
    </sheetView>
  </sheetViews>
  <sheetFormatPr baseColWidth="10" defaultRowHeight="15" x14ac:dyDescent="0.25"/>
  <sheetData>
    <row r="3" spans="1:3" x14ac:dyDescent="0.25">
      <c r="A3" s="3"/>
      <c r="B3" s="4"/>
      <c r="C3" s="5"/>
    </row>
    <row r="4" spans="1:3" x14ac:dyDescent="0.25">
      <c r="A4" s="6"/>
      <c r="B4" s="7"/>
      <c r="C4" s="8"/>
    </row>
    <row r="5" spans="1:3" x14ac:dyDescent="0.25">
      <c r="A5" s="6"/>
      <c r="B5" s="7"/>
      <c r="C5" s="8"/>
    </row>
    <row r="6" spans="1:3" x14ac:dyDescent="0.25">
      <c r="A6" s="6"/>
      <c r="B6" s="7"/>
      <c r="C6" s="8"/>
    </row>
    <row r="7" spans="1:3" x14ac:dyDescent="0.25">
      <c r="A7" s="6"/>
      <c r="B7" s="7"/>
      <c r="C7" s="8"/>
    </row>
    <row r="8" spans="1:3" x14ac:dyDescent="0.25">
      <c r="A8" s="6"/>
      <c r="B8" s="7"/>
      <c r="C8" s="8"/>
    </row>
    <row r="9" spans="1:3" x14ac:dyDescent="0.25">
      <c r="A9" s="6"/>
      <c r="B9" s="7"/>
      <c r="C9" s="8"/>
    </row>
    <row r="10" spans="1:3" x14ac:dyDescent="0.25">
      <c r="A10" s="6"/>
      <c r="B10" s="7"/>
      <c r="C10" s="8"/>
    </row>
    <row r="11" spans="1:3" x14ac:dyDescent="0.25">
      <c r="A11" s="6"/>
      <c r="B11" s="7"/>
      <c r="C11" s="8"/>
    </row>
    <row r="12" spans="1:3" x14ac:dyDescent="0.25">
      <c r="A12" s="6"/>
      <c r="B12" s="7"/>
      <c r="C12" s="8"/>
    </row>
    <row r="13" spans="1:3" x14ac:dyDescent="0.25">
      <c r="A13" s="6"/>
      <c r="B13" s="7"/>
      <c r="C13" s="8"/>
    </row>
    <row r="14" spans="1:3" x14ac:dyDescent="0.25">
      <c r="A14" s="6"/>
      <c r="B14" s="7"/>
      <c r="C14" s="8"/>
    </row>
    <row r="15" spans="1:3" x14ac:dyDescent="0.25">
      <c r="A15" s="6"/>
      <c r="B15" s="7"/>
      <c r="C15" s="8"/>
    </row>
    <row r="16" spans="1:3" x14ac:dyDescent="0.25">
      <c r="A16" s="6"/>
      <c r="B16" s="7"/>
      <c r="C16" s="8"/>
    </row>
    <row r="17" spans="1:3" x14ac:dyDescent="0.25">
      <c r="A17" s="6"/>
      <c r="B17" s="7"/>
      <c r="C17" s="8"/>
    </row>
    <row r="18" spans="1:3" x14ac:dyDescent="0.25">
      <c r="A18" s="6"/>
      <c r="B18" s="7"/>
      <c r="C18" s="8"/>
    </row>
    <row r="19" spans="1:3" x14ac:dyDescent="0.25">
      <c r="A19" s="6"/>
      <c r="B19" s="7"/>
      <c r="C19" s="8"/>
    </row>
    <row r="20" spans="1:3" x14ac:dyDescent="0.25">
      <c r="A20" s="9"/>
      <c r="B20" s="10"/>
      <c r="C20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6E53C-9344-4A0B-AD40-7E03222BBD26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24A0F62-7885-4EBD-BD64-1CDC174796A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Historial transaccional</vt:lpstr>
      <vt:lpstr>Tablas Dinamicas</vt:lpstr>
      <vt:lpstr>Hoja2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STEVEN VILLOTA JOJOA</dc:creator>
  <cp:lastModifiedBy>ANDERSON STEVEN VILLOTA JOJOA</cp:lastModifiedBy>
  <dcterms:created xsi:type="dcterms:W3CDTF">2026-08-26T00:05:48Z</dcterms:created>
  <dcterms:modified xsi:type="dcterms:W3CDTF">2026-08-28T03:10:53Z</dcterms:modified>
</cp:coreProperties>
</file>